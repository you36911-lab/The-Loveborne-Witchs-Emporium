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Recipe Usage" sheetId="2" state="visible" r:id="rId2"/>
    <sheet xmlns:r="http://schemas.openxmlformats.org/officeDocument/2006/relationships" name="Recipes" sheetId="3" state="visible" r:id="rId3"/>
    <sheet xmlns:r="http://schemas.openxmlformats.org/officeDocument/2006/relationships" name="Ingredients" sheetId="4" state="visible" r:id="rId4"/>
    <sheet xmlns:r="http://schemas.openxmlformats.org/officeDocument/2006/relationships" name="Ingredient Feel" sheetId="5" state="visible" r:id="rId5"/>
    <sheet xmlns:r="http://schemas.openxmlformats.org/officeDocument/2006/relationships" name="Advice" sheetId="6" state="visible" r:id="rId6"/>
    <sheet xmlns:r="http://schemas.openxmlformats.org/officeDocument/2006/relationships" name="Walk-in Plan" sheetId="7" state="visible" r:id="rId7"/>
    <sheet xmlns:r="http://schemas.openxmlformats.org/officeDocument/2006/relationships" name="Learning Check" sheetId="8" state="visible" r:id="rId8"/>
    <sheet xmlns:r="http://schemas.openxmlformats.org/officeDocument/2006/relationships" name="Letters" sheetId="9" state="visible" r:id="rId9"/>
    <sheet xmlns:r="http://schemas.openxmlformats.org/officeDocument/2006/relationships" name="Candles" sheetId="10" state="visible" r:id="rId10"/>
    <sheet xmlns:r="http://schemas.openxmlformats.org/officeDocument/2006/relationships" name="Tarot" sheetId="11" state="visible" r:id="rId11"/>
    <sheet xmlns:r="http://schemas.openxmlformats.org/officeDocument/2006/relationships" name="Condition Icons" sheetId="12" state="visible" r:id="rId12"/>
    <sheet xmlns:r="http://schemas.openxmlformats.org/officeDocument/2006/relationships" name="Spell Products" sheetId="13" state="visible" r:id="rId13"/>
    <sheet xmlns:r="http://schemas.openxmlformats.org/officeDocument/2006/relationships" name="Altar, Tools &amp; Books" sheetId="14" state="visible" r:id="rId14"/>
  </sheets>
  <definedNames>
    <definedName name="_xlnm._FilterDatabase" localSheetId="1" hidden="1">'Recipe Usage'!$A$1:$E$1114</definedName>
    <definedName name="_xlnm._FilterDatabase" localSheetId="2" hidden="1">'Recipes'!$A$1:$G$241</definedName>
    <definedName name="_xlnm._FilterDatabase" localSheetId="3" hidden="1">'Ingredients'!$A$1:$G$259</definedName>
    <definedName name="_xlnm._FilterDatabase" localSheetId="4" hidden="1">'Ingredient Feel'!$A$1:$I$259</definedName>
    <definedName name="_xlnm._FilterDatabase" localSheetId="5" hidden="1">'Advice'!$A$1:$M$28</definedName>
    <definedName name="_xlnm._FilterDatabase" localSheetId="6" hidden="1">'Walk-in Plan'!$A$1:$P$150</definedName>
    <definedName name="_xlnm._FilterDatabase" localSheetId="9" hidden="1">'Candles'!$A$1:$E$16</definedName>
    <definedName name="_xlnm._FilterDatabase" localSheetId="10" hidden="1">'Tarot'!$A$1:$E$23</definedName>
    <definedName name="_xlnm._FilterDatabase" localSheetId="11" hidden="1">'Condition Icons'!$A$1:$E$53</definedName>
    <definedName name="_xlnm._FilterDatabase" localSheetId="12" hidden="1">'Spell Products'!$A$1:$E$26</definedName>
    <definedName name="_xlnm._FilterDatabase" localSheetId="13" hidden="1">'Altar, Tools &amp; Books'!$A$1:$E$33</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634784"/>
      <sz val="14"/>
    </font>
    <font>
      <name val="Arial"/>
      <charset val="1"/>
      <family val="0"/>
      <i val="1"/>
      <sz val="10"/>
    </font>
    <font>
      <name val="Arial"/>
      <charset val="1"/>
      <family val="0"/>
      <b val="1"/>
      <color rgb="FFFFFFFF"/>
      <sz val="10"/>
    </font>
    <font>
      <name val="Arial"/>
      <charset val="1"/>
      <family val="0"/>
      <sz val="10"/>
    </font>
    <font>
      <name val="Arial"/>
      <charset val="1"/>
      <family val="0"/>
      <b val="1"/>
      <sz val="10"/>
    </font>
    <font>
      <name val="Arial"/>
      <charset val="1"/>
      <family val="0"/>
      <i val="1"/>
      <color rgb="FF695F73"/>
      <sz val="9"/>
    </font>
    <font>
      <name val="Arial"/>
      <family val="2"/>
      <sz val="10"/>
    </font>
    <font>
      <b val="1"/>
    </font>
    <font>
      <name val="Arial"/>
      <sz val="10"/>
    </font>
    <font>
      <name val="Arial"/>
      <b val="1"/>
      <sz val="10"/>
    </font>
  </fonts>
  <fills count="4">
    <fill>
      <patternFill/>
    </fill>
    <fill>
      <patternFill patternType="gray125"/>
    </fill>
    <fill>
      <patternFill patternType="solid">
        <fgColor rgb="FF634784"/>
        <bgColor rgb="FF695F73"/>
      </patternFill>
    </fill>
    <fill>
      <patternFill patternType="solid">
        <fgColor rgb="FFFFF7CC"/>
        <bgColor rgb="FFFFFFFF"/>
      </patternFill>
    </fill>
  </fills>
  <borders count="2">
    <border>
      <left/>
      <right/>
      <top/>
      <bottom/>
      <diagonal/>
    </border>
    <border>
      <left/>
      <right/>
      <top/>
      <bottom style="thin">
        <color rgb="FFD9D2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9"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0" borderId="0" applyAlignment="1" pivotButton="0" quotePrefix="0" xfId="0">
      <alignment horizontal="general" vertical="top"/>
    </xf>
    <xf numFmtId="0" fontId="7" fillId="0" borderId="0" applyAlignment="1" pivotButton="0" quotePrefix="0" xfId="0">
      <alignment horizontal="general" vertical="top" wrapText="1"/>
    </xf>
    <xf numFmtId="0" fontId="7" fillId="3" borderId="0" applyAlignment="1" pivotButton="0" quotePrefix="0" xfId="0">
      <alignment horizontal="general" vertical="top"/>
    </xf>
    <xf numFmtId="0" fontId="7" fillId="3" borderId="0" applyAlignment="1" pivotButton="0" quotePrefix="0" xfId="0">
      <alignment horizontal="general" vertical="top" wrapText="1"/>
    </xf>
    <xf numFmtId="0" fontId="7"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9"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0" borderId="0" applyAlignment="1" pivotButton="0" quotePrefix="0" xfId="0">
      <alignment horizontal="general" vertical="top"/>
    </xf>
    <xf numFmtId="0" fontId="7" fillId="0" borderId="0" applyAlignment="1" pivotButton="0" quotePrefix="0" xfId="0">
      <alignment horizontal="general" vertical="top" wrapText="1"/>
    </xf>
    <xf numFmtId="0" fontId="7" fillId="3" borderId="0" applyAlignment="1" pivotButton="0" quotePrefix="0" xfId="0">
      <alignment horizontal="general" vertical="top"/>
    </xf>
    <xf numFmtId="0" fontId="7" fillId="3" borderId="0" applyAlignment="1" pivotButton="0" quotePrefix="0" xfId="0">
      <alignment horizontal="general" vertical="top" wrapText="1"/>
    </xf>
    <xf numFmtId="0" fontId="11" fillId="0" borderId="0" pivotButton="0" quotePrefix="0" xfId="0"/>
    <xf numFmtId="0" fontId="0" fillId="0" borderId="0" applyAlignment="1" pivotButton="0" quotePrefix="0" xfId="0">
      <alignment vertical="top" wrapText="1"/>
    </xf>
    <xf numFmtId="0" fontId="6" fillId="2" borderId="0" pivotButton="0" quotePrefix="0" xfId="0"/>
    <xf numFmtId="0" fontId="12" fillId="0" borderId="0" applyAlignment="1" pivotButton="0" quotePrefix="0" xfId="0">
      <alignment vertical="top"/>
    </xf>
    <xf numFmtId="0" fontId="12" fillId="0" borderId="0" applyAlignment="1" pivotButton="0" quotePrefix="0" xfId="0">
      <alignment vertical="top" wrapText="1"/>
    </xf>
    <xf numFmtId="0" fontId="12" fillId="0" borderId="0" pivotButton="0" quotePrefix="0" xfId="0"/>
    <xf numFmtId="0" fontId="13" fillId="0" borderId="0" pivotButton="0" quotePrefix="0" xfId="0"/>
    <xf numFmtId="0" fontId="12" fillId="0" borderId="0" applyAlignment="1" pivotButton="0" quotePrefix="0" xfId="0">
      <alignment vertical="top"/>
    </xf>
    <xf numFmtId="0" fontId="12" fillId="0" borderId="0" applyAlignment="1" pivotButton="0" quotePrefix="0" xfId="0">
      <alignment vertical="top"/>
    </xf>
    <xf numFmtId="0" fontId="12" fillId="0" borderId="0" applyAlignment="1" pivotButton="0" quotePrefix="0" xfId="0">
      <alignmen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634784"/>
          <bgColor rgb="FF000000"/>
        </patternFill>
      </fill>
    </dxf>
    <dxf>
      <fill>
        <patternFill patternType="solid">
          <bgColor rgb="FF000000"/>
        </patternFill>
      </fill>
    </dxf>
    <dxf>
      <fill>
        <patternFill patternType="solid">
          <fgColor rgb="FFFFFFFF"/>
          <bgColor rgb="FF000000"/>
        </patternFill>
      </fill>
    </dxf>
    <dxf>
      <fill>
        <patternFill patternType="solid">
          <fgColor rgb="FFFFF7CC"/>
          <bgColor rgb="FF000000"/>
        </patternFill>
      </fill>
    </dxf>
    <dxf>
      <font>
        <name val="Arial"/>
        <charset val="1"/>
        <family val="0"/>
        <color rgb="FF9C0006"/>
        <sz val="10"/>
      </font>
      <fill>
        <patternFill>
          <bgColor rgb="FFF4C7C7"/>
        </patternFill>
      </fill>
    </dxf>
    <dxf>
      <fill>
        <patternFill patternType="solid">
          <fgColor rgb="FFF4C7C7"/>
          <bgColor rgb="FF000000"/>
        </patternFill>
      </fill>
    </dxf>
    <dxf>
      <fill>
        <patternFill>
          <bgColor rgb="FFF4C7C7"/>
        </patternFill>
      </fill>
    </dxf>
    <dxf>
      <fill>
        <patternFill patternType="solid">
          <fgColor rgb="FFF4C7C7"/>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7CC"/>
      <rgbColor rgb="FFCCFFFF"/>
      <rgbColor rgb="FF660066"/>
      <rgbColor rgb="FFFF8080"/>
      <rgbColor rgb="FF0066CC"/>
      <rgbColor rgb="FFD9D2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7C7"/>
      <rgbColor rgb="FF3366FF"/>
      <rgbColor rgb="FF33CCCC"/>
      <rgbColor rgb="FF99CC00"/>
      <rgbColor rgb="FFFFCC00"/>
      <rgbColor rgb="FFFF9900"/>
      <rgbColor rgb="FFFF6600"/>
      <rgbColor rgb="FF695F73"/>
      <rgbColor rgb="FF969696"/>
      <rgbColor rgb="FF003366"/>
      <rgbColor rgb="FF339966"/>
      <rgbColor rgb="FF003300"/>
      <rgbColor rgb="FF333300"/>
      <rgbColor rgb="FF993300"/>
      <rgbColor rgb="FF993366"/>
      <rgbColor rgb="FF634784"/>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Unknown Author</author>
  </authors>
  <commentList>
    <comment ref="D1" authorId="0" shapeId="0">
      <text>
        <t>Where the ingredient works.
Body: skin, breath, muscles, sleep of the body.
Mind: feelings, thoughts, dreams, nerve.
Space: rooms, doorways, journeys, luck, other people.
— : base ingredient, chosen by spell type.</t>
      </text>
    </comment>
    <comment ref="E1" authorId="0" shapeId="0">
      <text>
        <t>How hard it works.
Gentle: mild, slow, safe for children.
Strong: sharp, fast or heavy.</t>
      </text>
    </comment>
    <comment ref="F1" authorId="0" shapeId="0">
      <text>
        <t>Draft text for the books. It hints at target and strength through a situation, never as a tag, and never names a hidden keyword (the words the player fills into the blanks).</t>
      </text>
    </comment>
    <comment ref="G1" authorId="0" shapeId="0">
      <text>
        <t>Other ingredients with the same properties, target and strength. Anything above 0 cannot be told apart in play unless the spell type decides (see Why / note).</t>
      </text>
    </comment>
  </commentList>
</comments>
</file>

<file path=xl/comments/comment2.xml><?xml version="1.0" encoding="utf-8"?>
<comments xmlns="http://schemas.openxmlformats.org/spreadsheetml/2006/main">
  <authors>
    <author>Unknown Author</author>
  </authors>
  <commentList>
    <comment ref="J1" authorId="0" shapeId="0">
      <text>
        <t>Items in this category with the keyword, target and strength. Must be 1, or the question has more than one perfect answer.</t>
      </text>
    </comment>
    <comment ref="K1" authorId="0" shapeId="0">
      <text>
        <t>Yes when the Perfect answer really has this keyword, target and strength in Ingredient Feel.</t>
      </text>
    </comment>
    <comment ref="L1" authorId="0" shapeId="0">
      <text>
        <t>Other items in the category with the keyword but a different target or strength. These grade Good.</t>
      </text>
    </comment>
    <comment ref="M1" authorId="0" shapeId="0">
      <text>
        <t>Snapshot written when the sheet was made; it does not update. The count column (L) is live.</t>
      </text>
    </comment>
  </commentList>
</comments>
</file>

<file path=xl/comments/comment3.xml><?xml version="1.0" encoding="utf-8"?>
<comments xmlns="http://schemas.openxmlformats.org/spreadsheetml/2006/main">
  <authors>
    <author>Claude</author>
  </authors>
  <commentList>
    <comment ref="A1" authorId="0" shapeId="0">
      <text>
        <t>Computed by a planning script from the 75-day calendar, the regulars' schedule and each recipe's parts, then spread so customers fill different hours. Values do not update if recipes change; ask for a re-run.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7" min="1" max="1"/>
    <col width="10" customWidth="1" style="17" min="2" max="3"/>
    <col width="20" customWidth="1" style="17" min="4" max="4"/>
    <col width="10" customWidth="1" style="17" min="5" max="6"/>
  </cols>
  <sheetData>
    <row r="1" ht="17.25" customHeight="1" s="18">
      <c r="A1" s="19" t="inlineStr">
        <is>
          <t>Image Asset Tracker</t>
        </is>
      </c>
    </row>
    <row r="2" ht="15" customHeight="1" s="18">
      <c r="A2" s="20" t="inlineStr">
        <is>
          <t>Every asset the recipes use, counted from the recipe data. Change only the yellow Status cells (dropdown); counts update automatically.</t>
        </is>
      </c>
    </row>
    <row r="4" ht="15" customHeight="1" s="18">
      <c r="A4" s="21" t="inlineStr">
        <is>
          <t>Sheet</t>
        </is>
      </c>
      <c r="B4" s="21" t="inlineStr">
        <is>
          <t>Assets</t>
        </is>
      </c>
      <c r="C4" s="21" t="inlineStr">
        <is>
          <t>Done</t>
        </is>
      </c>
      <c r="D4" s="21" t="inlineStr">
        <is>
          <t>In progress / Sketch</t>
        </is>
      </c>
      <c r="E4" s="21" t="inlineStr">
        <is>
          <t>To do</t>
        </is>
      </c>
      <c r="F4" s="21" t="inlineStr">
        <is>
          <t>% done</t>
        </is>
      </c>
    </row>
    <row r="5" ht="15" customHeight="1" s="18">
      <c r="A5" s="22" t="inlineStr">
        <is>
          <t>Ingredients</t>
        </is>
      </c>
      <c r="B5" s="22">
        <f>COUNTA(Ingredients!F:F)-1</f>
        <v/>
      </c>
      <c r="C5" s="22">
        <f>COUNTIF(Ingredients!F:F,"Done")</f>
        <v/>
      </c>
      <c r="D5" s="22">
        <f>COUNTIF(Ingredients!F:F,"In progress")+COUNTIF(Ingredients!F:F,"Sketch")</f>
        <v/>
      </c>
      <c r="E5" s="22">
        <f>COUNTIF(Ingredients!F:F,"To do")</f>
        <v/>
      </c>
      <c r="F5" s="23">
        <f>IF(B5=0,0,C5/B5)</f>
        <v/>
      </c>
    </row>
    <row r="6" ht="15" customHeight="1" s="18">
      <c r="A6" s="22" t="inlineStr">
        <is>
          <t>Candles</t>
        </is>
      </c>
      <c r="B6" s="22">
        <f>COUNTA(Candles!D:D)-1</f>
        <v/>
      </c>
      <c r="C6" s="22">
        <f>COUNTIF(Candles!D:D,"Done")</f>
        <v/>
      </c>
      <c r="D6" s="22">
        <f>COUNTIF(Candles!D:D,"In progress")+COUNTIF(Candles!D:D,"Sketch")</f>
        <v/>
      </c>
      <c r="E6" s="22">
        <f>COUNTIF(Candles!D:D,"To do")</f>
        <v/>
      </c>
      <c r="F6" s="23">
        <f>IF(B6=0,0,C6/B6)</f>
        <v/>
      </c>
    </row>
    <row r="7" ht="15" customHeight="1" s="18">
      <c r="A7" s="22" t="inlineStr">
        <is>
          <t>Tarot</t>
        </is>
      </c>
      <c r="B7" s="22">
        <f>COUNTA(Tarot!D:D)-1</f>
        <v/>
      </c>
      <c r="C7" s="22">
        <f>COUNTIF(Tarot!D:D,"Done")</f>
        <v/>
      </c>
      <c r="D7" s="22">
        <f>COUNTIF(Tarot!D:D,"In progress")+COUNTIF(Tarot!D:D,"Sketch")</f>
        <v/>
      </c>
      <c r="E7" s="22">
        <f>COUNTIF(Tarot!D:D,"To do")</f>
        <v/>
      </c>
      <c r="F7" s="23">
        <f>IF(B7=0,0,C7/B7)</f>
        <v/>
      </c>
    </row>
    <row r="8" ht="15" customHeight="1" s="18">
      <c r="A8" s="22" t="inlineStr">
        <is>
          <t>Condition Icons</t>
        </is>
      </c>
      <c r="B8" s="22">
        <f>COUNTA('Condition Icons'!D:D)-1</f>
        <v/>
      </c>
      <c r="C8" s="22">
        <f>COUNTIF('Condition Icons'!D:D,"Done")</f>
        <v/>
      </c>
      <c r="D8" s="22">
        <f>COUNTIF('Condition Icons'!D:D,"In progress")+COUNTIF('Condition Icons'!D:D,"Sketch")</f>
        <v/>
      </c>
      <c r="E8" s="22">
        <f>COUNTIF('Condition Icons'!D:D,"To do")</f>
        <v/>
      </c>
      <c r="F8" s="23">
        <f>IF(B8=0,0,C8/B8)</f>
        <v/>
      </c>
    </row>
    <row r="9" ht="15" customHeight="1" s="18">
      <c r="A9" s="22" t="inlineStr">
        <is>
          <t>Spell Products</t>
        </is>
      </c>
      <c r="B9" s="22">
        <f>COUNTA('Spell Products'!D:D)-1</f>
        <v/>
      </c>
      <c r="C9" s="22">
        <f>COUNTIF('Spell Products'!D:D,"Done")</f>
        <v/>
      </c>
      <c r="D9" s="22">
        <f>COUNTIF('Spell Products'!D:D,"In progress")+COUNTIF('Spell Products'!D:D,"Sketch")</f>
        <v/>
      </c>
      <c r="E9" s="22">
        <f>COUNTIF('Spell Products'!D:D,"To do")</f>
        <v/>
      </c>
      <c r="F9" s="23">
        <f>IF(B9=0,0,C9/B9)</f>
        <v/>
      </c>
    </row>
    <row r="10" ht="15" customHeight="1" s="18">
      <c r="A10" s="22" t="inlineStr">
        <is>
          <t>Altar, Tools &amp; Books</t>
        </is>
      </c>
      <c r="B10" s="22">
        <f>COUNTA('Altar, Tools &amp; Books'!D:D)-1</f>
        <v/>
      </c>
      <c r="C10" s="22">
        <f>COUNTIF('Altar, Tools &amp; Books'!D:D,"Done")</f>
        <v/>
      </c>
      <c r="D10" s="22">
        <f>COUNTIF('Altar, Tools &amp; Books'!D:D,"In progress")+COUNTIF('Altar, Tools &amp; Books'!D:D,"Sketch")</f>
        <v/>
      </c>
      <c r="E10" s="22">
        <f>COUNTIF('Altar, Tools &amp; Books'!D:D,"To do")</f>
        <v/>
      </c>
      <c r="F10" s="23">
        <f>IF(B10=0,0,C10/B10)</f>
        <v/>
      </c>
    </row>
    <row r="11" ht="15" customHeight="1" s="18">
      <c r="A11" s="24" t="inlineStr">
        <is>
          <t>Total</t>
        </is>
      </c>
      <c r="B11" s="22">
        <f>SUM(B5:B10)</f>
        <v/>
      </c>
      <c r="C11" s="22">
        <f>SUM(C5:C10)</f>
        <v/>
      </c>
      <c r="D11" s="22">
        <f>SUM(D5:D10)</f>
        <v/>
      </c>
      <c r="E11" s="22">
        <f>SUM(E5:E10)</f>
        <v/>
      </c>
      <c r="F11" s="23">
        <f>IF(B11=0,0,C11/B11)</f>
        <v/>
      </c>
    </row>
    <row r="13" ht="15" customHeight="1" s="18">
      <c r="A13" s="25" t="inlineStr">
        <is>
          <t>Recipe Usage lists every spell–ingredient pair; Recipes lists candle, tarot and conditions for each spell.</t>
        </is>
      </c>
    </row>
    <row r="15" ht="15" customHeight="1" s="18">
      <c r="A15" s="22" t="inlineStr">
        <is>
          <t>Ingredient Feel gives every ingredient a Target (Body / Mind / Space) and a Strength (Gentle / Strong) so ingredients that share a keyword can be told apart. Edit the yellow cells there.</t>
        </is>
      </c>
    </row>
    <row r="16" ht="15" customHeight="1" s="18">
      <c r="A16" s="22" t="inlineStr">
        <is>
          <t>Advice lists the advice questions, one perfect answer each. Its check columns turn red if an Ingredient Feel edit gives a question two perfect answers or none.</t>
        </is>
      </c>
    </row>
    <row r="17" ht="15" customHeight="1" s="18">
      <c r="A17" s="22" t="inlineStr">
        <is>
          <t>Walk-in Plan schedules every recipe no regular orders, once each, across the year; Learning Check compares each regular order's new parts with and without it.</t>
        </is>
      </c>
    </row>
    <row r="18">
      <c r="A18" s="22" t="inlineStr">
        <is>
          <t>Letters lists the 17 letters that arrive in the post. Each points at a dead end: an ingredient whose needed keyword is hidden, so searching collected words won't find it. Columns give the keyword it names, the first order that needs it, and why that spot is hard. Letters are a side help; every order can be solved without them.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1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7" min="1" max="1"/>
    <col width="30" customWidth="1" style="17" min="2" max="2"/>
    <col width="14" customWidth="1" style="17" min="3" max="3"/>
    <col width="28" customWidth="1" style="17" min="4" max="4"/>
    <col width="60" customWidth="1" style="17" min="5" max="5"/>
  </cols>
  <sheetData>
    <row r="1" ht="21.75" customHeight="1" s="18">
      <c r="A1" s="26" t="inlineStr">
        <is>
          <t>Spell ID</t>
        </is>
      </c>
      <c r="B1" s="26" t="inlineStr">
        <is>
          <t>Spell Name</t>
        </is>
      </c>
      <c r="C1" s="26" t="inlineStr">
        <is>
          <t>Spell Type</t>
        </is>
      </c>
      <c r="D1" s="26" t="inlineStr">
        <is>
          <t>Ingredient (asset)</t>
        </is>
      </c>
      <c r="E1" s="26" t="inlineStr">
        <is>
          <t>Recipe wording</t>
        </is>
      </c>
    </row>
    <row r="2" ht="15" customHeight="1" s="18">
      <c r="A2" s="22" t="n">
        <v>1</v>
      </c>
      <c r="B2" s="22" t="inlineStr">
        <is>
          <t>Rosewater Reverie</t>
        </is>
      </c>
      <c r="C2" s="22" t="inlineStr">
        <is>
          <t>Potion</t>
        </is>
      </c>
      <c r="D2" s="22" t="inlineStr">
        <is>
          <t>Rosewater</t>
        </is>
      </c>
      <c r="E2" s="22" t="inlineStr">
        <is>
          <t>Rosewater</t>
        </is>
      </c>
    </row>
    <row r="3" ht="15" customHeight="1" s="18">
      <c r="A3" s="22" t="n">
        <v>1</v>
      </c>
      <c r="B3" s="22" t="inlineStr">
        <is>
          <t>Rosewater Reverie</t>
        </is>
      </c>
      <c r="C3" s="22" t="inlineStr">
        <is>
          <t>Potion</t>
        </is>
      </c>
      <c r="D3" s="22" t="inlineStr">
        <is>
          <t>Rose petals</t>
        </is>
      </c>
      <c r="E3" s="22" t="inlineStr">
        <is>
          <t>rose petals</t>
        </is>
      </c>
    </row>
    <row r="4" ht="15" customHeight="1" s="18">
      <c r="A4" s="22" t="n">
        <v>1</v>
      </c>
      <c r="B4" s="22" t="inlineStr">
        <is>
          <t>Rosewater Reverie</t>
        </is>
      </c>
      <c r="C4" s="22" t="inlineStr">
        <is>
          <t>Potion</t>
        </is>
      </c>
      <c r="D4" s="22" t="inlineStr">
        <is>
          <t>Strawberry</t>
        </is>
      </c>
      <c r="E4" s="22" t="inlineStr">
        <is>
          <t>fresh strawberry</t>
        </is>
      </c>
    </row>
    <row r="5" ht="15" customHeight="1" s="18">
      <c r="A5" s="22" t="n">
        <v>1</v>
      </c>
      <c r="B5" s="22" t="inlineStr">
        <is>
          <t>Rosewater Reverie</t>
        </is>
      </c>
      <c r="C5" s="22" t="inlineStr">
        <is>
          <t>Potion</t>
        </is>
      </c>
      <c r="D5" s="22" t="inlineStr">
        <is>
          <t>Vanilla</t>
        </is>
      </c>
      <c r="E5" s="22" t="inlineStr">
        <is>
          <t>vanilla bean</t>
        </is>
      </c>
    </row>
    <row r="6" ht="15" customHeight="1" s="18">
      <c r="A6" s="22" t="n">
        <v>1</v>
      </c>
      <c r="B6" s="22" t="inlineStr">
        <is>
          <t>Rosewater Reverie</t>
        </is>
      </c>
      <c r="C6" s="22" t="inlineStr">
        <is>
          <t>Potion</t>
        </is>
      </c>
      <c r="D6" s="22" t="inlineStr">
        <is>
          <t>Honey</t>
        </is>
      </c>
      <c r="E6" s="22" t="inlineStr">
        <is>
          <t>honey</t>
        </is>
      </c>
    </row>
    <row r="7" ht="15" customHeight="1" s="18">
      <c r="A7" s="22" t="n">
        <v>1</v>
      </c>
      <c r="B7" s="22" t="inlineStr">
        <is>
          <t>Rosewater Reverie</t>
        </is>
      </c>
      <c r="C7" s="22" t="inlineStr">
        <is>
          <t>Potion</t>
        </is>
      </c>
      <c r="D7" s="22" t="inlineStr">
        <is>
          <t>Rose quartz</t>
        </is>
      </c>
      <c r="E7" s="22" t="inlineStr">
        <is>
          <t>rose quartz</t>
        </is>
      </c>
    </row>
    <row r="8" ht="15" customHeight="1" s="18">
      <c r="A8" s="22" t="n">
        <v>2</v>
      </c>
      <c r="B8" s="22" t="inlineStr">
        <is>
          <t>The Velvet Thread</t>
        </is>
      </c>
      <c r="C8" s="22" t="inlineStr">
        <is>
          <t>Charm</t>
        </is>
      </c>
      <c r="D8" s="22" t="inlineStr">
        <is>
          <t>Web Dew</t>
        </is>
      </c>
      <c r="E8" s="22" t="inlineStr">
        <is>
          <t>Web Dew</t>
        </is>
      </c>
    </row>
    <row r="9" ht="15" customHeight="1" s="18">
      <c r="A9" s="22" t="n">
        <v>2</v>
      </c>
      <c r="B9" s="22" t="inlineStr">
        <is>
          <t>The Velvet Thread</t>
        </is>
      </c>
      <c r="C9" s="22" t="inlineStr">
        <is>
          <t>Charm</t>
        </is>
      </c>
      <c r="D9" s="22" t="inlineStr">
        <is>
          <t>Velvet ribbon (red)</t>
        </is>
      </c>
      <c r="E9" s="22" t="inlineStr">
        <is>
          <t>red velvet ribbon</t>
        </is>
      </c>
    </row>
    <row r="10" ht="15" customHeight="1" s="18">
      <c r="A10" s="22" t="n">
        <v>2</v>
      </c>
      <c r="B10" s="22" t="inlineStr">
        <is>
          <t>The Velvet Thread</t>
        </is>
      </c>
      <c r="C10" s="22" t="inlineStr">
        <is>
          <t>Charm</t>
        </is>
      </c>
      <c r="D10" s="22" t="inlineStr">
        <is>
          <t>Red thread</t>
        </is>
      </c>
      <c r="E10" s="22" t="inlineStr">
        <is>
          <t>red thread</t>
        </is>
      </c>
    </row>
    <row r="11" ht="15" customHeight="1" s="18">
      <c r="A11" s="22" t="n">
        <v>2</v>
      </c>
      <c r="B11" s="22" t="inlineStr">
        <is>
          <t>The Velvet Thread</t>
        </is>
      </c>
      <c r="C11" s="22" t="inlineStr">
        <is>
          <t>Charm</t>
        </is>
      </c>
      <c r="D11" s="22" t="inlineStr">
        <is>
          <t>Rose quartz</t>
        </is>
      </c>
      <c r="E11" s="22" t="inlineStr">
        <is>
          <t>rose quartz</t>
        </is>
      </c>
    </row>
    <row r="12" ht="15" customHeight="1" s="18">
      <c r="A12" s="22" t="n">
        <v>2</v>
      </c>
      <c r="B12" s="22" t="inlineStr">
        <is>
          <t>The Velvet Thread</t>
        </is>
      </c>
      <c r="C12" s="22" t="inlineStr">
        <is>
          <t>Charm</t>
        </is>
      </c>
      <c r="D12" s="22" t="inlineStr">
        <is>
          <t>Lavender</t>
        </is>
      </c>
      <c r="E12" s="22" t="inlineStr">
        <is>
          <t>dried lavender</t>
        </is>
      </c>
    </row>
    <row r="13" ht="15" customHeight="1" s="18">
      <c r="A13" s="22" t="n">
        <v>2</v>
      </c>
      <c r="B13" s="22" t="inlineStr">
        <is>
          <t>The Velvet Thread</t>
        </is>
      </c>
      <c r="C13" s="22" t="inlineStr">
        <is>
          <t>Charm</t>
        </is>
      </c>
      <c r="D13" s="22" t="inlineStr">
        <is>
          <t>Heart-shaped button</t>
        </is>
      </c>
      <c r="E13" s="22" t="inlineStr">
        <is>
          <t>heart-shaped button</t>
        </is>
      </c>
    </row>
    <row r="14" ht="15" customHeight="1" s="18">
      <c r="A14" s="22" t="n">
        <v>2</v>
      </c>
      <c r="B14" s="22" t="inlineStr">
        <is>
          <t>The Velvet Thread</t>
        </is>
      </c>
      <c r="C14" s="22" t="inlineStr">
        <is>
          <t>Charm</t>
        </is>
      </c>
      <c r="D14" s="22" t="inlineStr">
        <is>
          <t>Dove feather</t>
        </is>
      </c>
      <c r="E14" s="22" t="inlineStr">
        <is>
          <t>dove feather</t>
        </is>
      </c>
    </row>
    <row r="15" ht="15" customHeight="1" s="18">
      <c r="A15" s="22" t="n">
        <v>3</v>
      </c>
      <c r="B15" s="22" t="inlineStr">
        <is>
          <t>Two Hearts, One Hearth</t>
        </is>
      </c>
      <c r="C15" s="22" t="inlineStr">
        <is>
          <t>Spell Bottle</t>
        </is>
      </c>
      <c r="D15" s="22" t="inlineStr">
        <is>
          <t>Cedar chips</t>
        </is>
      </c>
      <c r="E15" s="22" t="inlineStr">
        <is>
          <t>Cedar chips</t>
        </is>
      </c>
    </row>
    <row r="16" ht="15" customHeight="1" s="18">
      <c r="A16" s="22" t="n">
        <v>3</v>
      </c>
      <c r="B16" s="22" t="inlineStr">
        <is>
          <t>Two Hearts, One Hearth</t>
        </is>
      </c>
      <c r="C16" s="22" t="inlineStr">
        <is>
          <t>Spell Bottle</t>
        </is>
      </c>
      <c r="D16" s="22" t="inlineStr">
        <is>
          <t>Cinnamon stick</t>
        </is>
      </c>
      <c r="E16" s="22" t="inlineStr">
        <is>
          <t>cinnamon stick</t>
        </is>
      </c>
    </row>
    <row r="17" ht="15" customHeight="1" s="18">
      <c r="A17" s="22" t="n">
        <v>3</v>
      </c>
      <c r="B17" s="22" t="inlineStr">
        <is>
          <t>Two Hearts, One Hearth</t>
        </is>
      </c>
      <c r="C17" s="22" t="inlineStr">
        <is>
          <t>Spell Bottle</t>
        </is>
      </c>
      <c r="D17" s="22" t="inlineStr">
        <is>
          <t>Pink salt</t>
        </is>
      </c>
      <c r="E17" s="22" t="inlineStr">
        <is>
          <t>pink salt</t>
        </is>
      </c>
    </row>
    <row r="18" ht="15" customHeight="1" s="18">
      <c r="A18" s="22" t="n">
        <v>3</v>
      </c>
      <c r="B18" s="22" t="inlineStr">
        <is>
          <t>Two Hearts, One Hearth</t>
        </is>
      </c>
      <c r="C18" s="22" t="inlineStr">
        <is>
          <t>Spell Bottle</t>
        </is>
      </c>
      <c r="D18" s="22" t="inlineStr">
        <is>
          <t>Apple</t>
        </is>
      </c>
      <c r="E18" s="22" t="inlineStr">
        <is>
          <t>dried apple slices</t>
        </is>
      </c>
    </row>
    <row r="19" ht="15" customHeight="1" s="18">
      <c r="A19" s="22" t="n">
        <v>3</v>
      </c>
      <c r="B19" s="22" t="inlineStr">
        <is>
          <t>Two Hearts, One Hearth</t>
        </is>
      </c>
      <c r="C19" s="22" t="inlineStr">
        <is>
          <t>Spell Bottle</t>
        </is>
      </c>
      <c r="D19" s="22" t="inlineStr">
        <is>
          <t>Garnet</t>
        </is>
      </c>
      <c r="E19" s="22" t="inlineStr">
        <is>
          <t>garnet</t>
        </is>
      </c>
    </row>
    <row r="20" ht="15" customHeight="1" s="18">
      <c r="A20" s="22" t="n">
        <v>3</v>
      </c>
      <c r="B20" s="22" t="inlineStr">
        <is>
          <t>Two Hearts, One Hearth</t>
        </is>
      </c>
      <c r="C20" s="22" t="inlineStr">
        <is>
          <t>Spell Bottle</t>
        </is>
      </c>
      <c r="D20" s="22" t="inlineStr">
        <is>
          <t>Pink thread</t>
        </is>
      </c>
      <c r="E20" s="22" t="inlineStr">
        <is>
          <t>pink and red thread</t>
        </is>
      </c>
    </row>
    <row r="21" ht="15" customHeight="1" s="18">
      <c r="A21" s="22" t="n">
        <v>3</v>
      </c>
      <c r="B21" s="22" t="inlineStr">
        <is>
          <t>Two Hearts, One Hearth</t>
        </is>
      </c>
      <c r="C21" s="22" t="inlineStr">
        <is>
          <t>Spell Bottle</t>
        </is>
      </c>
      <c r="D21" s="22" t="inlineStr">
        <is>
          <t>Red thread</t>
        </is>
      </c>
      <c r="E21" s="22" t="inlineStr">
        <is>
          <t>pink and red thread</t>
        </is>
      </c>
    </row>
    <row r="22" ht="15" customHeight="1" s="18">
      <c r="A22" s="22" t="n">
        <v>4</v>
      </c>
      <c r="B22" s="22" t="inlineStr">
        <is>
          <t>Ember of Eden</t>
        </is>
      </c>
      <c r="C22" s="22" t="inlineStr">
        <is>
          <t>Oil</t>
        </is>
      </c>
      <c r="D22" s="22" t="inlineStr">
        <is>
          <t>Almond oil</t>
        </is>
      </c>
      <c r="E22" s="22" t="inlineStr">
        <is>
          <t>Almond oil</t>
        </is>
      </c>
    </row>
    <row r="23" ht="15" customHeight="1" s="18">
      <c r="A23" s="22" t="n">
        <v>4</v>
      </c>
      <c r="B23" s="22" t="inlineStr">
        <is>
          <t>Ember of Eden</t>
        </is>
      </c>
      <c r="C23" s="22" t="inlineStr">
        <is>
          <t>Oil</t>
        </is>
      </c>
      <c r="D23" s="22" t="inlineStr">
        <is>
          <t>Apple peel</t>
        </is>
      </c>
      <c r="E23" s="22" t="inlineStr">
        <is>
          <t>red apple peel</t>
        </is>
      </c>
    </row>
    <row r="24" ht="15" customHeight="1" s="18">
      <c r="A24" s="22" t="n">
        <v>4</v>
      </c>
      <c r="B24" s="22" t="inlineStr">
        <is>
          <t>Ember of Eden</t>
        </is>
      </c>
      <c r="C24" s="22" t="inlineStr">
        <is>
          <t>Oil</t>
        </is>
      </c>
      <c r="D24" s="22" t="inlineStr">
        <is>
          <t>Cinnamon</t>
        </is>
      </c>
      <c r="E24" s="22" t="inlineStr">
        <is>
          <t>cinnamon</t>
        </is>
      </c>
    </row>
    <row r="25" ht="15" customHeight="1" s="18">
      <c r="A25" s="22" t="n">
        <v>4</v>
      </c>
      <c r="B25" s="22" t="inlineStr">
        <is>
          <t>Ember of Eden</t>
        </is>
      </c>
      <c r="C25" s="22" t="inlineStr">
        <is>
          <t>Oil</t>
        </is>
      </c>
      <c r="D25" s="22" t="inlineStr">
        <is>
          <t>Cardamom</t>
        </is>
      </c>
      <c r="E25" s="22" t="inlineStr">
        <is>
          <t>cardamom</t>
        </is>
      </c>
    </row>
    <row r="26" ht="15" customHeight="1" s="18">
      <c r="A26" s="22" t="n">
        <v>4</v>
      </c>
      <c r="B26" s="22" t="inlineStr">
        <is>
          <t>Ember of Eden</t>
        </is>
      </c>
      <c r="C26" s="22" t="inlineStr">
        <is>
          <t>Oil</t>
        </is>
      </c>
      <c r="D26" s="22" t="inlineStr">
        <is>
          <t>Hibiscus</t>
        </is>
      </c>
      <c r="E26" s="22" t="inlineStr">
        <is>
          <t>hibiscus</t>
        </is>
      </c>
    </row>
    <row r="27" ht="15" customHeight="1" s="18">
      <c r="A27" s="22" t="n">
        <v>4</v>
      </c>
      <c r="B27" s="22" t="inlineStr">
        <is>
          <t>Ember of Eden</t>
        </is>
      </c>
      <c r="C27" s="22" t="inlineStr">
        <is>
          <t>Oil</t>
        </is>
      </c>
      <c r="D27" s="22" t="inlineStr">
        <is>
          <t>Carnelian</t>
        </is>
      </c>
      <c r="E27" s="22" t="inlineStr">
        <is>
          <t>carnelian</t>
        </is>
      </c>
    </row>
    <row r="28" ht="15" customHeight="1" s="18">
      <c r="A28" s="22" t="n">
        <v>5</v>
      </c>
      <c r="B28" s="22" t="inlineStr">
        <is>
          <t>Darling, You're Divine</t>
        </is>
      </c>
      <c r="C28" s="22" t="inlineStr">
        <is>
          <t>Bath Salt</t>
        </is>
      </c>
      <c r="D28" s="22" t="inlineStr">
        <is>
          <t>Pink salt</t>
        </is>
      </c>
      <c r="E28" s="22" t="inlineStr">
        <is>
          <t>Pink salt</t>
        </is>
      </c>
    </row>
    <row r="29" ht="15" customHeight="1" s="18">
      <c r="A29" s="22" t="n">
        <v>5</v>
      </c>
      <c r="B29" s="22" t="inlineStr">
        <is>
          <t>Darling, You're Divine</t>
        </is>
      </c>
      <c r="C29" s="22" t="inlineStr">
        <is>
          <t>Bath Salt</t>
        </is>
      </c>
      <c r="D29" s="22" t="inlineStr">
        <is>
          <t>Epsom salt</t>
        </is>
      </c>
      <c r="E29" s="22" t="inlineStr">
        <is>
          <t>Epsom salt</t>
        </is>
      </c>
    </row>
    <row r="30" ht="15" customHeight="1" s="18">
      <c r="A30" s="22" t="n">
        <v>5</v>
      </c>
      <c r="B30" s="22" t="inlineStr">
        <is>
          <t>Darling, You're Divine</t>
        </is>
      </c>
      <c r="C30" s="22" t="inlineStr">
        <is>
          <t>Bath Salt</t>
        </is>
      </c>
      <c r="D30" s="22" t="inlineStr">
        <is>
          <t>Rose petals</t>
        </is>
      </c>
      <c r="E30" s="22" t="inlineStr">
        <is>
          <t>rose petals</t>
        </is>
      </c>
    </row>
    <row r="31" ht="15" customHeight="1" s="18">
      <c r="A31" s="22" t="n">
        <v>5</v>
      </c>
      <c r="B31" s="22" t="inlineStr">
        <is>
          <t>Darling, You're Divine</t>
        </is>
      </c>
      <c r="C31" s="22" t="inlineStr">
        <is>
          <t>Bath Salt</t>
        </is>
      </c>
      <c r="D31" s="22" t="inlineStr">
        <is>
          <t>Jasmine</t>
        </is>
      </c>
      <c r="E31" s="22" t="inlineStr">
        <is>
          <t>jasmine</t>
        </is>
      </c>
    </row>
    <row r="32" ht="15" customHeight="1" s="18">
      <c r="A32" s="22" t="n">
        <v>5</v>
      </c>
      <c r="B32" s="22" t="inlineStr">
        <is>
          <t>Darling, You're Divine</t>
        </is>
      </c>
      <c r="C32" s="22" t="inlineStr">
        <is>
          <t>Bath Salt</t>
        </is>
      </c>
      <c r="D32" s="22" t="inlineStr">
        <is>
          <t>Coconut milk powder</t>
        </is>
      </c>
      <c r="E32" s="22" t="inlineStr">
        <is>
          <t>coconut milk powder</t>
        </is>
      </c>
    </row>
    <row r="33" ht="15" customHeight="1" s="18">
      <c r="A33" s="22" t="n">
        <v>5</v>
      </c>
      <c r="B33" s="22" t="inlineStr">
        <is>
          <t>Darling, You're Divine</t>
        </is>
      </c>
      <c r="C33" s="22" t="inlineStr">
        <is>
          <t>Bath Salt</t>
        </is>
      </c>
      <c r="D33" s="22" t="inlineStr">
        <is>
          <t>Rose quartz</t>
        </is>
      </c>
      <c r="E33" s="22" t="inlineStr">
        <is>
          <t>rose quartz</t>
        </is>
      </c>
    </row>
    <row r="34" ht="15" customHeight="1" s="18">
      <c r="A34" s="22" t="n">
        <v>6</v>
      </c>
      <c r="B34" s="22" t="inlineStr">
        <is>
          <t>Venus in Bloom</t>
        </is>
      </c>
      <c r="C34" s="22" t="inlineStr">
        <is>
          <t>Glamour</t>
        </is>
      </c>
      <c r="D34" s="22" t="inlineStr">
        <is>
          <t>Dawn dew</t>
        </is>
      </c>
      <c r="E34" s="22" t="inlineStr">
        <is>
          <t>Dawn Dew</t>
        </is>
      </c>
    </row>
    <row r="35" ht="15" customHeight="1" s="18">
      <c r="A35" s="22" t="n">
        <v>6</v>
      </c>
      <c r="B35" s="22" t="inlineStr">
        <is>
          <t>Venus in Bloom</t>
        </is>
      </c>
      <c r="C35" s="22" t="inlineStr">
        <is>
          <t>Glamour</t>
        </is>
      </c>
      <c r="D35" s="22" t="inlineStr">
        <is>
          <t>Jasmine</t>
        </is>
      </c>
      <c r="E35" s="22" t="inlineStr">
        <is>
          <t>jasmine</t>
        </is>
      </c>
    </row>
    <row r="36" ht="15" customHeight="1" s="18">
      <c r="A36" s="22" t="n">
        <v>6</v>
      </c>
      <c r="B36" s="22" t="inlineStr">
        <is>
          <t>Venus in Bloom</t>
        </is>
      </c>
      <c r="C36" s="22" t="inlineStr">
        <is>
          <t>Glamour</t>
        </is>
      </c>
      <c r="D36" s="22" t="inlineStr">
        <is>
          <t>Peach</t>
        </is>
      </c>
      <c r="E36" s="22" t="inlineStr">
        <is>
          <t>peach</t>
        </is>
      </c>
    </row>
    <row r="37" ht="15" customHeight="1" s="18">
      <c r="A37" s="22" t="n">
        <v>6</v>
      </c>
      <c r="B37" s="22" t="inlineStr">
        <is>
          <t>Venus in Bloom</t>
        </is>
      </c>
      <c r="C37" s="22" t="inlineStr">
        <is>
          <t>Glamour</t>
        </is>
      </c>
      <c r="D37" s="22" t="inlineStr">
        <is>
          <t>Pearl</t>
        </is>
      </c>
      <c r="E37" s="22" t="inlineStr">
        <is>
          <t>pearl</t>
        </is>
      </c>
    </row>
    <row r="38" ht="15" customHeight="1" s="18">
      <c r="A38" s="22" t="n">
        <v>6</v>
      </c>
      <c r="B38" s="22" t="inlineStr">
        <is>
          <t>Venus in Bloom</t>
        </is>
      </c>
      <c r="C38" s="22" t="inlineStr">
        <is>
          <t>Glamour</t>
        </is>
      </c>
      <c r="D38" s="22" t="inlineStr">
        <is>
          <t>Rose clay</t>
        </is>
      </c>
      <c r="E38" s="22" t="inlineStr">
        <is>
          <t>rose clay</t>
        </is>
      </c>
    </row>
    <row r="39" ht="15" customHeight="1" s="18">
      <c r="A39" s="22" t="n">
        <v>6</v>
      </c>
      <c r="B39" s="22" t="inlineStr">
        <is>
          <t>Venus in Bloom</t>
        </is>
      </c>
      <c r="C39" s="22" t="inlineStr">
        <is>
          <t>Glamour</t>
        </is>
      </c>
      <c r="D39" s="22" t="inlineStr">
        <is>
          <t>Peacock feather</t>
        </is>
      </c>
      <c r="E39" s="22" t="inlineStr">
        <is>
          <t>peacock feather</t>
        </is>
      </c>
    </row>
    <row r="40" ht="15" customHeight="1" s="18">
      <c r="A40" s="22" t="n">
        <v>7</v>
      </c>
      <c r="B40" s="22" t="inlineStr">
        <is>
          <t>The Blushing Star</t>
        </is>
      </c>
      <c r="C40" s="22" t="inlineStr">
        <is>
          <t>Sachet</t>
        </is>
      </c>
      <c r="D40" s="22" t="inlineStr">
        <is>
          <t>Fabric pouch</t>
        </is>
      </c>
      <c r="E40" s="22" t="inlineStr">
        <is>
          <t>Pink fabric pouch</t>
        </is>
      </c>
    </row>
    <row r="41" ht="15" customHeight="1" s="18">
      <c r="A41" s="22" t="n">
        <v>7</v>
      </c>
      <c r="B41" s="22" t="inlineStr">
        <is>
          <t>The Blushing Star</t>
        </is>
      </c>
      <c r="C41" s="22" t="inlineStr">
        <is>
          <t>Sachet</t>
        </is>
      </c>
      <c r="D41" s="22" t="inlineStr">
        <is>
          <t>Rose petals</t>
        </is>
      </c>
      <c r="E41" s="22" t="inlineStr">
        <is>
          <t>rose petals</t>
        </is>
      </c>
    </row>
    <row r="42" ht="15" customHeight="1" s="18">
      <c r="A42" s="22" t="n">
        <v>7</v>
      </c>
      <c r="B42" s="22" t="inlineStr">
        <is>
          <t>The Blushing Star</t>
        </is>
      </c>
      <c r="C42" s="22" t="inlineStr">
        <is>
          <t>Sachet</t>
        </is>
      </c>
      <c r="D42" s="22" t="inlineStr">
        <is>
          <t>Lavender</t>
        </is>
      </c>
      <c r="E42" s="22" t="inlineStr">
        <is>
          <t>lavender</t>
        </is>
      </c>
    </row>
    <row r="43" ht="15" customHeight="1" s="18">
      <c r="A43" s="22" t="n">
        <v>7</v>
      </c>
      <c r="B43" s="22" t="inlineStr">
        <is>
          <t>The Blushing Star</t>
        </is>
      </c>
      <c r="C43" s="22" t="inlineStr">
        <is>
          <t>Sachet</t>
        </is>
      </c>
      <c r="D43" s="22" t="inlineStr">
        <is>
          <t>Orris root</t>
        </is>
      </c>
      <c r="E43" s="22" t="inlineStr">
        <is>
          <t>orris root</t>
        </is>
      </c>
    </row>
    <row r="44" ht="15" customHeight="1" s="18">
      <c r="A44" s="22" t="n">
        <v>7</v>
      </c>
      <c r="B44" s="22" t="inlineStr">
        <is>
          <t>The Blushing Star</t>
        </is>
      </c>
      <c r="C44" s="22" t="inlineStr">
        <is>
          <t>Sachet</t>
        </is>
      </c>
      <c r="D44" s="22" t="inlineStr">
        <is>
          <t>Rose quartz</t>
        </is>
      </c>
      <c r="E44" s="22" t="inlineStr">
        <is>
          <t>rose quartz</t>
        </is>
      </c>
    </row>
    <row r="45" ht="15" customHeight="1" s="18">
      <c r="A45" s="22" t="n">
        <v>7</v>
      </c>
      <c r="B45" s="22" t="inlineStr">
        <is>
          <t>The Blushing Star</t>
        </is>
      </c>
      <c r="C45" s="22" t="inlineStr">
        <is>
          <t>Sachet</t>
        </is>
      </c>
      <c r="D45" s="22" t="inlineStr">
        <is>
          <t>Star-shaped button</t>
        </is>
      </c>
      <c r="E45" s="22" t="inlineStr">
        <is>
          <t>star-shaped button</t>
        </is>
      </c>
    </row>
    <row r="46" ht="15" customHeight="1" s="18">
      <c r="A46" s="22" t="n">
        <v>7</v>
      </c>
      <c r="B46" s="22" t="inlineStr">
        <is>
          <t>The Blushing Star</t>
        </is>
      </c>
      <c r="C46" s="22" t="inlineStr">
        <is>
          <t>Sachet</t>
        </is>
      </c>
      <c r="D46" s="22" t="inlineStr">
        <is>
          <t>Pink thread</t>
        </is>
      </c>
      <c r="E46" s="22" t="inlineStr">
        <is>
          <t>pink thread</t>
        </is>
      </c>
    </row>
    <row r="47" ht="15" customHeight="1" s="18">
      <c r="A47" s="22" t="n">
        <v>8</v>
      </c>
      <c r="B47" s="22" t="inlineStr">
        <is>
          <t>Heartspeak</t>
        </is>
      </c>
      <c r="C47" s="22" t="inlineStr">
        <is>
          <t>Tea</t>
        </is>
      </c>
      <c r="D47" s="22" t="inlineStr">
        <is>
          <t>Rosewater</t>
        </is>
      </c>
      <c r="E47" s="22" t="inlineStr">
        <is>
          <t>Rosewater</t>
        </is>
      </c>
    </row>
    <row r="48" ht="15" customHeight="1" s="18">
      <c r="A48" s="22" t="n">
        <v>8</v>
      </c>
      <c r="B48" s="22" t="inlineStr">
        <is>
          <t>Heartspeak</t>
        </is>
      </c>
      <c r="C48" s="22" t="inlineStr">
        <is>
          <t>Tea</t>
        </is>
      </c>
      <c r="D48" s="22" t="inlineStr">
        <is>
          <t>Rose hips</t>
        </is>
      </c>
      <c r="E48" s="22" t="inlineStr">
        <is>
          <t>rose hips</t>
        </is>
      </c>
    </row>
    <row r="49" ht="15" customHeight="1" s="18">
      <c r="A49" s="22" t="n">
        <v>8</v>
      </c>
      <c r="B49" s="22" t="inlineStr">
        <is>
          <t>Heartspeak</t>
        </is>
      </c>
      <c r="C49" s="22" t="inlineStr">
        <is>
          <t>Tea</t>
        </is>
      </c>
      <c r="D49" s="22" t="inlineStr">
        <is>
          <t>Orris root</t>
        </is>
      </c>
      <c r="E49" s="22" t="inlineStr">
        <is>
          <t>orris root</t>
        </is>
      </c>
    </row>
    <row r="50" ht="15" customHeight="1" s="18">
      <c r="A50" s="22" t="n">
        <v>8</v>
      </c>
      <c r="B50" s="22" t="inlineStr">
        <is>
          <t>Heartspeak</t>
        </is>
      </c>
      <c r="C50" s="22" t="inlineStr">
        <is>
          <t>Tea</t>
        </is>
      </c>
      <c r="D50" s="22" t="inlineStr">
        <is>
          <t>Hibiscus</t>
        </is>
      </c>
      <c r="E50" s="22" t="inlineStr">
        <is>
          <t>hibiscus</t>
        </is>
      </c>
    </row>
    <row r="51" ht="15" customHeight="1" s="18">
      <c r="A51" s="22" t="n">
        <v>8</v>
      </c>
      <c r="B51" s="22" t="inlineStr">
        <is>
          <t>Heartspeak</t>
        </is>
      </c>
      <c r="C51" s="22" t="inlineStr">
        <is>
          <t>Tea</t>
        </is>
      </c>
      <c r="D51" s="22" t="inlineStr">
        <is>
          <t>Cardamom</t>
        </is>
      </c>
      <c r="E51" s="22" t="inlineStr">
        <is>
          <t>cardamom</t>
        </is>
      </c>
    </row>
    <row r="52" ht="15" customHeight="1" s="18">
      <c r="A52" s="22" t="n">
        <v>8</v>
      </c>
      <c r="B52" s="22" t="inlineStr">
        <is>
          <t>Heartspeak</t>
        </is>
      </c>
      <c r="C52" s="22" t="inlineStr">
        <is>
          <t>Tea</t>
        </is>
      </c>
      <c r="D52" s="22" t="inlineStr">
        <is>
          <t>Honey</t>
        </is>
      </c>
      <c r="E52" s="22" t="inlineStr">
        <is>
          <t>honey</t>
        </is>
      </c>
    </row>
    <row r="53" ht="15" customHeight="1" s="18">
      <c r="A53" s="22" t="n">
        <v>9</v>
      </c>
      <c r="B53" s="22" t="inlineStr">
        <is>
          <t>The Unbinding Rose</t>
        </is>
      </c>
      <c r="C53" s="22" t="inlineStr">
        <is>
          <t>Witch's Ladder</t>
        </is>
      </c>
      <c r="D53" s="22" t="inlineStr">
        <is>
          <t>Black thread</t>
        </is>
      </c>
      <c r="E53" s="22" t="inlineStr">
        <is>
          <t>Black thread</t>
        </is>
      </c>
    </row>
    <row r="54" ht="15" customHeight="1" s="18">
      <c r="A54" s="22" t="n">
        <v>9</v>
      </c>
      <c r="B54" s="22" t="inlineStr">
        <is>
          <t>The Unbinding Rose</t>
        </is>
      </c>
      <c r="C54" s="22" t="inlineStr">
        <is>
          <t>Witch's Ladder</t>
        </is>
      </c>
      <c r="D54" s="22" t="inlineStr">
        <is>
          <t>Grey thread</t>
        </is>
      </c>
      <c r="E54" s="22" t="inlineStr">
        <is>
          <t>grey thread</t>
        </is>
      </c>
    </row>
    <row r="55" ht="15" customHeight="1" s="18">
      <c r="A55" s="22" t="n">
        <v>9</v>
      </c>
      <c r="B55" s="22" t="inlineStr">
        <is>
          <t>The Unbinding Rose</t>
        </is>
      </c>
      <c r="C55" s="22" t="inlineStr">
        <is>
          <t>Witch's Ladder</t>
        </is>
      </c>
      <c r="D55" s="22" t="inlineStr">
        <is>
          <t>Rose thorns</t>
        </is>
      </c>
      <c r="E55" s="22" t="inlineStr">
        <is>
          <t>rose thorns</t>
        </is>
      </c>
    </row>
    <row r="56" ht="15" customHeight="1" s="18">
      <c r="A56" s="22" t="n">
        <v>9</v>
      </c>
      <c r="B56" s="22" t="inlineStr">
        <is>
          <t>The Unbinding Rose</t>
        </is>
      </c>
      <c r="C56" s="22" t="inlineStr">
        <is>
          <t>Witch's Ladder</t>
        </is>
      </c>
      <c r="D56" s="22" t="inlineStr">
        <is>
          <t>Cypress</t>
        </is>
      </c>
      <c r="E56" s="22" t="inlineStr">
        <is>
          <t>cypress</t>
        </is>
      </c>
    </row>
    <row r="57" ht="15" customHeight="1" s="18">
      <c r="A57" s="22" t="n">
        <v>9</v>
      </c>
      <c r="B57" s="22" t="inlineStr">
        <is>
          <t>The Unbinding Rose</t>
        </is>
      </c>
      <c r="C57" s="22" t="inlineStr">
        <is>
          <t>Witch's Ladder</t>
        </is>
      </c>
      <c r="D57" s="22" t="inlineStr">
        <is>
          <t>Obsidian</t>
        </is>
      </c>
      <c r="E57" s="22" t="inlineStr">
        <is>
          <t>obsidian bead</t>
        </is>
      </c>
    </row>
    <row r="58" ht="15" customHeight="1" s="18">
      <c r="A58" s="22" t="n">
        <v>9</v>
      </c>
      <c r="B58" s="22" t="inlineStr">
        <is>
          <t>The Unbinding Rose</t>
        </is>
      </c>
      <c r="C58" s="22" t="inlineStr">
        <is>
          <t>Witch's Ladder</t>
        </is>
      </c>
      <c r="D58" s="22" t="inlineStr">
        <is>
          <t>Hedgehog quill</t>
        </is>
      </c>
      <c r="E58" s="22" t="inlineStr">
        <is>
          <t>hedgehog quill</t>
        </is>
      </c>
    </row>
    <row r="59" ht="15" customHeight="1" s="18">
      <c r="A59" s="22" t="n">
        <v>9</v>
      </c>
      <c r="B59" s="22" t="inlineStr">
        <is>
          <t>The Unbinding Rose</t>
        </is>
      </c>
      <c r="C59" s="22" t="inlineStr">
        <is>
          <t>Witch's Ladder</t>
        </is>
      </c>
      <c r="D59" s="22" t="inlineStr">
        <is>
          <t>Iron pin</t>
        </is>
      </c>
      <c r="E59" s="22" t="inlineStr">
        <is>
          <t>iron pin</t>
        </is>
      </c>
    </row>
    <row r="60" ht="15" customHeight="1" s="18">
      <c r="A60" s="22" t="n">
        <v>10</v>
      </c>
      <c r="B60" s="22" t="inlineStr">
        <is>
          <t>Petals After Rain</t>
        </is>
      </c>
      <c r="C60" s="22" t="inlineStr">
        <is>
          <t>Balm</t>
        </is>
      </c>
      <c r="D60" s="22" t="inlineStr">
        <is>
          <t>Shea butter</t>
        </is>
      </c>
      <c r="E60" s="22" t="inlineStr">
        <is>
          <t>Shea butter</t>
        </is>
      </c>
    </row>
    <row r="61" ht="15" customHeight="1" s="18">
      <c r="A61" s="22" t="n">
        <v>10</v>
      </c>
      <c r="B61" s="22" t="inlineStr">
        <is>
          <t>Petals After Rain</t>
        </is>
      </c>
      <c r="C61" s="22" t="inlineStr">
        <is>
          <t>Balm</t>
        </is>
      </c>
      <c r="D61" s="22" t="inlineStr">
        <is>
          <t>Beeswax</t>
        </is>
      </c>
      <c r="E61" s="22" t="inlineStr">
        <is>
          <t>beeswax</t>
        </is>
      </c>
    </row>
    <row r="62" ht="15" customHeight="1" s="18">
      <c r="A62" s="22" t="n">
        <v>10</v>
      </c>
      <c r="B62" s="22" t="inlineStr">
        <is>
          <t>Petals After Rain</t>
        </is>
      </c>
      <c r="C62" s="22" t="inlineStr">
        <is>
          <t>Balm</t>
        </is>
      </c>
      <c r="D62" s="22" t="inlineStr">
        <is>
          <t>Rainwater</t>
        </is>
      </c>
      <c r="E62" s="22" t="inlineStr">
        <is>
          <t>Rainwater</t>
        </is>
      </c>
    </row>
    <row r="63" ht="15" customHeight="1" s="18">
      <c r="A63" s="22" t="n">
        <v>10</v>
      </c>
      <c r="B63" s="22" t="inlineStr">
        <is>
          <t>Petals After Rain</t>
        </is>
      </c>
      <c r="C63" s="22" t="inlineStr">
        <is>
          <t>Balm</t>
        </is>
      </c>
      <c r="D63" s="22" t="inlineStr">
        <is>
          <t>Rose petals</t>
        </is>
      </c>
      <c r="E63" s="22" t="inlineStr">
        <is>
          <t>rose petals</t>
        </is>
      </c>
    </row>
    <row r="64" ht="15" customHeight="1" s="18">
      <c r="A64" s="22" t="n">
        <v>10</v>
      </c>
      <c r="B64" s="22" t="inlineStr">
        <is>
          <t>Petals After Rain</t>
        </is>
      </c>
      <c r="C64" s="22" t="inlineStr">
        <is>
          <t>Balm</t>
        </is>
      </c>
      <c r="D64" s="22" t="inlineStr">
        <is>
          <t>Calendula</t>
        </is>
      </c>
      <c r="E64" s="22" t="inlineStr">
        <is>
          <t>calendula</t>
        </is>
      </c>
    </row>
    <row r="65" ht="15" customHeight="1" s="18">
      <c r="A65" s="22" t="n">
        <v>10</v>
      </c>
      <c r="B65" s="22" t="inlineStr">
        <is>
          <t>Petals After Rain</t>
        </is>
      </c>
      <c r="C65" s="22" t="inlineStr">
        <is>
          <t>Balm</t>
        </is>
      </c>
      <c r="D65" s="22" t="inlineStr">
        <is>
          <t>Rhodonite</t>
        </is>
      </c>
      <c r="E65" s="22" t="inlineStr">
        <is>
          <t>rhodonite</t>
        </is>
      </c>
    </row>
    <row r="66" ht="15" customHeight="1" s="18">
      <c r="A66" s="22" t="n">
        <v>11</v>
      </c>
      <c r="B66" s="22" t="inlineStr">
        <is>
          <t>Strawberry Moon</t>
        </is>
      </c>
      <c r="C66" s="22" t="inlineStr">
        <is>
          <t>Cookies</t>
        </is>
      </c>
      <c r="D66" s="22" t="inlineStr">
        <is>
          <t>Strawberry</t>
        </is>
      </c>
      <c r="E66" s="22" t="inlineStr">
        <is>
          <t>Fresh strawberries</t>
        </is>
      </c>
    </row>
    <row r="67" ht="15" customHeight="1" s="18">
      <c r="A67" s="22" t="n">
        <v>11</v>
      </c>
      <c r="B67" s="22" t="inlineStr">
        <is>
          <t>Strawberry Moon</t>
        </is>
      </c>
      <c r="C67" s="22" t="inlineStr">
        <is>
          <t>Cookies</t>
        </is>
      </c>
      <c r="D67" s="22" t="inlineStr">
        <is>
          <t>Butter</t>
        </is>
      </c>
      <c r="E67" s="22" t="inlineStr">
        <is>
          <t>butter</t>
        </is>
      </c>
    </row>
    <row r="68" ht="15" customHeight="1" s="18">
      <c r="A68" s="22" t="n">
        <v>11</v>
      </c>
      <c r="B68" s="22" t="inlineStr">
        <is>
          <t>Strawberry Moon</t>
        </is>
      </c>
      <c r="C68" s="22" t="inlineStr">
        <is>
          <t>Cookies</t>
        </is>
      </c>
      <c r="D68" s="22" t="inlineStr">
        <is>
          <t>Sugar</t>
        </is>
      </c>
      <c r="E68" s="22" t="inlineStr">
        <is>
          <t>sugar</t>
        </is>
      </c>
    </row>
    <row r="69" ht="15" customHeight="1" s="18">
      <c r="A69" s="22" t="n">
        <v>11</v>
      </c>
      <c r="B69" s="22" t="inlineStr">
        <is>
          <t>Strawberry Moon</t>
        </is>
      </c>
      <c r="C69" s="22" t="inlineStr">
        <is>
          <t>Cookies</t>
        </is>
      </c>
      <c r="D69" s="22" t="inlineStr">
        <is>
          <t>Flour</t>
        </is>
      </c>
      <c r="E69" s="22" t="inlineStr">
        <is>
          <t>flour</t>
        </is>
      </c>
    </row>
    <row r="70" ht="15" customHeight="1" s="18">
      <c r="A70" s="22" t="n">
        <v>11</v>
      </c>
      <c r="B70" s="22" t="inlineStr">
        <is>
          <t>Strawberry Moon</t>
        </is>
      </c>
      <c r="C70" s="22" t="inlineStr">
        <is>
          <t>Cookies</t>
        </is>
      </c>
      <c r="D70" s="22" t="inlineStr">
        <is>
          <t>Vanilla</t>
        </is>
      </c>
      <c r="E70" s="22" t="inlineStr">
        <is>
          <t>vanilla</t>
        </is>
      </c>
    </row>
    <row r="71" ht="15" customHeight="1" s="18">
      <c r="A71" s="22" t="n">
        <v>11</v>
      </c>
      <c r="B71" s="22" t="inlineStr">
        <is>
          <t>Strawberry Moon</t>
        </is>
      </c>
      <c r="C71" s="22" t="inlineStr">
        <is>
          <t>Cookies</t>
        </is>
      </c>
      <c r="D71" s="22" t="inlineStr">
        <is>
          <t>Pink sprinkles</t>
        </is>
      </c>
      <c r="E71" s="22" t="inlineStr">
        <is>
          <t>pink sprinkles</t>
        </is>
      </c>
    </row>
    <row r="72" ht="15" customHeight="1" s="18">
      <c r="A72" s="22" t="n">
        <v>11</v>
      </c>
      <c r="B72" s="22" t="inlineStr">
        <is>
          <t>Strawberry Moon</t>
        </is>
      </c>
      <c r="C72" s="22" t="inlineStr">
        <is>
          <t>Cookies</t>
        </is>
      </c>
      <c r="D72" s="22" t="inlineStr">
        <is>
          <t>Rose petals</t>
        </is>
      </c>
      <c r="E72" s="22" t="inlineStr">
        <is>
          <t>candied rose petal</t>
        </is>
      </c>
    </row>
    <row r="73" ht="15" customHeight="1" s="18">
      <c r="A73" s="22" t="n">
        <v>12</v>
      </c>
      <c r="B73" s="22" t="inlineStr">
        <is>
          <t>The Lover's Mirror</t>
        </is>
      </c>
      <c r="C73" s="22" t="inlineStr">
        <is>
          <t>Hand Mirror</t>
        </is>
      </c>
      <c r="D73" s="22" t="inlineStr">
        <is>
          <t>Clamshell compact</t>
        </is>
      </c>
      <c r="E73" s="22" t="inlineStr">
        <is>
          <t>Clamshell compact</t>
        </is>
      </c>
    </row>
    <row r="74" ht="15" customHeight="1" s="18">
      <c r="A74" s="22" t="n">
        <v>12</v>
      </c>
      <c r="B74" s="22" t="inlineStr">
        <is>
          <t>The Lover's Mirror</t>
        </is>
      </c>
      <c r="C74" s="22" t="inlineStr">
        <is>
          <t>Hand Mirror</t>
        </is>
      </c>
      <c r="D74" s="22" t="inlineStr">
        <is>
          <t>Rosewater</t>
        </is>
      </c>
      <c r="E74" s="22" t="inlineStr">
        <is>
          <t>Rosewater</t>
        </is>
      </c>
    </row>
    <row r="75" ht="15" customHeight="1" s="18">
      <c r="A75" s="22" t="n">
        <v>12</v>
      </c>
      <c r="B75" s="22" t="inlineStr">
        <is>
          <t>The Lover's Mirror</t>
        </is>
      </c>
      <c r="C75" s="22" t="inlineStr">
        <is>
          <t>Hand Mirror</t>
        </is>
      </c>
      <c r="D75" s="22" t="inlineStr">
        <is>
          <t>Rose quartz</t>
        </is>
      </c>
      <c r="E75" s="22" t="inlineStr">
        <is>
          <t>rose quartz</t>
        </is>
      </c>
    </row>
    <row r="76" ht="15" customHeight="1" s="18">
      <c r="A76" s="22" t="n">
        <v>12</v>
      </c>
      <c r="B76" s="22" t="inlineStr">
        <is>
          <t>The Lover's Mirror</t>
        </is>
      </c>
      <c r="C76" s="22" t="inlineStr">
        <is>
          <t>Hand Mirror</t>
        </is>
      </c>
      <c r="D76" s="22" t="inlineStr">
        <is>
          <t>Red thread</t>
        </is>
      </c>
      <c r="E76" s="22" t="inlineStr">
        <is>
          <t>red thread on the hinge</t>
        </is>
      </c>
    </row>
    <row r="77" ht="15" customHeight="1" s="18">
      <c r="A77" s="22" t="n">
        <v>12</v>
      </c>
      <c r="B77" s="22" t="inlineStr">
        <is>
          <t>The Lover's Mirror</t>
        </is>
      </c>
      <c r="C77" s="22" t="inlineStr">
        <is>
          <t>Hand Mirror</t>
        </is>
      </c>
      <c r="D77" s="22" t="inlineStr">
        <is>
          <t>Swan down</t>
        </is>
      </c>
      <c r="E77" s="22" t="inlineStr">
        <is>
          <t>swan down</t>
        </is>
      </c>
    </row>
    <row r="78" ht="15" customHeight="1" s="18">
      <c r="A78" s="22" t="n">
        <v>13</v>
      </c>
      <c r="B78" s="22" t="inlineStr">
        <is>
          <t>Crimson Kiss</t>
        </is>
      </c>
      <c r="C78" s="22" t="inlineStr">
        <is>
          <t>Powder</t>
        </is>
      </c>
      <c r="D78" s="22" t="inlineStr">
        <is>
          <t>Hibiscus</t>
        </is>
      </c>
      <c r="E78" s="22" t="inlineStr">
        <is>
          <t>Hibiscus powder</t>
        </is>
      </c>
    </row>
    <row r="79" ht="15" customHeight="1" s="18">
      <c r="A79" s="22" t="n">
        <v>13</v>
      </c>
      <c r="B79" s="22" t="inlineStr">
        <is>
          <t>Crimson Kiss</t>
        </is>
      </c>
      <c r="C79" s="22" t="inlineStr">
        <is>
          <t>Powder</t>
        </is>
      </c>
      <c r="D79" s="22" t="inlineStr">
        <is>
          <t>Cinnamon</t>
        </is>
      </c>
      <c r="E79" s="22" t="inlineStr">
        <is>
          <t>cinnamon</t>
        </is>
      </c>
    </row>
    <row r="80" ht="15" customHeight="1" s="18">
      <c r="A80" s="22" t="n">
        <v>13</v>
      </c>
      <c r="B80" s="22" t="inlineStr">
        <is>
          <t>Crimson Kiss</t>
        </is>
      </c>
      <c r="C80" s="22" t="inlineStr">
        <is>
          <t>Powder</t>
        </is>
      </c>
      <c r="D80" s="22" t="inlineStr">
        <is>
          <t>Chili</t>
        </is>
      </c>
      <c r="E80" s="22" t="inlineStr">
        <is>
          <t>a tiny pinch of chili</t>
        </is>
      </c>
    </row>
    <row r="81" ht="15" customHeight="1" s="18">
      <c r="A81" s="22" t="n">
        <v>13</v>
      </c>
      <c r="B81" s="22" t="inlineStr">
        <is>
          <t>Crimson Kiss</t>
        </is>
      </c>
      <c r="C81" s="22" t="inlineStr">
        <is>
          <t>Powder</t>
        </is>
      </c>
      <c r="D81" s="22" t="inlineStr">
        <is>
          <t>Beetroot powder</t>
        </is>
      </c>
      <c r="E81" s="22" t="inlineStr">
        <is>
          <t>beetroot powder</t>
        </is>
      </c>
    </row>
    <row r="82" ht="15" customHeight="1" s="18">
      <c r="A82" s="22" t="n">
        <v>13</v>
      </c>
      <c r="B82" s="22" t="inlineStr">
        <is>
          <t>Crimson Kiss</t>
        </is>
      </c>
      <c r="C82" s="22" t="inlineStr">
        <is>
          <t>Powder</t>
        </is>
      </c>
      <c r="D82" s="22" t="inlineStr">
        <is>
          <t>Black tea</t>
        </is>
      </c>
      <c r="E82" s="22" t="inlineStr">
        <is>
          <t>black tea</t>
        </is>
      </c>
    </row>
    <row r="83" ht="15" customHeight="1" s="18">
      <c r="A83" s="22" t="n">
        <v>14</v>
      </c>
      <c r="B83" s="22" t="inlineStr">
        <is>
          <t>The Golden Vow</t>
        </is>
      </c>
      <c r="C83" s="22" t="inlineStr">
        <is>
          <t>Talisman</t>
        </is>
      </c>
      <c r="D83" s="22" t="inlineStr">
        <is>
          <t>Wooden disc</t>
        </is>
      </c>
      <c r="E83" s="22" t="inlineStr">
        <is>
          <t>Wooden disc</t>
        </is>
      </c>
    </row>
    <row r="84" ht="15" customHeight="1" s="18">
      <c r="A84" s="22" t="n">
        <v>14</v>
      </c>
      <c r="B84" s="22" t="inlineStr">
        <is>
          <t>The Golden Vow</t>
        </is>
      </c>
      <c r="C84" s="22" t="inlineStr">
        <is>
          <t>Talisman</t>
        </is>
      </c>
      <c r="D84" s="22" t="inlineStr">
        <is>
          <t>Velvet ribbon (red)</t>
        </is>
      </c>
      <c r="E84" s="22" t="inlineStr">
        <is>
          <t>velvet ribbon (red)</t>
        </is>
      </c>
    </row>
    <row r="85" ht="15" customHeight="1" s="18">
      <c r="A85" s="22" t="n">
        <v>14</v>
      </c>
      <c r="B85" s="22" t="inlineStr">
        <is>
          <t>The Golden Vow</t>
        </is>
      </c>
      <c r="C85" s="22" t="inlineStr">
        <is>
          <t>Talisman</t>
        </is>
      </c>
      <c r="D85" s="22" t="inlineStr">
        <is>
          <t>Jade</t>
        </is>
      </c>
      <c r="E85" s="22" t="inlineStr">
        <is>
          <t>jade</t>
        </is>
      </c>
    </row>
    <row r="86" ht="15" customHeight="1" s="18">
      <c r="A86" s="22" t="n">
        <v>14</v>
      </c>
      <c r="B86" s="22" t="inlineStr">
        <is>
          <t>The Golden Vow</t>
        </is>
      </c>
      <c r="C86" s="22" t="inlineStr">
        <is>
          <t>Talisman</t>
        </is>
      </c>
      <c r="D86" s="22" t="inlineStr">
        <is>
          <t>Rosebud</t>
        </is>
      </c>
      <c r="E86" s="22" t="inlineStr">
        <is>
          <t>rosebud</t>
        </is>
      </c>
    </row>
    <row r="87" ht="15" customHeight="1" s="18">
      <c r="A87" s="22" t="n">
        <v>14</v>
      </c>
      <c r="B87" s="22" t="inlineStr">
        <is>
          <t>The Golden Vow</t>
        </is>
      </c>
      <c r="C87" s="22" t="inlineStr">
        <is>
          <t>Talisman</t>
        </is>
      </c>
      <c r="D87" s="22" t="inlineStr">
        <is>
          <t>Honey</t>
        </is>
      </c>
      <c r="E87" s="22" t="inlineStr">
        <is>
          <t>honey</t>
        </is>
      </c>
    </row>
    <row r="88" ht="15" customHeight="1" s="18">
      <c r="A88" s="22" t="n">
        <v>15</v>
      </c>
      <c r="B88" s="22" t="inlineStr">
        <is>
          <t>Beloved by Starlight</t>
        </is>
      </c>
      <c r="C88" s="22" t="inlineStr">
        <is>
          <t>Sigil</t>
        </is>
      </c>
      <c r="D88" s="22" t="inlineStr">
        <is>
          <t>Paper</t>
        </is>
      </c>
      <c r="E88" s="22" t="inlineStr">
        <is>
          <t>Paper</t>
        </is>
      </c>
    </row>
    <row r="89" ht="15" customHeight="1" s="18">
      <c r="A89" s="22" t="n">
        <v>15</v>
      </c>
      <c r="B89" s="22" t="inlineStr">
        <is>
          <t>Beloved by Starlight</t>
        </is>
      </c>
      <c r="C89" s="22" t="inlineStr">
        <is>
          <t>Sigil</t>
        </is>
      </c>
      <c r="D89" s="22" t="inlineStr">
        <is>
          <t>Violet ink</t>
        </is>
      </c>
      <c r="E89" s="22" t="inlineStr">
        <is>
          <t>violet ink</t>
        </is>
      </c>
    </row>
    <row r="90" ht="15" customHeight="1" s="18">
      <c r="A90" s="22" t="n">
        <v>15</v>
      </c>
      <c r="B90" s="22" t="inlineStr">
        <is>
          <t>Beloved by Starlight</t>
        </is>
      </c>
      <c r="C90" s="22" t="inlineStr">
        <is>
          <t>Sigil</t>
        </is>
      </c>
      <c r="D90" s="22" t="inlineStr">
        <is>
          <t>Rosewater</t>
        </is>
      </c>
      <c r="E90" s="22" t="inlineStr">
        <is>
          <t>rosewater</t>
        </is>
      </c>
    </row>
    <row r="91" ht="15" customHeight="1" s="18">
      <c r="A91" s="22" t="n">
        <v>15</v>
      </c>
      <c r="B91" s="22" t="inlineStr">
        <is>
          <t>Beloved by Starlight</t>
        </is>
      </c>
      <c r="C91" s="22" t="inlineStr">
        <is>
          <t>Sigil</t>
        </is>
      </c>
      <c r="D91" s="22" t="inlineStr">
        <is>
          <t>Silver mica</t>
        </is>
      </c>
      <c r="E91" s="22" t="inlineStr">
        <is>
          <t>silver mica</t>
        </is>
      </c>
    </row>
    <row r="92" ht="15" customHeight="1" s="18">
      <c r="A92" s="22" t="n">
        <v>15</v>
      </c>
      <c r="B92" s="22" t="inlineStr">
        <is>
          <t>Beloved by Starlight</t>
        </is>
      </c>
      <c r="C92" s="22" t="inlineStr">
        <is>
          <t>Sigil</t>
        </is>
      </c>
      <c r="D92" s="22" t="inlineStr">
        <is>
          <t>Moonstone</t>
        </is>
      </c>
      <c r="E92" s="22" t="inlineStr">
        <is>
          <t>moonstone</t>
        </is>
      </c>
    </row>
    <row r="93" ht="15" customHeight="1" s="18">
      <c r="A93" s="22" t="n">
        <v>16</v>
      </c>
      <c r="B93" s="22" t="inlineStr">
        <is>
          <t>The Iron Moon</t>
        </is>
      </c>
      <c r="C93" s="22" t="inlineStr">
        <is>
          <t>Amulet</t>
        </is>
      </c>
      <c r="D93" s="22" t="inlineStr">
        <is>
          <t>Iron nail</t>
        </is>
      </c>
      <c r="E93" s="22" t="inlineStr">
        <is>
          <t>Iron nail</t>
        </is>
      </c>
    </row>
    <row r="94" ht="15" customHeight="1" s="18">
      <c r="A94" s="22" t="n">
        <v>16</v>
      </c>
      <c r="B94" s="22" t="inlineStr">
        <is>
          <t>The Iron Moon</t>
        </is>
      </c>
      <c r="C94" s="22" t="inlineStr">
        <is>
          <t>Amulet</t>
        </is>
      </c>
      <c r="D94" s="22" t="inlineStr">
        <is>
          <t>Black tourmaline</t>
        </is>
      </c>
      <c r="E94" s="22" t="inlineStr">
        <is>
          <t>black tourmaline</t>
        </is>
      </c>
    </row>
    <row r="95" ht="15" customHeight="1" s="18">
      <c r="A95" s="22" t="n">
        <v>16</v>
      </c>
      <c r="B95" s="22" t="inlineStr">
        <is>
          <t>The Iron Moon</t>
        </is>
      </c>
      <c r="C95" s="22" t="inlineStr">
        <is>
          <t>Amulet</t>
        </is>
      </c>
      <c r="D95" s="22" t="inlineStr">
        <is>
          <t>Moonstone</t>
        </is>
      </c>
      <c r="E95" s="22" t="inlineStr">
        <is>
          <t>moonstone</t>
        </is>
      </c>
    </row>
    <row r="96" ht="15" customHeight="1" s="18">
      <c r="A96" s="22" t="n">
        <v>16</v>
      </c>
      <c r="B96" s="22" t="inlineStr">
        <is>
          <t>The Iron Moon</t>
        </is>
      </c>
      <c r="C96" s="22" t="inlineStr">
        <is>
          <t>Amulet</t>
        </is>
      </c>
      <c r="D96" s="22" t="inlineStr">
        <is>
          <t>Rosemary</t>
        </is>
      </c>
      <c r="E96" s="22" t="inlineStr">
        <is>
          <t>rosemary</t>
        </is>
      </c>
    </row>
    <row r="97" ht="15" customHeight="1" s="18">
      <c r="A97" s="22" t="n">
        <v>16</v>
      </c>
      <c r="B97" s="22" t="inlineStr">
        <is>
          <t>The Iron Moon</t>
        </is>
      </c>
      <c r="C97" s="22" t="inlineStr">
        <is>
          <t>Amulet</t>
        </is>
      </c>
      <c r="D97" s="22" t="inlineStr">
        <is>
          <t>Silver thread</t>
        </is>
      </c>
      <c r="E97" s="22" t="inlineStr">
        <is>
          <t>silver thread</t>
        </is>
      </c>
    </row>
    <row r="98" ht="15" customHeight="1" s="18">
      <c r="A98" s="22" t="n">
        <v>16</v>
      </c>
      <c r="B98" s="22" t="inlineStr">
        <is>
          <t>The Iron Moon</t>
        </is>
      </c>
      <c r="C98" s="22" t="inlineStr">
        <is>
          <t>Amulet</t>
        </is>
      </c>
      <c r="D98" s="22" t="inlineStr">
        <is>
          <t>Moonwater</t>
        </is>
      </c>
      <c r="E98" s="22" t="inlineStr">
        <is>
          <t>Moonwater</t>
        </is>
      </c>
    </row>
    <row r="99" ht="15" customHeight="1" s="18">
      <c r="A99" s="22" t="n">
        <v>17</v>
      </c>
      <c r="B99" s="22" t="inlineStr">
        <is>
          <t>Hearthkeeper's Blessing</t>
        </is>
      </c>
      <c r="C99" s="22" t="inlineStr">
        <is>
          <t>Witch Salt</t>
        </is>
      </c>
      <c r="D99" s="22" t="inlineStr">
        <is>
          <t>Sea salt</t>
        </is>
      </c>
      <c r="E99" s="22" t="inlineStr">
        <is>
          <t>Sea salt</t>
        </is>
      </c>
    </row>
    <row r="100" ht="15" customHeight="1" s="18">
      <c r="A100" s="22" t="n">
        <v>17</v>
      </c>
      <c r="B100" s="22" t="inlineStr">
        <is>
          <t>Hearthkeeper's Blessing</t>
        </is>
      </c>
      <c r="C100" s="22" t="inlineStr">
        <is>
          <t>Witch Salt</t>
        </is>
      </c>
      <c r="D100" s="22" t="inlineStr">
        <is>
          <t>Hearth ash</t>
        </is>
      </c>
      <c r="E100" s="22" t="inlineStr">
        <is>
          <t>hearth ash</t>
        </is>
      </c>
    </row>
    <row r="101" ht="15" customHeight="1" s="18">
      <c r="A101" s="22" t="n">
        <v>17</v>
      </c>
      <c r="B101" s="22" t="inlineStr">
        <is>
          <t>Hearthkeeper's Blessing</t>
        </is>
      </c>
      <c r="C101" s="22" t="inlineStr">
        <is>
          <t>Witch Salt</t>
        </is>
      </c>
      <c r="D101" s="22" t="inlineStr">
        <is>
          <t>Rosemary</t>
        </is>
      </c>
      <c r="E101" s="22" t="inlineStr">
        <is>
          <t>rosemary</t>
        </is>
      </c>
    </row>
    <row r="102" ht="15" customHeight="1" s="18">
      <c r="A102" s="22" t="n">
        <v>17</v>
      </c>
      <c r="B102" s="22" t="inlineStr">
        <is>
          <t>Hearthkeeper's Blessing</t>
        </is>
      </c>
      <c r="C102" s="22" t="inlineStr">
        <is>
          <t>Witch Salt</t>
        </is>
      </c>
      <c r="D102" s="22" t="inlineStr">
        <is>
          <t>Bay leaf</t>
        </is>
      </c>
      <c r="E102" s="22" t="inlineStr">
        <is>
          <t>bay leaf</t>
        </is>
      </c>
    </row>
    <row r="103" ht="15" customHeight="1" s="18">
      <c r="A103" s="22" t="n">
        <v>17</v>
      </c>
      <c r="B103" s="22" t="inlineStr">
        <is>
          <t>Hearthkeeper's Blessing</t>
        </is>
      </c>
      <c r="C103" s="22" t="inlineStr">
        <is>
          <t>Witch Salt</t>
        </is>
      </c>
      <c r="D103" s="22" t="inlineStr">
        <is>
          <t>Eggshell</t>
        </is>
      </c>
      <c r="E103" s="22" t="inlineStr">
        <is>
          <t>eggshell powder</t>
        </is>
      </c>
    </row>
    <row r="104" ht="15" customHeight="1" s="18">
      <c r="A104" s="22" t="n">
        <v>17</v>
      </c>
      <c r="B104" s="22" t="inlineStr">
        <is>
          <t>Hearthkeeper's Blessing</t>
        </is>
      </c>
      <c r="C104" s="22" t="inlineStr">
        <is>
          <t>Witch Salt</t>
        </is>
      </c>
      <c r="D104" s="22" t="inlineStr">
        <is>
          <t>Juniper</t>
        </is>
      </c>
      <c r="E104" s="22" t="inlineStr">
        <is>
          <t>juniper berries</t>
        </is>
      </c>
    </row>
    <row r="105" ht="15" customHeight="1" s="18">
      <c r="A105" s="22" t="n">
        <v>18</v>
      </c>
      <c r="B105" s="22" t="inlineStr">
        <is>
          <t>The Closed Gate</t>
        </is>
      </c>
      <c r="C105" s="22" t="inlineStr">
        <is>
          <t>Sigil</t>
        </is>
      </c>
      <c r="D105" s="22" t="inlineStr">
        <is>
          <t>Paper</t>
        </is>
      </c>
      <c r="E105" s="22" t="inlineStr">
        <is>
          <t>Paper</t>
        </is>
      </c>
    </row>
    <row r="106" ht="15" customHeight="1" s="18">
      <c r="A106" s="22" t="n">
        <v>18</v>
      </c>
      <c r="B106" s="22" t="inlineStr">
        <is>
          <t>The Closed Gate</t>
        </is>
      </c>
      <c r="C106" s="22" t="inlineStr">
        <is>
          <t>Sigil</t>
        </is>
      </c>
      <c r="D106" s="22" t="inlineStr">
        <is>
          <t>Black ink</t>
        </is>
      </c>
      <c r="E106" s="22" t="inlineStr">
        <is>
          <t>black ink</t>
        </is>
      </c>
    </row>
    <row r="107" ht="15" customHeight="1" s="18">
      <c r="A107" s="22" t="n">
        <v>18</v>
      </c>
      <c r="B107" s="22" t="inlineStr">
        <is>
          <t>The Closed Gate</t>
        </is>
      </c>
      <c r="C107" s="22" t="inlineStr">
        <is>
          <t>Sigil</t>
        </is>
      </c>
      <c r="D107" s="22" t="inlineStr">
        <is>
          <t>Myrrh</t>
        </is>
      </c>
      <c r="E107" s="22" t="inlineStr">
        <is>
          <t>myrrh smoke</t>
        </is>
      </c>
    </row>
    <row r="108" ht="15" customHeight="1" s="18">
      <c r="A108" s="22" t="n">
        <v>18</v>
      </c>
      <c r="B108" s="22" t="inlineStr">
        <is>
          <t>The Closed Gate</t>
        </is>
      </c>
      <c r="C108" s="22" t="inlineStr">
        <is>
          <t>Sigil</t>
        </is>
      </c>
      <c r="D108" s="22" t="inlineStr">
        <is>
          <t>Obsidian</t>
        </is>
      </c>
      <c r="E108" s="22" t="inlineStr">
        <is>
          <t>obsidian</t>
        </is>
      </c>
    </row>
    <row r="109" ht="15" customHeight="1" s="18">
      <c r="A109" s="22" t="n">
        <v>18</v>
      </c>
      <c r="B109" s="22" t="inlineStr">
        <is>
          <t>The Closed Gate</t>
        </is>
      </c>
      <c r="C109" s="22" t="inlineStr">
        <is>
          <t>Sigil</t>
        </is>
      </c>
      <c r="D109" s="22" t="inlineStr">
        <is>
          <t>Small key</t>
        </is>
      </c>
      <c r="E109" s="22" t="inlineStr">
        <is>
          <t>small iron key</t>
        </is>
      </c>
    </row>
    <row r="110" ht="15" customHeight="1" s="18">
      <c r="A110" s="22" t="n">
        <v>19</v>
      </c>
      <c r="B110" s="22" t="inlineStr">
        <is>
          <t>No Further, No Closer</t>
        </is>
      </c>
      <c r="C110" s="22" t="inlineStr">
        <is>
          <t>Wand</t>
        </is>
      </c>
      <c r="D110" s="22" t="inlineStr">
        <is>
          <t>Rowan branch</t>
        </is>
      </c>
      <c r="E110" s="22" t="inlineStr">
        <is>
          <t>Fallen rowan branch</t>
        </is>
      </c>
    </row>
    <row r="111" ht="15" customHeight="1" s="18">
      <c r="A111" s="22" t="n">
        <v>19</v>
      </c>
      <c r="B111" s="22" t="inlineStr">
        <is>
          <t>No Further, No Closer</t>
        </is>
      </c>
      <c r="C111" s="22" t="inlineStr">
        <is>
          <t>Wand</t>
        </is>
      </c>
      <c r="D111" s="22" t="inlineStr">
        <is>
          <t>Black thread</t>
        </is>
      </c>
      <c r="E111" s="22" t="inlineStr">
        <is>
          <t>black thread</t>
        </is>
      </c>
    </row>
    <row r="112" ht="15" customHeight="1" s="18">
      <c r="A112" s="22" t="n">
        <v>19</v>
      </c>
      <c r="B112" s="22" t="inlineStr">
        <is>
          <t>No Further, No Closer</t>
        </is>
      </c>
      <c r="C112" s="22" t="inlineStr">
        <is>
          <t>Wand</t>
        </is>
      </c>
      <c r="D112" s="22" t="inlineStr">
        <is>
          <t>Hematite</t>
        </is>
      </c>
      <c r="E112" s="22" t="inlineStr">
        <is>
          <t>hematite</t>
        </is>
      </c>
    </row>
    <row r="113" ht="15" customHeight="1" s="18">
      <c r="A113" s="22" t="n">
        <v>19</v>
      </c>
      <c r="B113" s="22" t="inlineStr">
        <is>
          <t>No Further, No Closer</t>
        </is>
      </c>
      <c r="C113" s="22" t="inlineStr">
        <is>
          <t>Wand</t>
        </is>
      </c>
      <c r="D113" s="22" t="inlineStr">
        <is>
          <t>Hedgehog quill</t>
        </is>
      </c>
      <c r="E113" s="22" t="inlineStr">
        <is>
          <t>hedgehog quill</t>
        </is>
      </c>
    </row>
    <row r="114" ht="15" customHeight="1" s="18">
      <c r="A114" s="22" t="n">
        <v>20</v>
      </c>
      <c r="B114" s="22" t="inlineStr">
        <is>
          <t>The Unclouded Eye</t>
        </is>
      </c>
      <c r="C114" s="22" t="inlineStr">
        <is>
          <t>Charm</t>
        </is>
      </c>
      <c r="D114" s="22" t="inlineStr">
        <is>
          <t>Glass bead</t>
        </is>
      </c>
      <c r="E114" s="22" t="inlineStr">
        <is>
          <t>Blue glass bead</t>
        </is>
      </c>
    </row>
    <row r="115" ht="15" customHeight="1" s="18">
      <c r="A115" s="22" t="n">
        <v>20</v>
      </c>
      <c r="B115" s="22" t="inlineStr">
        <is>
          <t>The Unclouded Eye</t>
        </is>
      </c>
      <c r="C115" s="22" t="inlineStr">
        <is>
          <t>Charm</t>
        </is>
      </c>
      <c r="D115" s="22" t="inlineStr">
        <is>
          <t>Clear quartz</t>
        </is>
      </c>
      <c r="E115" s="22" t="inlineStr">
        <is>
          <t>clear quartz</t>
        </is>
      </c>
    </row>
    <row r="116" ht="15" customHeight="1" s="18">
      <c r="A116" s="22" t="n">
        <v>20</v>
      </c>
      <c r="B116" s="22" t="inlineStr">
        <is>
          <t>The Unclouded Eye</t>
        </is>
      </c>
      <c r="C116" s="22" t="inlineStr">
        <is>
          <t>Charm</t>
        </is>
      </c>
      <c r="D116" s="22" t="inlineStr">
        <is>
          <t>Rue</t>
        </is>
      </c>
      <c r="E116" s="22" t="inlineStr">
        <is>
          <t>rue</t>
        </is>
      </c>
    </row>
    <row r="117" ht="15" customHeight="1" s="18">
      <c r="A117" s="22" t="n">
        <v>20</v>
      </c>
      <c r="B117" s="22" t="inlineStr">
        <is>
          <t>The Unclouded Eye</t>
        </is>
      </c>
      <c r="C117" s="22" t="inlineStr">
        <is>
          <t>Charm</t>
        </is>
      </c>
      <c r="D117" s="22" t="inlineStr">
        <is>
          <t>Lime peel</t>
        </is>
      </c>
      <c r="E117" s="22" t="inlineStr">
        <is>
          <t>lime peel</t>
        </is>
      </c>
    </row>
    <row r="118" ht="15" customHeight="1" s="18">
      <c r="A118" s="22" t="n">
        <v>20</v>
      </c>
      <c r="B118" s="22" t="inlineStr">
        <is>
          <t>The Unclouded Eye</t>
        </is>
      </c>
      <c r="C118" s="22" t="inlineStr">
        <is>
          <t>Charm</t>
        </is>
      </c>
      <c r="D118" s="22" t="inlineStr">
        <is>
          <t>Blue thread</t>
        </is>
      </c>
      <c r="E118" s="22" t="inlineStr">
        <is>
          <t>blue thread</t>
        </is>
      </c>
    </row>
    <row r="119" ht="15" customHeight="1" s="18">
      <c r="A119" s="22" t="n">
        <v>20</v>
      </c>
      <c r="B119" s="22" t="inlineStr">
        <is>
          <t>The Unclouded Eye</t>
        </is>
      </c>
      <c r="C119" s="22" t="inlineStr">
        <is>
          <t>Charm</t>
        </is>
      </c>
      <c r="D119" s="22" t="inlineStr">
        <is>
          <t>Peacock feather</t>
        </is>
      </c>
      <c r="E119" s="22" t="inlineStr">
        <is>
          <t>peacock feather</t>
        </is>
      </c>
    </row>
    <row r="120" ht="15" customHeight="1" s="18">
      <c r="A120" s="22" t="n">
        <v>21</v>
      </c>
      <c r="B120" s="22" t="inlineStr">
        <is>
          <t>Wayfarer's Ward</t>
        </is>
      </c>
      <c r="C120" s="22" t="inlineStr">
        <is>
          <t>Talisman</t>
        </is>
      </c>
      <c r="D120" s="22" t="inlineStr">
        <is>
          <t>Wooden disc</t>
        </is>
      </c>
      <c r="E120" s="22" t="inlineStr">
        <is>
          <t>Wooden disc</t>
        </is>
      </c>
    </row>
    <row r="121" ht="15" customHeight="1" s="18">
      <c r="A121" s="22" t="n">
        <v>21</v>
      </c>
      <c r="B121" s="22" t="inlineStr">
        <is>
          <t>Wayfarer's Ward</t>
        </is>
      </c>
      <c r="C121" s="22" t="inlineStr">
        <is>
          <t>Talisman</t>
        </is>
      </c>
      <c r="D121" s="22" t="inlineStr">
        <is>
          <t>Comfrey leaf</t>
        </is>
      </c>
      <c r="E121" s="22" t="inlineStr">
        <is>
          <t>comfrey leaf</t>
        </is>
      </c>
    </row>
    <row r="122" ht="15" customHeight="1" s="18">
      <c r="A122" s="22" t="n">
        <v>21</v>
      </c>
      <c r="B122" s="22" t="inlineStr">
        <is>
          <t>Wayfarer's Ward</t>
        </is>
      </c>
      <c r="C122" s="22" t="inlineStr">
        <is>
          <t>Talisman</t>
        </is>
      </c>
      <c r="D122" s="22" t="inlineStr">
        <is>
          <t>Mugwort</t>
        </is>
      </c>
      <c r="E122" s="22" t="inlineStr">
        <is>
          <t>mugwort</t>
        </is>
      </c>
    </row>
    <row r="123" ht="15" customHeight="1" s="18">
      <c r="A123" s="22" t="n">
        <v>21</v>
      </c>
      <c r="B123" s="22" t="inlineStr">
        <is>
          <t>Wayfarer's Ward</t>
        </is>
      </c>
      <c r="C123" s="22" t="inlineStr">
        <is>
          <t>Talisman</t>
        </is>
      </c>
      <c r="D123" s="22" t="inlineStr">
        <is>
          <t>Amazonite</t>
        </is>
      </c>
      <c r="E123" s="22" t="inlineStr">
        <is>
          <t>amazonite</t>
        </is>
      </c>
    </row>
    <row r="124" ht="15" customHeight="1" s="18">
      <c r="A124" s="22" t="n">
        <v>21</v>
      </c>
      <c r="B124" s="22" t="inlineStr">
        <is>
          <t>Wayfarer's Ward</t>
        </is>
      </c>
      <c r="C124" s="22" t="inlineStr">
        <is>
          <t>Talisman</t>
        </is>
      </c>
      <c r="D124" s="22" t="inlineStr">
        <is>
          <t>Malachite</t>
        </is>
      </c>
      <c r="E124" s="22" t="inlineStr">
        <is>
          <t>malachite</t>
        </is>
      </c>
    </row>
    <row r="125" ht="15" customHeight="1" s="18">
      <c r="A125" s="22" t="n">
        <v>21</v>
      </c>
      <c r="B125" s="22" t="inlineStr">
        <is>
          <t>Wayfarer's Ward</t>
        </is>
      </c>
      <c r="C125" s="22" t="inlineStr">
        <is>
          <t>Talisman</t>
        </is>
      </c>
      <c r="D125" s="22" t="inlineStr">
        <is>
          <t>Snail shell</t>
        </is>
      </c>
      <c r="E125" s="22" t="inlineStr">
        <is>
          <t>snail shell</t>
        </is>
      </c>
    </row>
    <row r="126" ht="15" customHeight="1" s="18">
      <c r="A126" s="22" t="n">
        <v>22</v>
      </c>
      <c r="B126" s="22" t="inlineStr">
        <is>
          <t>The Quiet Exorcism</t>
        </is>
      </c>
      <c r="C126" s="22" t="inlineStr">
        <is>
          <t>Incense</t>
        </is>
      </c>
      <c r="D126" s="22" t="inlineStr">
        <is>
          <t>Frankincense</t>
        </is>
      </c>
      <c r="E126" s="22" t="inlineStr">
        <is>
          <t>Frankincense</t>
        </is>
      </c>
    </row>
    <row r="127" ht="15" customHeight="1" s="18">
      <c r="A127" s="22" t="n">
        <v>22</v>
      </c>
      <c r="B127" s="22" t="inlineStr">
        <is>
          <t>The Quiet Exorcism</t>
        </is>
      </c>
      <c r="C127" s="22" t="inlineStr">
        <is>
          <t>Incense</t>
        </is>
      </c>
      <c r="D127" s="22" t="inlineStr">
        <is>
          <t>Garden sage</t>
        </is>
      </c>
      <c r="E127" s="22" t="inlineStr">
        <is>
          <t>garden sage</t>
        </is>
      </c>
    </row>
    <row r="128" ht="15" customHeight="1" s="18">
      <c r="A128" s="22" t="n">
        <v>22</v>
      </c>
      <c r="B128" s="22" t="inlineStr">
        <is>
          <t>The Quiet Exorcism</t>
        </is>
      </c>
      <c r="C128" s="22" t="inlineStr">
        <is>
          <t>Incense</t>
        </is>
      </c>
      <c r="D128" s="22" t="inlineStr">
        <is>
          <t>Myrrh</t>
        </is>
      </c>
      <c r="E128" s="22" t="inlineStr">
        <is>
          <t>myrrh</t>
        </is>
      </c>
    </row>
    <row r="129" ht="15" customHeight="1" s="18">
      <c r="A129" s="22" t="n">
        <v>22</v>
      </c>
      <c r="B129" s="22" t="inlineStr">
        <is>
          <t>The Quiet Exorcism</t>
        </is>
      </c>
      <c r="C129" s="22" t="inlineStr">
        <is>
          <t>Incense</t>
        </is>
      </c>
      <c r="D129" s="22" t="inlineStr">
        <is>
          <t>Cedar</t>
        </is>
      </c>
      <c r="E129" s="22" t="inlineStr">
        <is>
          <t>cedar</t>
        </is>
      </c>
    </row>
    <row r="130" ht="15" customHeight="1" s="18">
      <c r="A130" s="22" t="n">
        <v>22</v>
      </c>
      <c r="B130" s="22" t="inlineStr">
        <is>
          <t>The Quiet Exorcism</t>
        </is>
      </c>
      <c r="C130" s="22" t="inlineStr">
        <is>
          <t>Incense</t>
        </is>
      </c>
      <c r="D130" s="22" t="inlineStr">
        <is>
          <t>Lemon peel</t>
        </is>
      </c>
      <c r="E130" s="22" t="inlineStr">
        <is>
          <t>dried lemon peel</t>
        </is>
      </c>
    </row>
    <row r="131" ht="15" customHeight="1" s="18">
      <c r="A131" s="22" t="n">
        <v>22</v>
      </c>
      <c r="B131" s="22" t="inlineStr">
        <is>
          <t>The Quiet Exorcism</t>
        </is>
      </c>
      <c r="C131" s="22" t="inlineStr">
        <is>
          <t>Incense</t>
        </is>
      </c>
      <c r="D131" s="22" t="inlineStr">
        <is>
          <t>Clove</t>
        </is>
      </c>
      <c r="E131" s="22" t="inlineStr">
        <is>
          <t>clove</t>
        </is>
      </c>
    </row>
    <row r="132" ht="15" customHeight="1" s="18">
      <c r="A132" s="22" t="n">
        <v>23</v>
      </c>
      <c r="B132" s="22" t="inlineStr">
        <is>
          <t>The Midnight Sentinel</t>
        </is>
      </c>
      <c r="C132" s="22" t="inlineStr">
        <is>
          <t>Sachet</t>
        </is>
      </c>
      <c r="D132" s="22" t="inlineStr">
        <is>
          <t>Lavender</t>
        </is>
      </c>
      <c r="E132" s="22" t="inlineStr">
        <is>
          <t>Lavender</t>
        </is>
      </c>
    </row>
    <row r="133" ht="15" customHeight="1" s="18">
      <c r="A133" s="22" t="n">
        <v>23</v>
      </c>
      <c r="B133" s="22" t="inlineStr">
        <is>
          <t>The Midnight Sentinel</t>
        </is>
      </c>
      <c r="C133" s="22" t="inlineStr">
        <is>
          <t>Sachet</t>
        </is>
      </c>
      <c r="D133" s="22" t="inlineStr">
        <is>
          <t>Mugwort</t>
        </is>
      </c>
      <c r="E133" s="22" t="inlineStr">
        <is>
          <t>mugwort</t>
        </is>
      </c>
    </row>
    <row r="134" ht="15" customHeight="1" s="18">
      <c r="A134" s="22" t="n">
        <v>23</v>
      </c>
      <c r="B134" s="22" t="inlineStr">
        <is>
          <t>The Midnight Sentinel</t>
        </is>
      </c>
      <c r="C134" s="22" t="inlineStr">
        <is>
          <t>Sachet</t>
        </is>
      </c>
      <c r="D134" s="22" t="inlineStr">
        <is>
          <t>Chamomile</t>
        </is>
      </c>
      <c r="E134" s="22" t="inlineStr">
        <is>
          <t>chamomile</t>
        </is>
      </c>
    </row>
    <row r="135" ht="15" customHeight="1" s="18">
      <c r="A135" s="22" t="n">
        <v>23</v>
      </c>
      <c r="B135" s="22" t="inlineStr">
        <is>
          <t>The Midnight Sentinel</t>
        </is>
      </c>
      <c r="C135" s="22" t="inlineStr">
        <is>
          <t>Sachet</t>
        </is>
      </c>
      <c r="D135" s="22" t="inlineStr">
        <is>
          <t>Amethyst</t>
        </is>
      </c>
      <c r="E135" s="22" t="inlineStr">
        <is>
          <t>amethyst</t>
        </is>
      </c>
    </row>
    <row r="136" ht="15" customHeight="1" s="18">
      <c r="A136" s="22" t="n">
        <v>23</v>
      </c>
      <c r="B136" s="22" t="inlineStr">
        <is>
          <t>The Midnight Sentinel</t>
        </is>
      </c>
      <c r="C136" s="22" t="inlineStr">
        <is>
          <t>Sachet</t>
        </is>
      </c>
      <c r="D136" s="22" t="inlineStr">
        <is>
          <t>Owl feather</t>
        </is>
      </c>
      <c r="E136" s="22" t="inlineStr">
        <is>
          <t>owl feather</t>
        </is>
      </c>
    </row>
    <row r="137" ht="15" customHeight="1" s="18">
      <c r="A137" s="22" t="n">
        <v>23</v>
      </c>
      <c r="B137" s="22" t="inlineStr">
        <is>
          <t>The Midnight Sentinel</t>
        </is>
      </c>
      <c r="C137" s="22" t="inlineStr">
        <is>
          <t>Sachet</t>
        </is>
      </c>
      <c r="D137" s="22" t="inlineStr">
        <is>
          <t>White thread</t>
        </is>
      </c>
      <c r="E137" s="22" t="inlineStr">
        <is>
          <t>white thread</t>
        </is>
      </c>
    </row>
    <row r="138" ht="15" customHeight="1" s="18">
      <c r="A138" s="22" t="n">
        <v>24</v>
      </c>
      <c r="B138" s="22" t="inlineStr">
        <is>
          <t>Rooted in Iron</t>
        </is>
      </c>
      <c r="C138" s="22" t="inlineStr">
        <is>
          <t>Rune</t>
        </is>
      </c>
      <c r="D138" s="22" t="inlineStr">
        <is>
          <t>Oak wood</t>
        </is>
      </c>
      <c r="E138" s="22" t="inlineStr">
        <is>
          <t>Oak slice</t>
        </is>
      </c>
    </row>
    <row r="139" ht="15" customHeight="1" s="18">
      <c r="A139" s="22" t="n">
        <v>24</v>
      </c>
      <c r="B139" s="22" t="inlineStr">
        <is>
          <t>Rooted in Iron</t>
        </is>
      </c>
      <c r="C139" s="22" t="inlineStr">
        <is>
          <t>Rune</t>
        </is>
      </c>
      <c r="D139" s="22" t="inlineStr">
        <is>
          <t>Hematite</t>
        </is>
      </c>
      <c r="E139" s="22" t="inlineStr">
        <is>
          <t>hematite</t>
        </is>
      </c>
    </row>
    <row r="140" ht="15" customHeight="1" s="18">
      <c r="A140" s="22" t="n">
        <v>24</v>
      </c>
      <c r="B140" s="22" t="inlineStr">
        <is>
          <t>Rooted in Iron</t>
        </is>
      </c>
      <c r="C140" s="22" t="inlineStr">
        <is>
          <t>Rune</t>
        </is>
      </c>
      <c r="D140" s="22" t="inlineStr">
        <is>
          <t>Smoky quartz</t>
        </is>
      </c>
      <c r="E140" s="22" t="inlineStr">
        <is>
          <t>smoky quartz</t>
        </is>
      </c>
    </row>
    <row r="141" ht="15" customHeight="1" s="18">
      <c r="A141" s="22" t="n">
        <v>24</v>
      </c>
      <c r="B141" s="22" t="inlineStr">
        <is>
          <t>Rooted in Iron</t>
        </is>
      </c>
      <c r="C141" s="22" t="inlineStr">
        <is>
          <t>Rune</t>
        </is>
      </c>
      <c r="D141" s="22" t="inlineStr">
        <is>
          <t>Patchouli</t>
        </is>
      </c>
      <c r="E141" s="22" t="inlineStr">
        <is>
          <t>patchouli</t>
        </is>
      </c>
    </row>
    <row r="142" ht="15" customHeight="1" s="18">
      <c r="A142" s="22" t="n">
        <v>24</v>
      </c>
      <c r="B142" s="22" t="inlineStr">
        <is>
          <t>Rooted in Iron</t>
        </is>
      </c>
      <c r="C142" s="22" t="inlineStr">
        <is>
          <t>Rune</t>
        </is>
      </c>
      <c r="D142" s="22" t="inlineStr">
        <is>
          <t>Iron filings</t>
        </is>
      </c>
      <c r="E142" s="22" t="inlineStr">
        <is>
          <t>iron filings</t>
        </is>
      </c>
    </row>
    <row r="143" ht="15" customHeight="1" s="18">
      <c r="A143" s="22" t="n">
        <v>24</v>
      </c>
      <c r="B143" s="22" t="inlineStr">
        <is>
          <t>Rooted in Iron</t>
        </is>
      </c>
      <c r="C143" s="22" t="inlineStr">
        <is>
          <t>Rune</t>
        </is>
      </c>
      <c r="D143" s="22" t="inlineStr">
        <is>
          <t>Garden soil</t>
        </is>
      </c>
      <c r="E143" s="22" t="inlineStr">
        <is>
          <t>a pinch of garden soil</t>
        </is>
      </c>
    </row>
    <row r="144" ht="15" customHeight="1" s="18">
      <c r="A144" s="22" t="n">
        <v>25</v>
      </c>
      <c r="B144" s="22" t="inlineStr">
        <is>
          <t>The Keeper's Knot</t>
        </is>
      </c>
      <c r="C144" s="22" t="inlineStr">
        <is>
          <t>Witch's Ladder</t>
        </is>
      </c>
      <c r="D144" s="22" t="inlineStr">
        <is>
          <t>Black thread</t>
        </is>
      </c>
      <c r="E144" s="22" t="inlineStr">
        <is>
          <t>Black thread</t>
        </is>
      </c>
    </row>
    <row r="145" ht="15" customHeight="1" s="18">
      <c r="A145" s="22" t="n">
        <v>25</v>
      </c>
      <c r="B145" s="22" t="inlineStr">
        <is>
          <t>The Keeper's Knot</t>
        </is>
      </c>
      <c r="C145" s="22" t="inlineStr">
        <is>
          <t>Witch's Ladder</t>
        </is>
      </c>
      <c r="D145" s="22" t="inlineStr">
        <is>
          <t>White thread</t>
        </is>
      </c>
      <c r="E145" s="22" t="inlineStr">
        <is>
          <t>white thread</t>
        </is>
      </c>
    </row>
    <row r="146" ht="15" customHeight="1" s="18">
      <c r="A146" s="22" t="n">
        <v>25</v>
      </c>
      <c r="B146" s="22" t="inlineStr">
        <is>
          <t>The Keeper's Knot</t>
        </is>
      </c>
      <c r="C146" s="22" t="inlineStr">
        <is>
          <t>Witch's Ladder</t>
        </is>
      </c>
      <c r="D146" s="22" t="inlineStr">
        <is>
          <t>Small key</t>
        </is>
      </c>
      <c r="E146" s="22" t="inlineStr">
        <is>
          <t>small brass key</t>
        </is>
      </c>
    </row>
    <row r="147" ht="15" customHeight="1" s="18">
      <c r="A147" s="22" t="n">
        <v>25</v>
      </c>
      <c r="B147" s="22" t="inlineStr">
        <is>
          <t>The Keeper's Knot</t>
        </is>
      </c>
      <c r="C147" s="22" t="inlineStr">
        <is>
          <t>Witch's Ladder</t>
        </is>
      </c>
      <c r="D147" s="22" t="inlineStr">
        <is>
          <t>Juniper</t>
        </is>
      </c>
      <c r="E147" s="22" t="inlineStr">
        <is>
          <t>juniper</t>
        </is>
      </c>
    </row>
    <row r="148" ht="15" customHeight="1" s="18">
      <c r="A148" s="22" t="n">
        <v>25</v>
      </c>
      <c r="B148" s="22" t="inlineStr">
        <is>
          <t>The Keeper's Knot</t>
        </is>
      </c>
      <c r="C148" s="22" t="inlineStr">
        <is>
          <t>Witch's Ladder</t>
        </is>
      </c>
      <c r="D148" s="22" t="inlineStr">
        <is>
          <t>Shed cat whisker</t>
        </is>
      </c>
      <c r="E148" s="22" t="inlineStr">
        <is>
          <t>shed cat whisker</t>
        </is>
      </c>
    </row>
    <row r="149" ht="15" customHeight="1" s="18">
      <c r="A149" s="22" t="n">
        <v>25</v>
      </c>
      <c r="B149" s="22" t="inlineStr">
        <is>
          <t>The Keeper's Knot</t>
        </is>
      </c>
      <c r="C149" s="22" t="inlineStr">
        <is>
          <t>Witch's Ladder</t>
        </is>
      </c>
      <c r="D149" s="22" t="inlineStr">
        <is>
          <t>Brass button</t>
        </is>
      </c>
      <c r="E149" s="22" t="inlineStr">
        <is>
          <t>brass button</t>
        </is>
      </c>
    </row>
    <row r="150" ht="15" customHeight="1" s="18">
      <c r="A150" s="22" t="n">
        <v>26</v>
      </c>
      <c r="B150" s="22" t="inlineStr">
        <is>
          <t>Sanctuary in Blue</t>
        </is>
      </c>
      <c r="C150" s="22" t="inlineStr">
        <is>
          <t>Water</t>
        </is>
      </c>
      <c r="D150" s="22" t="inlineStr">
        <is>
          <t>Moonwater</t>
        </is>
      </c>
      <c r="E150" s="22" t="inlineStr">
        <is>
          <t>Moonwater</t>
        </is>
      </c>
    </row>
    <row r="151" ht="15" customHeight="1" s="18">
      <c r="A151" s="22" t="n">
        <v>26</v>
      </c>
      <c r="B151" s="22" t="inlineStr">
        <is>
          <t>Sanctuary in Blue</t>
        </is>
      </c>
      <c r="C151" s="22" t="inlineStr">
        <is>
          <t>Water</t>
        </is>
      </c>
      <c r="D151" s="22" t="inlineStr">
        <is>
          <t>Blue lace agate</t>
        </is>
      </c>
      <c r="E151" s="22" t="inlineStr">
        <is>
          <t>blue lace agate</t>
        </is>
      </c>
    </row>
    <row r="152" ht="15" customHeight="1" s="18">
      <c r="A152" s="22" t="n">
        <v>26</v>
      </c>
      <c r="B152" s="22" t="inlineStr">
        <is>
          <t>Sanctuary in Blue</t>
        </is>
      </c>
      <c r="C152" s="22" t="inlineStr">
        <is>
          <t>Water</t>
        </is>
      </c>
      <c r="D152" s="22" t="inlineStr">
        <is>
          <t>Lavender</t>
        </is>
      </c>
      <c r="E152" s="22" t="inlineStr">
        <is>
          <t>lavender</t>
        </is>
      </c>
    </row>
    <row r="153" ht="15" customHeight="1" s="18">
      <c r="A153" s="22" t="n">
        <v>26</v>
      </c>
      <c r="B153" s="22" t="inlineStr">
        <is>
          <t>Sanctuary in Blue</t>
        </is>
      </c>
      <c r="C153" s="22" t="inlineStr">
        <is>
          <t>Water</t>
        </is>
      </c>
      <c r="D153" s="22" t="inlineStr">
        <is>
          <t>Cornflower</t>
        </is>
      </c>
      <c r="E153" s="22" t="inlineStr">
        <is>
          <t>cornflower</t>
        </is>
      </c>
    </row>
    <row r="154" ht="15" customHeight="1" s="18">
      <c r="A154" s="22" t="n">
        <v>26</v>
      </c>
      <c r="B154" s="22" t="inlineStr">
        <is>
          <t>Sanctuary in Blue</t>
        </is>
      </c>
      <c r="C154" s="22" t="inlineStr">
        <is>
          <t>Water</t>
        </is>
      </c>
      <c r="D154" s="22" t="inlineStr">
        <is>
          <t>Sea salt</t>
        </is>
      </c>
      <c r="E154" s="22" t="inlineStr">
        <is>
          <t>a pinch of sea salt</t>
        </is>
      </c>
    </row>
    <row r="155" ht="15" customHeight="1" s="18">
      <c r="A155" s="22" t="n">
        <v>26</v>
      </c>
      <c r="B155" s="22" t="inlineStr">
        <is>
          <t>Sanctuary in Blue</t>
        </is>
      </c>
      <c r="C155" s="22" t="inlineStr">
        <is>
          <t>Water</t>
        </is>
      </c>
      <c r="D155" s="22" t="inlineStr">
        <is>
          <t>Dove feather</t>
        </is>
      </c>
      <c r="E155" s="22" t="inlineStr">
        <is>
          <t>dove feather</t>
        </is>
      </c>
    </row>
    <row r="156" ht="15" customHeight="1" s="18">
      <c r="A156" s="22" t="n">
        <v>27</v>
      </c>
      <c r="B156" s="22" t="inlineStr">
        <is>
          <t>The Silver Cocoon</t>
        </is>
      </c>
      <c r="C156" s="22" t="inlineStr">
        <is>
          <t>Soap</t>
        </is>
      </c>
      <c r="D156" s="22" t="inlineStr">
        <is>
          <t>Soap base</t>
        </is>
      </c>
      <c r="E156" s="22" t="inlineStr">
        <is>
          <t>Goat milk soap base</t>
        </is>
      </c>
    </row>
    <row r="157" ht="15" customHeight="1" s="18">
      <c r="A157" s="22" t="n">
        <v>27</v>
      </c>
      <c r="B157" s="22" t="inlineStr">
        <is>
          <t>The Silver Cocoon</t>
        </is>
      </c>
      <c r="C157" s="22" t="inlineStr">
        <is>
          <t>Soap</t>
        </is>
      </c>
      <c r="D157" s="22" t="inlineStr">
        <is>
          <t>Moonwater</t>
        </is>
      </c>
      <c r="E157" s="22" t="inlineStr">
        <is>
          <t>Moonwater</t>
        </is>
      </c>
    </row>
    <row r="158" ht="15" customHeight="1" s="18">
      <c r="A158" s="22" t="n">
        <v>27</v>
      </c>
      <c r="B158" s="22" t="inlineStr">
        <is>
          <t>The Silver Cocoon</t>
        </is>
      </c>
      <c r="C158" s="22" t="inlineStr">
        <is>
          <t>Soap</t>
        </is>
      </c>
      <c r="D158" s="22" t="inlineStr">
        <is>
          <t>Black salt</t>
        </is>
      </c>
      <c r="E158" s="22" t="inlineStr">
        <is>
          <t>black salt</t>
        </is>
      </c>
    </row>
    <row r="159" ht="15" customHeight="1" s="18">
      <c r="A159" s="22" t="n">
        <v>27</v>
      </c>
      <c r="B159" s="22" t="inlineStr">
        <is>
          <t>The Silver Cocoon</t>
        </is>
      </c>
      <c r="C159" s="22" t="inlineStr">
        <is>
          <t>Soap</t>
        </is>
      </c>
      <c r="D159" s="22" t="inlineStr">
        <is>
          <t>Lavender</t>
        </is>
      </c>
      <c r="E159" s="22" t="inlineStr">
        <is>
          <t>lavender</t>
        </is>
      </c>
    </row>
    <row r="160" ht="15" customHeight="1" s="18">
      <c r="A160" s="22" t="n">
        <v>27</v>
      </c>
      <c r="B160" s="22" t="inlineStr">
        <is>
          <t>The Silver Cocoon</t>
        </is>
      </c>
      <c r="C160" s="22" t="inlineStr">
        <is>
          <t>Soap</t>
        </is>
      </c>
      <c r="D160" s="22" t="inlineStr">
        <is>
          <t>Selenite</t>
        </is>
      </c>
      <c r="E160" s="22" t="inlineStr">
        <is>
          <t>selenite</t>
        </is>
      </c>
    </row>
    <row r="161" ht="15" customHeight="1" s="18">
      <c r="A161" s="22" t="n">
        <v>27</v>
      </c>
      <c r="B161" s="22" t="inlineStr">
        <is>
          <t>The Silver Cocoon</t>
        </is>
      </c>
      <c r="C161" s="22" t="inlineStr">
        <is>
          <t>Soap</t>
        </is>
      </c>
      <c r="D161" s="22" t="inlineStr">
        <is>
          <t>Hedgehog quill</t>
        </is>
      </c>
      <c r="E161" s="22" t="inlineStr">
        <is>
          <t>hedgehog quill</t>
        </is>
      </c>
    </row>
    <row r="162" ht="15" customHeight="1" s="18">
      <c r="A162" s="22" t="n">
        <v>28</v>
      </c>
      <c r="B162" s="22" t="inlineStr">
        <is>
          <t>The First Circle</t>
        </is>
      </c>
      <c r="C162" s="22" t="inlineStr">
        <is>
          <t>Powder</t>
        </is>
      </c>
      <c r="D162" s="22" t="inlineStr">
        <is>
          <t>Rice flour</t>
        </is>
      </c>
      <c r="E162" s="22" t="inlineStr">
        <is>
          <t>Rice flour</t>
        </is>
      </c>
    </row>
    <row r="163" ht="15" customHeight="1" s="18">
      <c r="A163" s="22" t="n">
        <v>28</v>
      </c>
      <c r="B163" s="22" t="inlineStr">
        <is>
          <t>The First Circle</t>
        </is>
      </c>
      <c r="C163" s="22" t="inlineStr">
        <is>
          <t>Powder</t>
        </is>
      </c>
      <c r="D163" s="22" t="inlineStr">
        <is>
          <t>Sea salt</t>
        </is>
      </c>
      <c r="E163" s="22" t="inlineStr">
        <is>
          <t>sea salt</t>
        </is>
      </c>
    </row>
    <row r="164" ht="15" customHeight="1" s="18">
      <c r="A164" s="22" t="n">
        <v>28</v>
      </c>
      <c r="B164" s="22" t="inlineStr">
        <is>
          <t>The First Circle</t>
        </is>
      </c>
      <c r="C164" s="22" t="inlineStr">
        <is>
          <t>Powder</t>
        </is>
      </c>
      <c r="D164" s="22" t="inlineStr">
        <is>
          <t>Rosemary</t>
        </is>
      </c>
      <c r="E164" s="22" t="inlineStr">
        <is>
          <t>rosemary</t>
        </is>
      </c>
    </row>
    <row r="165" ht="15" customHeight="1" s="18">
      <c r="A165" s="22" t="n">
        <v>28</v>
      </c>
      <c r="B165" s="22" t="inlineStr">
        <is>
          <t>The First Circle</t>
        </is>
      </c>
      <c r="C165" s="22" t="inlineStr">
        <is>
          <t>Powder</t>
        </is>
      </c>
      <c r="D165" s="22" t="inlineStr">
        <is>
          <t>Frankincense</t>
        </is>
      </c>
      <c r="E165" s="22" t="inlineStr">
        <is>
          <t>frankincense powder</t>
        </is>
      </c>
    </row>
    <row r="166" ht="15" customHeight="1" s="18">
      <c r="A166" s="22" t="n">
        <v>28</v>
      </c>
      <c r="B166" s="22" t="inlineStr">
        <is>
          <t>The First Circle</t>
        </is>
      </c>
      <c r="C166" s="22" t="inlineStr">
        <is>
          <t>Powder</t>
        </is>
      </c>
      <c r="D166" s="22" t="inlineStr">
        <is>
          <t>Eggshell</t>
        </is>
      </c>
      <c r="E166" s="22" t="inlineStr">
        <is>
          <t>eggshell powder</t>
        </is>
      </c>
    </row>
    <row r="167" ht="15" customHeight="1" s="18">
      <c r="A167" s="22" t="n">
        <v>28</v>
      </c>
      <c r="B167" s="22" t="inlineStr">
        <is>
          <t>The First Circle</t>
        </is>
      </c>
      <c r="C167" s="22" t="inlineStr">
        <is>
          <t>Powder</t>
        </is>
      </c>
      <c r="D167" s="22" t="inlineStr">
        <is>
          <t>Clear quartz</t>
        </is>
      </c>
      <c r="E167" s="22" t="inlineStr">
        <is>
          <t>clear quartz</t>
        </is>
      </c>
    </row>
    <row r="168" ht="15" customHeight="1" s="18">
      <c r="A168" s="22" t="n">
        <v>29</v>
      </c>
      <c r="B168" s="22" t="inlineStr">
        <is>
          <t>The Unbroken Quill</t>
        </is>
      </c>
      <c r="C168" s="22" t="inlineStr">
        <is>
          <t>Spell Bottle</t>
        </is>
      </c>
      <c r="D168" s="22" t="inlineStr">
        <is>
          <t>Raven feather</t>
        </is>
      </c>
      <c r="E168" s="22" t="inlineStr">
        <is>
          <t>Raven feather tip</t>
        </is>
      </c>
    </row>
    <row r="169" ht="15" customHeight="1" s="18">
      <c r="A169" s="22" t="n">
        <v>29</v>
      </c>
      <c r="B169" s="22" t="inlineStr">
        <is>
          <t>The Unbroken Quill</t>
        </is>
      </c>
      <c r="C169" s="22" t="inlineStr">
        <is>
          <t>Spell Bottle</t>
        </is>
      </c>
      <c r="D169" s="22" t="inlineStr">
        <is>
          <t>Ink</t>
        </is>
      </c>
      <c r="E169" s="22" t="inlineStr">
        <is>
          <t>a drop of ink</t>
        </is>
      </c>
    </row>
    <row r="170" ht="15" customHeight="1" s="18">
      <c r="A170" s="22" t="n">
        <v>29</v>
      </c>
      <c r="B170" s="22" t="inlineStr">
        <is>
          <t>The Unbroken Quill</t>
        </is>
      </c>
      <c r="C170" s="22" t="inlineStr">
        <is>
          <t>Spell Bottle</t>
        </is>
      </c>
      <c r="D170" s="22" t="inlineStr">
        <is>
          <t>Rosemary</t>
        </is>
      </c>
      <c r="E170" s="22" t="inlineStr">
        <is>
          <t>rosemary</t>
        </is>
      </c>
    </row>
    <row r="171" ht="15" customHeight="1" s="18">
      <c r="A171" s="22" t="n">
        <v>29</v>
      </c>
      <c r="B171" s="22" t="inlineStr">
        <is>
          <t>The Unbroken Quill</t>
        </is>
      </c>
      <c r="C171" s="22" t="inlineStr">
        <is>
          <t>Spell Bottle</t>
        </is>
      </c>
      <c r="D171" s="22" t="inlineStr">
        <is>
          <t>Black tourmaline</t>
        </is>
      </c>
      <c r="E171" s="22" t="inlineStr">
        <is>
          <t>black tourmaline</t>
        </is>
      </c>
    </row>
    <row r="172" ht="15" customHeight="1" s="18">
      <c r="A172" s="22" t="n">
        <v>29</v>
      </c>
      <c r="B172" s="22" t="inlineStr">
        <is>
          <t>The Unbroken Quill</t>
        </is>
      </c>
      <c r="C172" s="22" t="inlineStr">
        <is>
          <t>Spell Bottle</t>
        </is>
      </c>
      <c r="D172" s="22" t="inlineStr">
        <is>
          <t>Bay leaf</t>
        </is>
      </c>
      <c r="E172" s="22" t="inlineStr">
        <is>
          <t>bay leaf</t>
        </is>
      </c>
    </row>
    <row r="173" ht="15" customHeight="1" s="18">
      <c r="A173" s="22" t="n">
        <v>29</v>
      </c>
      <c r="B173" s="22" t="inlineStr">
        <is>
          <t>The Unbroken Quill</t>
        </is>
      </c>
      <c r="C173" s="22" t="inlineStr">
        <is>
          <t>Spell Bottle</t>
        </is>
      </c>
      <c r="D173" s="22" t="inlineStr">
        <is>
          <t>Wax seal</t>
        </is>
      </c>
      <c r="E173" s="22" t="inlineStr">
        <is>
          <t>purple wax seal</t>
        </is>
      </c>
    </row>
    <row r="174" ht="15" customHeight="1" s="18">
      <c r="A174" s="22" t="n">
        <v>30</v>
      </c>
      <c r="B174" s="22" t="inlineStr">
        <is>
          <t>The Hearth's Gentle Flame</t>
        </is>
      </c>
      <c r="C174" s="22" t="inlineStr">
        <is>
          <t>Butter</t>
        </is>
      </c>
      <c r="D174" s="22" t="inlineStr">
        <is>
          <t>Butter</t>
        </is>
      </c>
      <c r="E174" s="22" t="inlineStr">
        <is>
          <t>Butter</t>
        </is>
      </c>
    </row>
    <row r="175" ht="15" customHeight="1" s="18">
      <c r="A175" s="22" t="n">
        <v>30</v>
      </c>
      <c r="B175" s="22" t="inlineStr">
        <is>
          <t>The Hearth's Gentle Flame</t>
        </is>
      </c>
      <c r="C175" s="22" t="inlineStr">
        <is>
          <t>Butter</t>
        </is>
      </c>
      <c r="D175" s="22" t="inlineStr">
        <is>
          <t>Milk</t>
        </is>
      </c>
      <c r="E175" s="22" t="inlineStr">
        <is>
          <t>milk</t>
        </is>
      </c>
    </row>
    <row r="176" ht="15" customHeight="1" s="18">
      <c r="A176" s="22" t="n">
        <v>30</v>
      </c>
      <c r="B176" s="22" t="inlineStr">
        <is>
          <t>The Hearth's Gentle Flame</t>
        </is>
      </c>
      <c r="C176" s="22" t="inlineStr">
        <is>
          <t>Butter</t>
        </is>
      </c>
      <c r="D176" s="22" t="inlineStr">
        <is>
          <t>Hops</t>
        </is>
      </c>
      <c r="E176" s="22" t="inlineStr">
        <is>
          <t>hops</t>
        </is>
      </c>
    </row>
    <row r="177" ht="15" customHeight="1" s="18">
      <c r="A177" s="22" t="n">
        <v>30</v>
      </c>
      <c r="B177" s="22" t="inlineStr">
        <is>
          <t>The Hearth's Gentle Flame</t>
        </is>
      </c>
      <c r="C177" s="22" t="inlineStr">
        <is>
          <t>Butter</t>
        </is>
      </c>
      <c r="D177" s="22" t="inlineStr">
        <is>
          <t>Chamomile</t>
        </is>
      </c>
      <c r="E177" s="22" t="inlineStr">
        <is>
          <t>chamomile</t>
        </is>
      </c>
    </row>
    <row r="178" ht="15" customHeight="1" s="18">
      <c r="A178" s="22" t="n">
        <v>30</v>
      </c>
      <c r="B178" s="22" t="inlineStr">
        <is>
          <t>The Hearth's Gentle Flame</t>
        </is>
      </c>
      <c r="C178" s="22" t="inlineStr">
        <is>
          <t>Butter</t>
        </is>
      </c>
      <c r="D178" s="22" t="inlineStr">
        <is>
          <t>Sea salt</t>
        </is>
      </c>
      <c r="E178" s="22" t="inlineStr">
        <is>
          <t>a pinch of sea salt</t>
        </is>
      </c>
    </row>
    <row r="179" ht="15" customHeight="1" s="18">
      <c r="A179" s="22" t="n">
        <v>31</v>
      </c>
      <c r="B179" s="22" t="inlineStr">
        <is>
          <t>Cloverkiss</t>
        </is>
      </c>
      <c r="C179" s="22" t="inlineStr">
        <is>
          <t>Potion</t>
        </is>
      </c>
      <c r="D179" s="22" t="inlineStr">
        <is>
          <t>Sunwater</t>
        </is>
      </c>
      <c r="E179" s="22" t="inlineStr">
        <is>
          <t>Sunwater</t>
        </is>
      </c>
    </row>
    <row r="180" ht="15" customHeight="1" s="18">
      <c r="A180" s="22" t="n">
        <v>31</v>
      </c>
      <c r="B180" s="22" t="inlineStr">
        <is>
          <t>Cloverkiss</t>
        </is>
      </c>
      <c r="C180" s="22" t="inlineStr">
        <is>
          <t>Potion</t>
        </is>
      </c>
      <c r="D180" s="22" t="inlineStr">
        <is>
          <t>Four-leaf clover</t>
        </is>
      </c>
      <c r="E180" s="22" t="inlineStr">
        <is>
          <t>four-leaf clover</t>
        </is>
      </c>
    </row>
    <row r="181" ht="15" customHeight="1" s="18">
      <c r="A181" s="22" t="n">
        <v>31</v>
      </c>
      <c r="B181" s="22" t="inlineStr">
        <is>
          <t>Cloverkiss</t>
        </is>
      </c>
      <c r="C181" s="22" t="inlineStr">
        <is>
          <t>Potion</t>
        </is>
      </c>
      <c r="D181" s="22" t="inlineStr">
        <is>
          <t>Clover</t>
        </is>
      </c>
      <c r="E181" s="22" t="inlineStr">
        <is>
          <t>clover</t>
        </is>
      </c>
    </row>
    <row r="182" ht="15" customHeight="1" s="18">
      <c r="A182" s="22" t="n">
        <v>31</v>
      </c>
      <c r="B182" s="22" t="inlineStr">
        <is>
          <t>Cloverkiss</t>
        </is>
      </c>
      <c r="C182" s="22" t="inlineStr">
        <is>
          <t>Potion</t>
        </is>
      </c>
      <c r="D182" s="22" t="inlineStr">
        <is>
          <t>Grapes</t>
        </is>
      </c>
      <c r="E182" s="22" t="inlineStr">
        <is>
          <t>grapes</t>
        </is>
      </c>
    </row>
    <row r="183" ht="15" customHeight="1" s="18">
      <c r="A183" s="22" t="n">
        <v>31</v>
      </c>
      <c r="B183" s="22" t="inlineStr">
        <is>
          <t>Cloverkiss</t>
        </is>
      </c>
      <c r="C183" s="22" t="inlineStr">
        <is>
          <t>Potion</t>
        </is>
      </c>
      <c r="D183" s="22" t="inlineStr">
        <is>
          <t>Honey</t>
        </is>
      </c>
      <c r="E183" s="22" t="inlineStr">
        <is>
          <t>honey</t>
        </is>
      </c>
    </row>
    <row r="184" ht="15" customHeight="1" s="18">
      <c r="A184" s="22" t="n">
        <v>31</v>
      </c>
      <c r="B184" s="22" t="inlineStr">
        <is>
          <t>Cloverkiss</t>
        </is>
      </c>
      <c r="C184" s="22" t="inlineStr">
        <is>
          <t>Potion</t>
        </is>
      </c>
      <c r="D184" s="22" t="inlineStr">
        <is>
          <t>Green aventurine</t>
        </is>
      </c>
      <c r="E184" s="22" t="inlineStr">
        <is>
          <t>green aventurine</t>
        </is>
      </c>
    </row>
    <row r="185" ht="15" customHeight="1" s="18">
      <c r="A185" s="22" t="n">
        <v>32</v>
      </c>
      <c r="B185" s="22" t="inlineStr">
        <is>
          <t>The Gilded Orchard</t>
        </is>
      </c>
      <c r="C185" s="22" t="inlineStr">
        <is>
          <t>Oil</t>
        </is>
      </c>
      <c r="D185" s="22" t="inlineStr">
        <is>
          <t>Olive oil</t>
        </is>
      </c>
      <c r="E185" s="22" t="inlineStr">
        <is>
          <t>Olive oil</t>
        </is>
      </c>
    </row>
    <row r="186" ht="15" customHeight="1" s="18">
      <c r="A186" s="22" t="n">
        <v>32</v>
      </c>
      <c r="B186" s="22" t="inlineStr">
        <is>
          <t>The Gilded Orchard</t>
        </is>
      </c>
      <c r="C186" s="22" t="inlineStr">
        <is>
          <t>Oil</t>
        </is>
      </c>
      <c r="D186" s="22" t="inlineStr">
        <is>
          <t>Orange peel</t>
        </is>
      </c>
      <c r="E186" s="22" t="inlineStr">
        <is>
          <t>orange peel</t>
        </is>
      </c>
    </row>
    <row r="187" ht="15" customHeight="1" s="18">
      <c r="A187" s="22" t="n">
        <v>32</v>
      </c>
      <c r="B187" s="22" t="inlineStr">
        <is>
          <t>The Gilded Orchard</t>
        </is>
      </c>
      <c r="C187" s="22" t="inlineStr">
        <is>
          <t>Oil</t>
        </is>
      </c>
      <c r="D187" s="22" t="inlineStr">
        <is>
          <t>Cinnamon</t>
        </is>
      </c>
      <c r="E187" s="22" t="inlineStr">
        <is>
          <t>cinnamon</t>
        </is>
      </c>
    </row>
    <row r="188" ht="15" customHeight="1" s="18">
      <c r="A188" s="22" t="n">
        <v>32</v>
      </c>
      <c r="B188" s="22" t="inlineStr">
        <is>
          <t>The Gilded Orchard</t>
        </is>
      </c>
      <c r="C188" s="22" t="inlineStr">
        <is>
          <t>Oil</t>
        </is>
      </c>
      <c r="D188" s="22" t="inlineStr">
        <is>
          <t>Basil</t>
        </is>
      </c>
      <c r="E188" s="22" t="inlineStr">
        <is>
          <t>basil</t>
        </is>
      </c>
    </row>
    <row r="189" ht="15" customHeight="1" s="18">
      <c r="A189" s="22" t="n">
        <v>32</v>
      </c>
      <c r="B189" s="22" t="inlineStr">
        <is>
          <t>The Gilded Orchard</t>
        </is>
      </c>
      <c r="C189" s="22" t="inlineStr">
        <is>
          <t>Oil</t>
        </is>
      </c>
      <c r="D189" s="22" t="inlineStr">
        <is>
          <t>Allspice</t>
        </is>
      </c>
      <c r="E189" s="22" t="inlineStr">
        <is>
          <t>allspice</t>
        </is>
      </c>
    </row>
    <row r="190" ht="15" customHeight="1" s="18">
      <c r="A190" s="22" t="n">
        <v>32</v>
      </c>
      <c r="B190" s="22" t="inlineStr">
        <is>
          <t>The Gilded Orchard</t>
        </is>
      </c>
      <c r="C190" s="22" t="inlineStr">
        <is>
          <t>Oil</t>
        </is>
      </c>
      <c r="D190" s="22" t="inlineStr">
        <is>
          <t>Pyrite</t>
        </is>
      </c>
      <c r="E190" s="22" t="inlineStr">
        <is>
          <t>pyrite</t>
        </is>
      </c>
    </row>
    <row r="191" ht="15" customHeight="1" s="18">
      <c r="A191" s="22" t="n">
        <v>33</v>
      </c>
      <c r="B191" s="22" t="inlineStr">
        <is>
          <t>Key to the Golden Hour</t>
        </is>
      </c>
      <c r="C191" s="22" t="inlineStr">
        <is>
          <t>Amulet</t>
        </is>
      </c>
      <c r="D191" s="22" t="inlineStr">
        <is>
          <t>Small key</t>
        </is>
      </c>
      <c r="E191" s="22" t="inlineStr">
        <is>
          <t>Small brass key</t>
        </is>
      </c>
    </row>
    <row r="192" ht="15" customHeight="1" s="18">
      <c r="A192" s="22" t="n">
        <v>33</v>
      </c>
      <c r="B192" s="22" t="inlineStr">
        <is>
          <t>Key to the Golden Hour</t>
        </is>
      </c>
      <c r="C192" s="22" t="inlineStr">
        <is>
          <t>Amulet</t>
        </is>
      </c>
      <c r="D192" s="22" t="inlineStr">
        <is>
          <t>Citrine</t>
        </is>
      </c>
      <c r="E192" s="22" t="inlineStr">
        <is>
          <t>citrine</t>
        </is>
      </c>
    </row>
    <row r="193" ht="15" customHeight="1" s="18">
      <c r="A193" s="22" t="n">
        <v>33</v>
      </c>
      <c r="B193" s="22" t="inlineStr">
        <is>
          <t>Key to the Golden Hour</t>
        </is>
      </c>
      <c r="C193" s="22" t="inlineStr">
        <is>
          <t>Amulet</t>
        </is>
      </c>
      <c r="D193" s="22" t="inlineStr">
        <is>
          <t>Bay leaf</t>
        </is>
      </c>
      <c r="E193" s="22" t="inlineStr">
        <is>
          <t>bay leaf</t>
        </is>
      </c>
    </row>
    <row r="194" ht="15" customHeight="1" s="18">
      <c r="A194" s="22" t="n">
        <v>33</v>
      </c>
      <c r="B194" s="22" t="inlineStr">
        <is>
          <t>Key to the Golden Hour</t>
        </is>
      </c>
      <c r="C194" s="22" t="inlineStr">
        <is>
          <t>Amulet</t>
        </is>
      </c>
      <c r="D194" s="22" t="inlineStr">
        <is>
          <t>Four-leaf clover</t>
        </is>
      </c>
      <c r="E194" s="22" t="inlineStr">
        <is>
          <t>four-leaf clover</t>
        </is>
      </c>
    </row>
    <row r="195" ht="15" customHeight="1" s="18">
      <c r="A195" s="22" t="n">
        <v>33</v>
      </c>
      <c r="B195" s="22" t="inlineStr">
        <is>
          <t>Key to the Golden Hour</t>
        </is>
      </c>
      <c r="C195" s="22" t="inlineStr">
        <is>
          <t>Amulet</t>
        </is>
      </c>
      <c r="D195" s="22" t="inlineStr">
        <is>
          <t>Gold thread</t>
        </is>
      </c>
      <c r="E195" s="22" t="inlineStr">
        <is>
          <t>gold thread</t>
        </is>
      </c>
    </row>
    <row r="196" ht="15" customHeight="1" s="18">
      <c r="A196" s="22" t="n">
        <v>34</v>
      </c>
      <c r="B196" s="22" t="inlineStr">
        <is>
          <t>The Crowned Path</t>
        </is>
      </c>
      <c r="C196" s="22" t="inlineStr">
        <is>
          <t>Rune</t>
        </is>
      </c>
      <c r="D196" s="22" t="inlineStr">
        <is>
          <t>Oak wood</t>
        </is>
      </c>
      <c r="E196" s="22" t="inlineStr">
        <is>
          <t>Oak wood</t>
        </is>
      </c>
    </row>
    <row r="197" ht="15" customHeight="1" s="18">
      <c r="A197" s="22" t="n">
        <v>34</v>
      </c>
      <c r="B197" s="22" t="inlineStr">
        <is>
          <t>The Crowned Path</t>
        </is>
      </c>
      <c r="C197" s="22" t="inlineStr">
        <is>
          <t>Rune</t>
        </is>
      </c>
      <c r="D197" s="22" t="inlineStr">
        <is>
          <t>Gold paint</t>
        </is>
      </c>
      <c r="E197" s="22" t="inlineStr">
        <is>
          <t>gold paint</t>
        </is>
      </c>
    </row>
    <row r="198" ht="15" customHeight="1" s="18">
      <c r="A198" s="22" t="n">
        <v>34</v>
      </c>
      <c r="B198" s="22" t="inlineStr">
        <is>
          <t>The Crowned Path</t>
        </is>
      </c>
      <c r="C198" s="22" t="inlineStr">
        <is>
          <t>Rune</t>
        </is>
      </c>
      <c r="D198" s="22" t="inlineStr">
        <is>
          <t>Tiger's eye</t>
        </is>
      </c>
      <c r="E198" s="22" t="inlineStr">
        <is>
          <t>tiger's eye</t>
        </is>
      </c>
    </row>
    <row r="199" ht="15" customHeight="1" s="18">
      <c r="A199" s="22" t="n">
        <v>34</v>
      </c>
      <c r="B199" s="22" t="inlineStr">
        <is>
          <t>The Crowned Path</t>
        </is>
      </c>
      <c r="C199" s="22" t="inlineStr">
        <is>
          <t>Rune</t>
        </is>
      </c>
      <c r="D199" s="22" t="inlineStr">
        <is>
          <t>Bay leaf</t>
        </is>
      </c>
      <c r="E199" s="22" t="inlineStr">
        <is>
          <t>bay leaf</t>
        </is>
      </c>
    </row>
    <row r="200" ht="15" customHeight="1" s="18">
      <c r="A200" s="22" t="n">
        <v>34</v>
      </c>
      <c r="B200" s="22" t="inlineStr">
        <is>
          <t>The Crowned Path</t>
        </is>
      </c>
      <c r="C200" s="22" t="inlineStr">
        <is>
          <t>Rune</t>
        </is>
      </c>
      <c r="D200" s="22" t="inlineStr">
        <is>
          <t>Peacock feather</t>
        </is>
      </c>
      <c r="E200" s="22" t="inlineStr">
        <is>
          <t>peacock feather</t>
        </is>
      </c>
    </row>
    <row r="201" ht="15" customHeight="1" s="18">
      <c r="A201" s="22" t="n">
        <v>35</v>
      </c>
      <c r="B201" s="22" t="inlineStr">
        <is>
          <t>The Open Invitation</t>
        </is>
      </c>
      <c r="C201" s="22" t="inlineStr">
        <is>
          <t>Spell Bottle</t>
        </is>
      </c>
      <c r="D201" s="22" t="inlineStr">
        <is>
          <t>Glass vial</t>
        </is>
      </c>
      <c r="E201" s="22" t="inlineStr">
        <is>
          <t>Glass vial</t>
        </is>
      </c>
    </row>
    <row r="202" ht="15" customHeight="1" s="18">
      <c r="A202" s="22" t="n">
        <v>35</v>
      </c>
      <c r="B202" s="22" t="inlineStr">
        <is>
          <t>The Open Invitation</t>
        </is>
      </c>
      <c r="C202" s="22" t="inlineStr">
        <is>
          <t>Spell Bottle</t>
        </is>
      </c>
      <c r="D202" s="22" t="inlineStr">
        <is>
          <t>Cinnamon</t>
        </is>
      </c>
      <c r="E202" s="22" t="inlineStr">
        <is>
          <t>cinnamon</t>
        </is>
      </c>
    </row>
    <row r="203" ht="15" customHeight="1" s="18">
      <c r="A203" s="22" t="n">
        <v>35</v>
      </c>
      <c r="B203" s="22" t="inlineStr">
        <is>
          <t>The Open Invitation</t>
        </is>
      </c>
      <c r="C203" s="22" t="inlineStr">
        <is>
          <t>Spell Bottle</t>
        </is>
      </c>
      <c r="D203" s="22" t="inlineStr">
        <is>
          <t>Basil</t>
        </is>
      </c>
      <c r="E203" s="22" t="inlineStr">
        <is>
          <t>basil</t>
        </is>
      </c>
    </row>
    <row r="204" ht="15" customHeight="1" s="18">
      <c r="A204" s="22" t="n">
        <v>35</v>
      </c>
      <c r="B204" s="22" t="inlineStr">
        <is>
          <t>The Open Invitation</t>
        </is>
      </c>
      <c r="C204" s="22" t="inlineStr">
        <is>
          <t>Spell Bottle</t>
        </is>
      </c>
      <c r="D204" s="22" t="inlineStr">
        <is>
          <t>Green aventurine</t>
        </is>
      </c>
      <c r="E204" s="22" t="inlineStr">
        <is>
          <t>green aventurine</t>
        </is>
      </c>
    </row>
    <row r="205" ht="15" customHeight="1" s="18">
      <c r="A205" s="22" t="n">
        <v>35</v>
      </c>
      <c r="B205" s="22" t="inlineStr">
        <is>
          <t>The Open Invitation</t>
        </is>
      </c>
      <c r="C205" s="22" t="inlineStr">
        <is>
          <t>Spell Bottle</t>
        </is>
      </c>
      <c r="D205" s="22" t="inlineStr">
        <is>
          <t>Paper</t>
        </is>
      </c>
      <c r="E205" s="22" t="inlineStr">
        <is>
          <t>tiny paper scroll</t>
        </is>
      </c>
    </row>
    <row r="206" ht="15" customHeight="1" s="18">
      <c r="A206" s="22" t="n">
        <v>35</v>
      </c>
      <c r="B206" s="22" t="inlineStr">
        <is>
          <t>The Open Invitation</t>
        </is>
      </c>
      <c r="C206" s="22" t="inlineStr">
        <is>
          <t>Spell Bottle</t>
        </is>
      </c>
      <c r="D206" s="22" t="inlineStr">
        <is>
          <t>Gold button</t>
        </is>
      </c>
      <c r="E206" s="22" t="inlineStr">
        <is>
          <t>gold button</t>
        </is>
      </c>
    </row>
    <row r="207" ht="15" customHeight="1" s="18">
      <c r="A207" s="22" t="n">
        <v>35</v>
      </c>
      <c r="B207" s="22" t="inlineStr">
        <is>
          <t>The Open Invitation</t>
        </is>
      </c>
      <c r="C207" s="22" t="inlineStr">
        <is>
          <t>Spell Bottle</t>
        </is>
      </c>
      <c r="D207" s="22" t="inlineStr">
        <is>
          <t>Rainbow sprinkles</t>
        </is>
      </c>
      <c r="E207" s="22" t="inlineStr">
        <is>
          <t>rainbow sprinkles</t>
        </is>
      </c>
    </row>
    <row r="208" ht="15" customHeight="1" s="18">
      <c r="A208" s="22" t="n">
        <v>36</v>
      </c>
      <c r="B208" s="22" t="inlineStr">
        <is>
          <t>Fortune Favors the Bold</t>
        </is>
      </c>
      <c r="C208" s="22" t="inlineStr">
        <is>
          <t>Tonic</t>
        </is>
      </c>
      <c r="D208" s="22" t="inlineStr">
        <is>
          <t>Sunwater</t>
        </is>
      </c>
      <c r="E208" s="22" t="inlineStr">
        <is>
          <t>Sunwater</t>
        </is>
      </c>
    </row>
    <row r="209" ht="15" customHeight="1" s="18">
      <c r="A209" s="22" t="n">
        <v>36</v>
      </c>
      <c r="B209" s="22" t="inlineStr">
        <is>
          <t>Fortune Favors the Bold</t>
        </is>
      </c>
      <c r="C209" s="22" t="inlineStr">
        <is>
          <t>Tonic</t>
        </is>
      </c>
      <c r="D209" s="22" t="inlineStr">
        <is>
          <t>Ginger</t>
        </is>
      </c>
      <c r="E209" s="22" t="inlineStr">
        <is>
          <t>fresh ginger</t>
        </is>
      </c>
    </row>
    <row r="210" ht="15" customHeight="1" s="18">
      <c r="A210" s="22" t="n">
        <v>36</v>
      </c>
      <c r="B210" s="22" t="inlineStr">
        <is>
          <t>Fortune Favors the Bold</t>
        </is>
      </c>
      <c r="C210" s="22" t="inlineStr">
        <is>
          <t>Tonic</t>
        </is>
      </c>
      <c r="D210" s="22" t="inlineStr">
        <is>
          <t>Grapes</t>
        </is>
      </c>
      <c r="E210" s="22" t="inlineStr">
        <is>
          <t>grapes</t>
        </is>
      </c>
    </row>
    <row r="211" ht="15" customHeight="1" s="18">
      <c r="A211" s="22" t="n">
        <v>36</v>
      </c>
      <c r="B211" s="22" t="inlineStr">
        <is>
          <t>Fortune Favors the Bold</t>
        </is>
      </c>
      <c r="C211" s="22" t="inlineStr">
        <is>
          <t>Tonic</t>
        </is>
      </c>
      <c r="D211" s="22" t="inlineStr">
        <is>
          <t>Saffron</t>
        </is>
      </c>
      <c r="E211" s="22" t="inlineStr">
        <is>
          <t>saffron</t>
        </is>
      </c>
    </row>
    <row r="212" ht="15" customHeight="1" s="18">
      <c r="A212" s="22" t="n">
        <v>36</v>
      </c>
      <c r="B212" s="22" t="inlineStr">
        <is>
          <t>Fortune Favors the Bold</t>
        </is>
      </c>
      <c r="C212" s="22" t="inlineStr">
        <is>
          <t>Tonic</t>
        </is>
      </c>
      <c r="D212" s="22" t="inlineStr">
        <is>
          <t>Thyme</t>
        </is>
      </c>
      <c r="E212" s="22" t="inlineStr">
        <is>
          <t>thyme</t>
        </is>
      </c>
    </row>
    <row r="213" ht="15" customHeight="1" s="18">
      <c r="A213" s="22" t="n">
        <v>37</v>
      </c>
      <c r="B213" s="22" t="inlineStr">
        <is>
          <t>The Abundance Garden</t>
        </is>
      </c>
      <c r="C213" s="22" t="inlineStr">
        <is>
          <t>Tea</t>
        </is>
      </c>
      <c r="D213" s="22" t="inlineStr">
        <is>
          <t>Wheat</t>
        </is>
      </c>
      <c r="E213" s="22" t="inlineStr">
        <is>
          <t>Wheat</t>
        </is>
      </c>
    </row>
    <row r="214" ht="15" customHeight="1" s="18">
      <c r="A214" s="22" t="n">
        <v>37</v>
      </c>
      <c r="B214" s="22" t="inlineStr">
        <is>
          <t>The Abundance Garden</t>
        </is>
      </c>
      <c r="C214" s="22" t="inlineStr">
        <is>
          <t>Tea</t>
        </is>
      </c>
      <c r="D214" s="22" t="inlineStr">
        <is>
          <t>Fern</t>
        </is>
      </c>
      <c r="E214" s="22" t="inlineStr">
        <is>
          <t>fern</t>
        </is>
      </c>
    </row>
    <row r="215" ht="15" customHeight="1" s="18">
      <c r="A215" s="22" t="n">
        <v>37</v>
      </c>
      <c r="B215" s="22" t="inlineStr">
        <is>
          <t>The Abundance Garden</t>
        </is>
      </c>
      <c r="C215" s="22" t="inlineStr">
        <is>
          <t>Tea</t>
        </is>
      </c>
      <c r="D215" s="22" t="inlineStr">
        <is>
          <t>Cinnamon</t>
        </is>
      </c>
      <c r="E215" s="22" t="inlineStr">
        <is>
          <t>cinnamon</t>
        </is>
      </c>
    </row>
    <row r="216" ht="15" customHeight="1" s="18">
      <c r="A216" s="22" t="n">
        <v>37</v>
      </c>
      <c r="B216" s="22" t="inlineStr">
        <is>
          <t>The Abundance Garden</t>
        </is>
      </c>
      <c r="C216" s="22" t="inlineStr">
        <is>
          <t>Tea</t>
        </is>
      </c>
      <c r="D216" s="22" t="inlineStr">
        <is>
          <t>Orange peel</t>
        </is>
      </c>
      <c r="E216" s="22" t="inlineStr">
        <is>
          <t>orange peel</t>
        </is>
      </c>
    </row>
    <row r="217" ht="15" customHeight="1" s="18">
      <c r="A217" s="22" t="n">
        <v>37</v>
      </c>
      <c r="B217" s="22" t="inlineStr">
        <is>
          <t>The Abundance Garden</t>
        </is>
      </c>
      <c r="C217" s="22" t="inlineStr">
        <is>
          <t>Tea</t>
        </is>
      </c>
      <c r="D217" s="22" t="inlineStr">
        <is>
          <t>Pressed moon petals</t>
        </is>
      </c>
      <c r="E217" s="22" t="inlineStr">
        <is>
          <t>pressed moon petals</t>
        </is>
      </c>
    </row>
    <row r="218" ht="15" customHeight="1" s="18">
      <c r="A218" s="22" t="n">
        <v>38</v>
      </c>
      <c r="B218" s="22" t="inlineStr">
        <is>
          <t>Lucky Little Things</t>
        </is>
      </c>
      <c r="C218" s="22" t="inlineStr">
        <is>
          <t>Cookies</t>
        </is>
      </c>
      <c r="D218" s="22" t="inlineStr">
        <is>
          <t>Flour</t>
        </is>
      </c>
      <c r="E218" s="22" t="inlineStr">
        <is>
          <t>Flour</t>
        </is>
      </c>
    </row>
    <row r="219" ht="15" customHeight="1" s="18">
      <c r="A219" s="22" t="n">
        <v>38</v>
      </c>
      <c r="B219" s="22" t="inlineStr">
        <is>
          <t>Lucky Little Things</t>
        </is>
      </c>
      <c r="C219" s="22" t="inlineStr">
        <is>
          <t>Cookies</t>
        </is>
      </c>
      <c r="D219" s="22" t="inlineStr">
        <is>
          <t>Butter</t>
        </is>
      </c>
      <c r="E219" s="22" t="inlineStr">
        <is>
          <t>butter</t>
        </is>
      </c>
    </row>
    <row r="220" ht="15" customHeight="1" s="18">
      <c r="A220" s="22" t="n">
        <v>38</v>
      </c>
      <c r="B220" s="22" t="inlineStr">
        <is>
          <t>Lucky Little Things</t>
        </is>
      </c>
      <c r="C220" s="22" t="inlineStr">
        <is>
          <t>Cookies</t>
        </is>
      </c>
      <c r="D220" s="22" t="inlineStr">
        <is>
          <t>Brown sugar</t>
        </is>
      </c>
      <c r="E220" s="22" t="inlineStr">
        <is>
          <t>brown sugar</t>
        </is>
      </c>
    </row>
    <row r="221" ht="15" customHeight="1" s="18">
      <c r="A221" s="22" t="n">
        <v>38</v>
      </c>
      <c r="B221" s="22" t="inlineStr">
        <is>
          <t>Lucky Little Things</t>
        </is>
      </c>
      <c r="C221" s="22" t="inlineStr">
        <is>
          <t>Cookies</t>
        </is>
      </c>
      <c r="D221" s="22" t="inlineStr">
        <is>
          <t>Nutmeg</t>
        </is>
      </c>
      <c r="E221" s="22" t="inlineStr">
        <is>
          <t>nutmeg</t>
        </is>
      </c>
    </row>
    <row r="222" ht="15" customHeight="1" s="18">
      <c r="A222" s="22" t="n">
        <v>38</v>
      </c>
      <c r="B222" s="22" t="inlineStr">
        <is>
          <t>Lucky Little Things</t>
        </is>
      </c>
      <c r="C222" s="22" t="inlineStr">
        <is>
          <t>Cookies</t>
        </is>
      </c>
      <c r="D222" s="22" t="inlineStr">
        <is>
          <t>Poppy seeds</t>
        </is>
      </c>
      <c r="E222" s="22" t="inlineStr">
        <is>
          <t>poppy seeds</t>
        </is>
      </c>
    </row>
    <row r="223" ht="15" customHeight="1" s="18">
      <c r="A223" s="22" t="n">
        <v>38</v>
      </c>
      <c r="B223" s="22" t="inlineStr">
        <is>
          <t>Lucky Little Things</t>
        </is>
      </c>
      <c r="C223" s="22" t="inlineStr">
        <is>
          <t>Cookies</t>
        </is>
      </c>
      <c r="D223" s="22" t="inlineStr">
        <is>
          <t>Rainbow sprinkles</t>
        </is>
      </c>
      <c r="E223" s="22" t="inlineStr">
        <is>
          <t>rainbow sprinkles</t>
        </is>
      </c>
    </row>
    <row r="224" ht="15" customHeight="1" s="18">
      <c r="A224" s="22" t="n">
        <v>39</v>
      </c>
      <c r="B224" s="22" t="inlineStr">
        <is>
          <t>The Wheel Turns</t>
        </is>
      </c>
      <c r="C224" s="22" t="inlineStr">
        <is>
          <t>Wand</t>
        </is>
      </c>
      <c r="D224" s="22" t="inlineStr">
        <is>
          <t>Acorn</t>
        </is>
      </c>
      <c r="E224" s="22" t="inlineStr">
        <is>
          <t>Acorn</t>
        </is>
      </c>
    </row>
    <row r="225" ht="15" customHeight="1" s="18">
      <c r="A225" s="22" t="n">
        <v>39</v>
      </c>
      <c r="B225" s="22" t="inlineStr">
        <is>
          <t>The Wheel Turns</t>
        </is>
      </c>
      <c r="C225" s="22" t="inlineStr">
        <is>
          <t>Wand</t>
        </is>
      </c>
      <c r="D225" s="22" t="inlineStr">
        <is>
          <t>Citrine</t>
        </is>
      </c>
      <c r="E225" s="22" t="inlineStr">
        <is>
          <t>citrine</t>
        </is>
      </c>
    </row>
    <row r="226" ht="15" customHeight="1" s="18">
      <c r="A226" s="22" t="n">
        <v>39</v>
      </c>
      <c r="B226" s="22" t="inlineStr">
        <is>
          <t>The Wheel Turns</t>
        </is>
      </c>
      <c r="C226" s="22" t="inlineStr">
        <is>
          <t>Wand</t>
        </is>
      </c>
      <c r="D226" s="22" t="inlineStr">
        <is>
          <t>Green thread</t>
        </is>
      </c>
      <c r="E226" s="22" t="inlineStr">
        <is>
          <t>green and gold thread</t>
        </is>
      </c>
    </row>
    <row r="227" ht="15" customHeight="1" s="18">
      <c r="A227" s="22" t="n">
        <v>39</v>
      </c>
      <c r="B227" s="22" t="inlineStr">
        <is>
          <t>The Wheel Turns</t>
        </is>
      </c>
      <c r="C227" s="22" t="inlineStr">
        <is>
          <t>Wand</t>
        </is>
      </c>
      <c r="D227" s="22" t="inlineStr">
        <is>
          <t>Gold thread</t>
        </is>
      </c>
      <c r="E227" s="22" t="inlineStr">
        <is>
          <t>green and gold thread</t>
        </is>
      </c>
    </row>
    <row r="228" ht="15" customHeight="1" s="18">
      <c r="A228" s="22" t="n">
        <v>39</v>
      </c>
      <c r="B228" s="22" t="inlineStr">
        <is>
          <t>The Wheel Turns</t>
        </is>
      </c>
      <c r="C228" s="22" t="inlineStr">
        <is>
          <t>Wand</t>
        </is>
      </c>
      <c r="D228" s="22" t="inlineStr">
        <is>
          <t>Cinnamon</t>
        </is>
      </c>
      <c r="E228" s="22" t="inlineStr">
        <is>
          <t>cinnamon oil</t>
        </is>
      </c>
    </row>
    <row r="229" ht="15" customHeight="1" s="18">
      <c r="A229" s="22" t="n">
        <v>39</v>
      </c>
      <c r="B229" s="22" t="inlineStr">
        <is>
          <t>The Wheel Turns</t>
        </is>
      </c>
      <c r="C229" s="22" t="inlineStr">
        <is>
          <t>Wand</t>
        </is>
      </c>
      <c r="D229" s="22" t="inlineStr">
        <is>
          <t>Coin</t>
        </is>
      </c>
      <c r="E229" s="22" t="inlineStr">
        <is>
          <t>a found coin</t>
        </is>
      </c>
    </row>
    <row r="230" ht="15" customHeight="1" s="18">
      <c r="A230" s="22" t="n">
        <v>39</v>
      </c>
      <c r="B230" s="22" t="inlineStr">
        <is>
          <t>The Wheel Turns</t>
        </is>
      </c>
      <c r="C230" s="22" t="inlineStr">
        <is>
          <t>Wand</t>
        </is>
      </c>
      <c r="D230" s="22" t="inlineStr">
        <is>
          <t>Magpie feather</t>
        </is>
      </c>
      <c r="E230" s="22" t="inlineStr">
        <is>
          <t>magpie feather</t>
        </is>
      </c>
    </row>
    <row r="231" ht="15" customHeight="1" s="18">
      <c r="A231" s="22" t="n">
        <v>40</v>
      </c>
      <c r="B231" s="22" t="inlineStr">
        <is>
          <t>The Giving Star</t>
        </is>
      </c>
      <c r="C231" s="22" t="inlineStr">
        <is>
          <t>Charm</t>
        </is>
      </c>
      <c r="D231" s="22" t="inlineStr">
        <is>
          <t>Gold button</t>
        </is>
      </c>
      <c r="E231" s="22" t="inlineStr">
        <is>
          <t>Gold button</t>
        </is>
      </c>
    </row>
    <row r="232" ht="15" customHeight="1" s="18">
      <c r="A232" s="22" t="n">
        <v>40</v>
      </c>
      <c r="B232" s="22" t="inlineStr">
        <is>
          <t>The Giving Star</t>
        </is>
      </c>
      <c r="C232" s="22" t="inlineStr">
        <is>
          <t>Charm</t>
        </is>
      </c>
      <c r="D232" s="22" t="inlineStr">
        <is>
          <t>Pomegranate seeds</t>
        </is>
      </c>
      <c r="E232" s="22" t="inlineStr">
        <is>
          <t>pomegranate seeds</t>
        </is>
      </c>
    </row>
    <row r="233" ht="15" customHeight="1" s="18">
      <c r="A233" s="22" t="n">
        <v>40</v>
      </c>
      <c r="B233" s="22" t="inlineStr">
        <is>
          <t>The Giving Star</t>
        </is>
      </c>
      <c r="C233" s="22" t="inlineStr">
        <is>
          <t>Charm</t>
        </is>
      </c>
      <c r="D233" s="22" t="inlineStr">
        <is>
          <t>Honey</t>
        </is>
      </c>
      <c r="E233" s="22" t="inlineStr">
        <is>
          <t>a drop of honey</t>
        </is>
      </c>
    </row>
    <row r="234" ht="15" customHeight="1" s="18">
      <c r="A234" s="22" t="n">
        <v>40</v>
      </c>
      <c r="B234" s="22" t="inlineStr">
        <is>
          <t>The Giving Star</t>
        </is>
      </c>
      <c r="C234" s="22" t="inlineStr">
        <is>
          <t>Charm</t>
        </is>
      </c>
      <c r="D234" s="22" t="inlineStr">
        <is>
          <t>Jade</t>
        </is>
      </c>
      <c r="E234" s="22" t="inlineStr">
        <is>
          <t>jade</t>
        </is>
      </c>
    </row>
    <row r="235" ht="15" customHeight="1" s="18">
      <c r="A235" s="22" t="n">
        <v>40</v>
      </c>
      <c r="B235" s="22" t="inlineStr">
        <is>
          <t>The Giving Star</t>
        </is>
      </c>
      <c r="C235" s="22" t="inlineStr">
        <is>
          <t>Charm</t>
        </is>
      </c>
      <c r="D235" s="22" t="inlineStr">
        <is>
          <t>Green thread</t>
        </is>
      </c>
      <c r="E235" s="22" t="inlineStr">
        <is>
          <t>green thread</t>
        </is>
      </c>
    </row>
    <row r="236" ht="15" customHeight="1" s="18">
      <c r="A236" s="22" t="n">
        <v>41</v>
      </c>
      <c r="B236" s="22" t="inlineStr">
        <is>
          <t>The Midas Muse</t>
        </is>
      </c>
      <c r="C236" s="22" t="inlineStr">
        <is>
          <t>Glamour</t>
        </is>
      </c>
      <c r="D236" s="22" t="inlineStr">
        <is>
          <t>Sunflower oil</t>
        </is>
      </c>
      <c r="E236" s="22" t="inlineStr">
        <is>
          <t>Sunflower oil</t>
        </is>
      </c>
    </row>
    <row r="237" ht="15" customHeight="1" s="18">
      <c r="A237" s="22" t="n">
        <v>41</v>
      </c>
      <c r="B237" s="22" t="inlineStr">
        <is>
          <t>The Midas Muse</t>
        </is>
      </c>
      <c r="C237" s="22" t="inlineStr">
        <is>
          <t>Glamour</t>
        </is>
      </c>
      <c r="D237" s="22" t="inlineStr">
        <is>
          <t>Gold mica</t>
        </is>
      </c>
      <c r="E237" s="22" t="inlineStr">
        <is>
          <t>gold mica</t>
        </is>
      </c>
    </row>
    <row r="238" ht="15" customHeight="1" s="18">
      <c r="A238" s="22" t="n">
        <v>41</v>
      </c>
      <c r="B238" s="22" t="inlineStr">
        <is>
          <t>The Midas Muse</t>
        </is>
      </c>
      <c r="C238" s="22" t="inlineStr">
        <is>
          <t>Glamour</t>
        </is>
      </c>
      <c r="D238" s="22" t="inlineStr">
        <is>
          <t>Oak moss</t>
        </is>
      </c>
      <c r="E238" s="22" t="inlineStr">
        <is>
          <t>oak moss</t>
        </is>
      </c>
    </row>
    <row r="239" ht="15" customHeight="1" s="18">
      <c r="A239" s="22" t="n">
        <v>41</v>
      </c>
      <c r="B239" s="22" t="inlineStr">
        <is>
          <t>The Midas Muse</t>
        </is>
      </c>
      <c r="C239" s="22" t="inlineStr">
        <is>
          <t>Glamour</t>
        </is>
      </c>
      <c r="D239" s="22" t="inlineStr">
        <is>
          <t>Saffron</t>
        </is>
      </c>
      <c r="E239" s="22" t="inlineStr">
        <is>
          <t>saffron</t>
        </is>
      </c>
    </row>
    <row r="240" ht="15" customHeight="1" s="18">
      <c r="A240" s="22" t="n">
        <v>41</v>
      </c>
      <c r="B240" s="22" t="inlineStr">
        <is>
          <t>The Midas Muse</t>
        </is>
      </c>
      <c r="C240" s="22" t="inlineStr">
        <is>
          <t>Glamour</t>
        </is>
      </c>
      <c r="D240" s="22" t="inlineStr">
        <is>
          <t>Citrine</t>
        </is>
      </c>
      <c r="E240" s="22" t="inlineStr">
        <is>
          <t>citrine</t>
        </is>
      </c>
    </row>
    <row r="241" ht="15" customHeight="1" s="18">
      <c r="A241" s="22" t="n">
        <v>42</v>
      </c>
      <c r="B241" s="22" t="inlineStr">
        <is>
          <t>The Golden Nest</t>
        </is>
      </c>
      <c r="C241" s="22" t="inlineStr">
        <is>
          <t>Witch Salt</t>
        </is>
      </c>
      <c r="D241" s="22" t="inlineStr">
        <is>
          <t>Sea salt</t>
        </is>
      </c>
      <c r="E241" s="22" t="inlineStr">
        <is>
          <t>Sea salt</t>
        </is>
      </c>
    </row>
    <row r="242" ht="15" customHeight="1" s="18">
      <c r="A242" s="22" t="n">
        <v>42</v>
      </c>
      <c r="B242" s="22" t="inlineStr">
        <is>
          <t>The Golden Nest</t>
        </is>
      </c>
      <c r="C242" s="22" t="inlineStr">
        <is>
          <t>Witch Salt</t>
        </is>
      </c>
      <c r="D242" s="22" t="inlineStr">
        <is>
          <t>Cinnamon</t>
        </is>
      </c>
      <c r="E242" s="22" t="inlineStr">
        <is>
          <t>cinnamon</t>
        </is>
      </c>
    </row>
    <row r="243" ht="15" customHeight="1" s="18">
      <c r="A243" s="22" t="n">
        <v>42</v>
      </c>
      <c r="B243" s="22" t="inlineStr">
        <is>
          <t>The Golden Nest</t>
        </is>
      </c>
      <c r="C243" s="22" t="inlineStr">
        <is>
          <t>Witch Salt</t>
        </is>
      </c>
      <c r="D243" s="22" t="inlineStr">
        <is>
          <t>Basil</t>
        </is>
      </c>
      <c r="E243" s="22" t="inlineStr">
        <is>
          <t>dried basil</t>
        </is>
      </c>
    </row>
    <row r="244" ht="15" customHeight="1" s="18">
      <c r="A244" s="22" t="n">
        <v>42</v>
      </c>
      <c r="B244" s="22" t="inlineStr">
        <is>
          <t>The Golden Nest</t>
        </is>
      </c>
      <c r="C244" s="22" t="inlineStr">
        <is>
          <t>Witch Salt</t>
        </is>
      </c>
      <c r="D244" s="22" t="inlineStr">
        <is>
          <t>Pyrite</t>
        </is>
      </c>
      <c r="E244" s="22" t="inlineStr">
        <is>
          <t>pyrite</t>
        </is>
      </c>
    </row>
    <row r="245" ht="15" customHeight="1" s="18">
      <c r="A245" s="22" t="n">
        <v>42</v>
      </c>
      <c r="B245" s="22" t="inlineStr">
        <is>
          <t>The Golden Nest</t>
        </is>
      </c>
      <c r="C245" s="22" t="inlineStr">
        <is>
          <t>Witch Salt</t>
        </is>
      </c>
      <c r="D245" s="22" t="inlineStr">
        <is>
          <t>Nest twig</t>
        </is>
      </c>
      <c r="E245" s="22" t="inlineStr">
        <is>
          <t>a twig from a fallen nest</t>
        </is>
      </c>
    </row>
    <row r="246" ht="15" customHeight="1" s="18">
      <c r="A246" s="22" t="n">
        <v>43</v>
      </c>
      <c r="B246" s="22" t="inlineStr">
        <is>
          <t>The Fortune Finder</t>
        </is>
      </c>
      <c r="C246" s="22" t="inlineStr">
        <is>
          <t>Hand Mirror</t>
        </is>
      </c>
      <c r="D246" s="22" t="inlineStr">
        <is>
          <t>Clamshell compact</t>
        </is>
      </c>
      <c r="E246" s="22" t="inlineStr">
        <is>
          <t>Clamshell compact</t>
        </is>
      </c>
    </row>
    <row r="247" ht="15" customHeight="1" s="18">
      <c r="A247" s="22" t="n">
        <v>43</v>
      </c>
      <c r="B247" s="22" t="inlineStr">
        <is>
          <t>The Fortune Finder</t>
        </is>
      </c>
      <c r="C247" s="22" t="inlineStr">
        <is>
          <t>Hand Mirror</t>
        </is>
      </c>
      <c r="D247" s="22" t="inlineStr">
        <is>
          <t>New Moon Water</t>
        </is>
      </c>
      <c r="E247" s="22" t="inlineStr">
        <is>
          <t>New Moon Water</t>
        </is>
      </c>
    </row>
    <row r="248" ht="15" customHeight="1" s="18">
      <c r="A248" s="22" t="n">
        <v>43</v>
      </c>
      <c r="B248" s="22" t="inlineStr">
        <is>
          <t>The Fortune Finder</t>
        </is>
      </c>
      <c r="C248" s="22" t="inlineStr">
        <is>
          <t>Hand Mirror</t>
        </is>
      </c>
      <c r="D248" s="22" t="inlineStr">
        <is>
          <t>Citrine</t>
        </is>
      </c>
      <c r="E248" s="22" t="inlineStr">
        <is>
          <t>citrine</t>
        </is>
      </c>
    </row>
    <row r="249" ht="15" customHeight="1" s="18">
      <c r="A249" s="22" t="n">
        <v>43</v>
      </c>
      <c r="B249" s="22" t="inlineStr">
        <is>
          <t>The Fortune Finder</t>
        </is>
      </c>
      <c r="C249" s="22" t="inlineStr">
        <is>
          <t>Hand Mirror</t>
        </is>
      </c>
      <c r="D249" s="22" t="inlineStr">
        <is>
          <t>Star anise</t>
        </is>
      </c>
      <c r="E249" s="22" t="inlineStr">
        <is>
          <t>star anise</t>
        </is>
      </c>
    </row>
    <row r="250" ht="15" customHeight="1" s="18">
      <c r="A250" s="22" t="n">
        <v>43</v>
      </c>
      <c r="B250" s="22" t="inlineStr">
        <is>
          <t>The Fortune Finder</t>
        </is>
      </c>
      <c r="C250" s="22" t="inlineStr">
        <is>
          <t>Hand Mirror</t>
        </is>
      </c>
      <c r="D250" s="22" t="inlineStr">
        <is>
          <t>Magpie feather</t>
        </is>
      </c>
      <c r="E250" s="22" t="inlineStr">
        <is>
          <t>magpie feather</t>
        </is>
      </c>
    </row>
    <row r="251" ht="15" customHeight="1" s="18">
      <c r="A251" s="22" t="n">
        <v>43</v>
      </c>
      <c r="B251" s="22" t="inlineStr">
        <is>
          <t>The Fortune Finder</t>
        </is>
      </c>
      <c r="C251" s="22" t="inlineStr">
        <is>
          <t>Hand Mirror</t>
        </is>
      </c>
      <c r="D251" s="22" t="inlineStr">
        <is>
          <t>Gold thread</t>
        </is>
      </c>
      <c r="E251" s="22" t="inlineStr">
        <is>
          <t>gold thread</t>
        </is>
      </c>
    </row>
    <row r="252" ht="15" customHeight="1" s="18">
      <c r="A252" s="22" t="n">
        <v>44</v>
      </c>
      <c r="B252" s="22" t="inlineStr">
        <is>
          <t>Champagne Stardust</t>
        </is>
      </c>
      <c r="C252" s="22" t="inlineStr">
        <is>
          <t>Bath Salt</t>
        </is>
      </c>
      <c r="D252" s="22" t="inlineStr">
        <is>
          <t>Epsom salt</t>
        </is>
      </c>
      <c r="E252" s="22" t="inlineStr">
        <is>
          <t>Epsom salt</t>
        </is>
      </c>
    </row>
    <row r="253" ht="15" customHeight="1" s="18">
      <c r="A253" s="22" t="n">
        <v>44</v>
      </c>
      <c r="B253" s="22" t="inlineStr">
        <is>
          <t>Champagne Stardust</t>
        </is>
      </c>
      <c r="C253" s="22" t="inlineStr">
        <is>
          <t>Bath Salt</t>
        </is>
      </c>
      <c r="D253" s="22" t="inlineStr">
        <is>
          <t>Gold sprinkles</t>
        </is>
      </c>
      <c r="E253" s="22" t="inlineStr">
        <is>
          <t>gold sprinkles</t>
        </is>
      </c>
    </row>
    <row r="254" ht="15" customHeight="1" s="18">
      <c r="A254" s="22" t="n">
        <v>44</v>
      </c>
      <c r="B254" s="22" t="inlineStr">
        <is>
          <t>Champagne Stardust</t>
        </is>
      </c>
      <c r="C254" s="22" t="inlineStr">
        <is>
          <t>Bath Salt</t>
        </is>
      </c>
      <c r="D254" s="22" t="inlineStr">
        <is>
          <t>Gold mica</t>
        </is>
      </c>
      <c r="E254" s="22" t="inlineStr">
        <is>
          <t>gold mica</t>
        </is>
      </c>
    </row>
    <row r="255" ht="15" customHeight="1" s="18">
      <c r="A255" s="22" t="n">
        <v>44</v>
      </c>
      <c r="B255" s="22" t="inlineStr">
        <is>
          <t>Champagne Stardust</t>
        </is>
      </c>
      <c r="C255" s="22" t="inlineStr">
        <is>
          <t>Bath Salt</t>
        </is>
      </c>
      <c r="D255" s="22" t="inlineStr">
        <is>
          <t>Grapes</t>
        </is>
      </c>
      <c r="E255" s="22" t="inlineStr">
        <is>
          <t>dried white grapes</t>
        </is>
      </c>
    </row>
    <row r="256" ht="15" customHeight="1" s="18">
      <c r="A256" s="22" t="n">
        <v>44</v>
      </c>
      <c r="B256" s="22" t="inlineStr">
        <is>
          <t>Champagne Stardust</t>
        </is>
      </c>
      <c r="C256" s="22" t="inlineStr">
        <is>
          <t>Bath Salt</t>
        </is>
      </c>
      <c r="D256" s="22" t="inlineStr">
        <is>
          <t>Elderflower</t>
        </is>
      </c>
      <c r="E256" s="22" t="inlineStr">
        <is>
          <t>elderflower</t>
        </is>
      </c>
    </row>
    <row r="257" ht="15" customHeight="1" s="18">
      <c r="A257" s="22" t="n">
        <v>44</v>
      </c>
      <c r="B257" s="22" t="inlineStr">
        <is>
          <t>Champagne Stardust</t>
        </is>
      </c>
      <c r="C257" s="22" t="inlineStr">
        <is>
          <t>Bath Salt</t>
        </is>
      </c>
      <c r="D257" s="22" t="inlineStr">
        <is>
          <t>Sunstone</t>
        </is>
      </c>
      <c r="E257" s="22" t="inlineStr">
        <is>
          <t>sunstone</t>
        </is>
      </c>
    </row>
    <row r="258" ht="15" customHeight="1" s="18">
      <c r="A258" s="22" t="n">
        <v>45</v>
      </c>
      <c r="B258" s="22" t="inlineStr">
        <is>
          <t>The Honeyed Hearth</t>
        </is>
      </c>
      <c r="C258" s="22" t="inlineStr">
        <is>
          <t>Sachet</t>
        </is>
      </c>
      <c r="D258" s="22" t="inlineStr">
        <is>
          <t>Honeycomb</t>
        </is>
      </c>
      <c r="E258" s="22" t="inlineStr">
        <is>
          <t>Honeycomb sliver</t>
        </is>
      </c>
    </row>
    <row r="259" ht="15" customHeight="1" s="18">
      <c r="A259" s="22" t="n">
        <v>45</v>
      </c>
      <c r="B259" s="22" t="inlineStr">
        <is>
          <t>The Honeyed Hearth</t>
        </is>
      </c>
      <c r="C259" s="22" t="inlineStr">
        <is>
          <t>Sachet</t>
        </is>
      </c>
      <c r="D259" s="22" t="inlineStr">
        <is>
          <t>Cinnamon</t>
        </is>
      </c>
      <c r="E259" s="22" t="inlineStr">
        <is>
          <t>cinnamon</t>
        </is>
      </c>
    </row>
    <row r="260" ht="15" customHeight="1" s="18">
      <c r="A260" s="22" t="n">
        <v>45</v>
      </c>
      <c r="B260" s="22" t="inlineStr">
        <is>
          <t>The Honeyed Hearth</t>
        </is>
      </c>
      <c r="C260" s="22" t="inlineStr">
        <is>
          <t>Sachet</t>
        </is>
      </c>
      <c r="D260" s="22" t="inlineStr">
        <is>
          <t>Clove</t>
        </is>
      </c>
      <c r="E260" s="22" t="inlineStr">
        <is>
          <t>cloves</t>
        </is>
      </c>
    </row>
    <row r="261" ht="15" customHeight="1" s="18">
      <c r="A261" s="22" t="n">
        <v>45</v>
      </c>
      <c r="B261" s="22" t="inlineStr">
        <is>
          <t>The Honeyed Hearth</t>
        </is>
      </c>
      <c r="C261" s="22" t="inlineStr">
        <is>
          <t>Sachet</t>
        </is>
      </c>
      <c r="D261" s="22" t="inlineStr">
        <is>
          <t>Wheat</t>
        </is>
      </c>
      <c r="E261" s="22" t="inlineStr">
        <is>
          <t>wheat stalk</t>
        </is>
      </c>
    </row>
    <row r="262" ht="15" customHeight="1" s="18">
      <c r="A262" s="22" t="n">
        <v>45</v>
      </c>
      <c r="B262" s="22" t="inlineStr">
        <is>
          <t>The Honeyed Hearth</t>
        </is>
      </c>
      <c r="C262" s="22" t="inlineStr">
        <is>
          <t>Sachet</t>
        </is>
      </c>
      <c r="D262" s="22" t="inlineStr">
        <is>
          <t>Autumn leaf</t>
        </is>
      </c>
      <c r="E262" s="22" t="inlineStr">
        <is>
          <t>autumn leaf</t>
        </is>
      </c>
    </row>
    <row r="263" ht="15" customHeight="1" s="18">
      <c r="A263" s="22" t="n">
        <v>45</v>
      </c>
      <c r="B263" s="22" t="inlineStr">
        <is>
          <t>The Honeyed Hearth</t>
        </is>
      </c>
      <c r="C263" s="22" t="inlineStr">
        <is>
          <t>Sachet</t>
        </is>
      </c>
      <c r="D263" s="22" t="inlineStr">
        <is>
          <t>Green aventurine</t>
        </is>
      </c>
      <c r="E263" s="22" t="inlineStr">
        <is>
          <t>green aventurine</t>
        </is>
      </c>
    </row>
    <row r="264" ht="15" customHeight="1" s="18">
      <c r="A264" s="22" t="n">
        <v>45</v>
      </c>
      <c r="B264" s="22" t="inlineStr">
        <is>
          <t>The Honeyed Hearth</t>
        </is>
      </c>
      <c r="C264" s="22" t="inlineStr">
        <is>
          <t>Sachet</t>
        </is>
      </c>
      <c r="D264" s="22" t="inlineStr">
        <is>
          <t>Gold thread</t>
        </is>
      </c>
      <c r="E264" s="22" t="inlineStr">
        <is>
          <t>gold thread</t>
        </is>
      </c>
    </row>
    <row r="265" ht="15" customHeight="1" s="18">
      <c r="A265" s="22" t="n">
        <v>46</v>
      </c>
      <c r="B265" s="22" t="inlineStr">
        <is>
          <t>The Unshaken Flame</t>
        </is>
      </c>
      <c r="C265" s="22" t="inlineStr">
        <is>
          <t>Balm</t>
        </is>
      </c>
      <c r="D265" s="22" t="inlineStr">
        <is>
          <t>Shea butter</t>
        </is>
      </c>
      <c r="E265" s="22" t="inlineStr">
        <is>
          <t>Shea butter</t>
        </is>
      </c>
    </row>
    <row r="266" ht="15" customHeight="1" s="18">
      <c r="A266" s="22" t="n">
        <v>46</v>
      </c>
      <c r="B266" s="22" t="inlineStr">
        <is>
          <t>The Unshaken Flame</t>
        </is>
      </c>
      <c r="C266" s="22" t="inlineStr">
        <is>
          <t>Balm</t>
        </is>
      </c>
      <c r="D266" s="22" t="inlineStr">
        <is>
          <t>Beeswax</t>
        </is>
      </c>
      <c r="E266" s="22" t="inlineStr">
        <is>
          <t>beeswax</t>
        </is>
      </c>
    </row>
    <row r="267" ht="15" customHeight="1" s="18">
      <c r="A267" s="22" t="n">
        <v>46</v>
      </c>
      <c r="B267" s="22" t="inlineStr">
        <is>
          <t>The Unshaken Flame</t>
        </is>
      </c>
      <c r="C267" s="22" t="inlineStr">
        <is>
          <t>Balm</t>
        </is>
      </c>
      <c r="D267" s="22" t="inlineStr">
        <is>
          <t>Orange peel</t>
        </is>
      </c>
      <c r="E267" s="22" t="inlineStr">
        <is>
          <t>orange peel</t>
        </is>
      </c>
    </row>
    <row r="268" ht="15" customHeight="1" s="18">
      <c r="A268" s="22" t="n">
        <v>46</v>
      </c>
      <c r="B268" s="22" t="inlineStr">
        <is>
          <t>The Unshaken Flame</t>
        </is>
      </c>
      <c r="C268" s="22" t="inlineStr">
        <is>
          <t>Balm</t>
        </is>
      </c>
      <c r="D268" s="22" t="inlineStr">
        <is>
          <t>Ginger</t>
        </is>
      </c>
      <c r="E268" s="22" t="inlineStr">
        <is>
          <t>ginger</t>
        </is>
      </c>
    </row>
    <row r="269" ht="15" customHeight="1" s="18">
      <c r="A269" s="22" t="n">
        <v>46</v>
      </c>
      <c r="B269" s="22" t="inlineStr">
        <is>
          <t>The Unshaken Flame</t>
        </is>
      </c>
      <c r="C269" s="22" t="inlineStr">
        <is>
          <t>Balm</t>
        </is>
      </c>
      <c r="D269" s="22" t="inlineStr">
        <is>
          <t>Calendula</t>
        </is>
      </c>
      <c r="E269" s="22" t="inlineStr">
        <is>
          <t>calendula</t>
        </is>
      </c>
    </row>
    <row r="270" ht="15" customHeight="1" s="18">
      <c r="A270" s="22" t="n">
        <v>46</v>
      </c>
      <c r="B270" s="22" t="inlineStr">
        <is>
          <t>The Unshaken Flame</t>
        </is>
      </c>
      <c r="C270" s="22" t="inlineStr">
        <is>
          <t>Balm</t>
        </is>
      </c>
      <c r="D270" s="22" t="inlineStr">
        <is>
          <t>Carnelian</t>
        </is>
      </c>
      <c r="E270" s="22" t="inlineStr">
        <is>
          <t>carnelian</t>
        </is>
      </c>
    </row>
    <row r="271" ht="15" customHeight="1" s="18">
      <c r="A271" s="22" t="n">
        <v>47</v>
      </c>
      <c r="B271" s="22" t="inlineStr">
        <is>
          <t>Mirror of Aphrodite</t>
        </is>
      </c>
      <c r="C271" s="22" t="inlineStr">
        <is>
          <t>Hand Mirror</t>
        </is>
      </c>
      <c r="D271" s="22" t="inlineStr">
        <is>
          <t>Clamshell compact</t>
        </is>
      </c>
      <c r="E271" s="22" t="inlineStr">
        <is>
          <t>Clamshell compact</t>
        </is>
      </c>
    </row>
    <row r="272" ht="15" customHeight="1" s="18">
      <c r="A272" s="22" t="n">
        <v>47</v>
      </c>
      <c r="B272" s="22" t="inlineStr">
        <is>
          <t>Mirror of Aphrodite</t>
        </is>
      </c>
      <c r="C272" s="22" t="inlineStr">
        <is>
          <t>Hand Mirror</t>
        </is>
      </c>
      <c r="D272" s="22" t="inlineStr">
        <is>
          <t>Rosewater</t>
        </is>
      </c>
      <c r="E272" s="22" t="inlineStr">
        <is>
          <t>Rosewater</t>
        </is>
      </c>
    </row>
    <row r="273" ht="15" customHeight="1" s="18">
      <c r="A273" s="22" t="n">
        <v>47</v>
      </c>
      <c r="B273" s="22" t="inlineStr">
        <is>
          <t>Mirror of Aphrodite</t>
        </is>
      </c>
      <c r="C273" s="22" t="inlineStr">
        <is>
          <t>Hand Mirror</t>
        </is>
      </c>
      <c r="D273" s="22" t="inlineStr">
        <is>
          <t>Seashell</t>
        </is>
      </c>
      <c r="E273" s="22" t="inlineStr">
        <is>
          <t>seashell</t>
        </is>
      </c>
    </row>
    <row r="274" ht="15" customHeight="1" s="18">
      <c r="A274" s="22" t="n">
        <v>47</v>
      </c>
      <c r="B274" s="22" t="inlineStr">
        <is>
          <t>Mirror of Aphrodite</t>
        </is>
      </c>
      <c r="C274" s="22" t="inlineStr">
        <is>
          <t>Hand Mirror</t>
        </is>
      </c>
      <c r="D274" s="22" t="inlineStr">
        <is>
          <t>Pearl</t>
        </is>
      </c>
      <c r="E274" s="22" t="inlineStr">
        <is>
          <t>pearl</t>
        </is>
      </c>
    </row>
    <row r="275" ht="15" customHeight="1" s="18">
      <c r="A275" s="22" t="n">
        <v>47</v>
      </c>
      <c r="B275" s="22" t="inlineStr">
        <is>
          <t>Mirror of Aphrodite</t>
        </is>
      </c>
      <c r="C275" s="22" t="inlineStr">
        <is>
          <t>Hand Mirror</t>
        </is>
      </c>
      <c r="D275" s="22" t="inlineStr">
        <is>
          <t>Rose petals</t>
        </is>
      </c>
      <c r="E275" s="22" t="inlineStr">
        <is>
          <t>rose petals</t>
        </is>
      </c>
    </row>
    <row r="276" ht="15" customHeight="1" s="18">
      <c r="A276" s="22" t="n">
        <v>47</v>
      </c>
      <c r="B276" s="22" t="inlineStr">
        <is>
          <t>Mirror of Aphrodite</t>
        </is>
      </c>
      <c r="C276" s="22" t="inlineStr">
        <is>
          <t>Hand Mirror</t>
        </is>
      </c>
      <c r="D276" s="22" t="inlineStr">
        <is>
          <t>Swan down</t>
        </is>
      </c>
      <c r="E276" s="22" t="inlineStr">
        <is>
          <t>swan down</t>
        </is>
      </c>
    </row>
    <row r="277" ht="15" customHeight="1" s="18">
      <c r="A277" s="22" t="n">
        <v>48</v>
      </c>
      <c r="B277" s="22" t="inlineStr">
        <is>
          <t>Starlit Siren</t>
        </is>
      </c>
      <c r="C277" s="22" t="inlineStr">
        <is>
          <t>Glamour</t>
        </is>
      </c>
      <c r="D277" s="22" t="inlineStr">
        <is>
          <t>Rosewater</t>
        </is>
      </c>
      <c r="E277" s="22" t="inlineStr">
        <is>
          <t>Rosewater</t>
        </is>
      </c>
    </row>
    <row r="278" ht="15" customHeight="1" s="18">
      <c r="A278" s="22" t="n">
        <v>48</v>
      </c>
      <c r="B278" s="22" t="inlineStr">
        <is>
          <t>Starlit Siren</t>
        </is>
      </c>
      <c r="C278" s="22" t="inlineStr">
        <is>
          <t>Glamour</t>
        </is>
      </c>
      <c r="D278" s="22" t="inlineStr">
        <is>
          <t>Jasmine</t>
        </is>
      </c>
      <c r="E278" s="22" t="inlineStr">
        <is>
          <t>jasmine</t>
        </is>
      </c>
    </row>
    <row r="279" ht="15" customHeight="1" s="18">
      <c r="A279" s="22" t="n">
        <v>48</v>
      </c>
      <c r="B279" s="22" t="inlineStr">
        <is>
          <t>Starlit Siren</t>
        </is>
      </c>
      <c r="C279" s="22" t="inlineStr">
        <is>
          <t>Glamour</t>
        </is>
      </c>
      <c r="D279" s="22" t="inlineStr">
        <is>
          <t>Coconut milk powder</t>
        </is>
      </c>
      <c r="E279" s="22" t="inlineStr">
        <is>
          <t>coconut milk powder</t>
        </is>
      </c>
    </row>
    <row r="280" ht="15" customHeight="1" s="18">
      <c r="A280" s="22" t="n">
        <v>48</v>
      </c>
      <c r="B280" s="22" t="inlineStr">
        <is>
          <t>Starlit Siren</t>
        </is>
      </c>
      <c r="C280" s="22" t="inlineStr">
        <is>
          <t>Glamour</t>
        </is>
      </c>
      <c r="D280" s="22" t="inlineStr">
        <is>
          <t>Pyrite</t>
        </is>
      </c>
      <c r="E280" s="22" t="inlineStr">
        <is>
          <t>pyrite</t>
        </is>
      </c>
    </row>
    <row r="281" ht="15" customHeight="1" s="18">
      <c r="A281" s="22" t="n">
        <v>48</v>
      </c>
      <c r="B281" s="22" t="inlineStr">
        <is>
          <t>Starlit Siren</t>
        </is>
      </c>
      <c r="C281" s="22" t="inlineStr">
        <is>
          <t>Glamour</t>
        </is>
      </c>
      <c r="D281" s="22" t="inlineStr">
        <is>
          <t>Seashell</t>
        </is>
      </c>
      <c r="E281" s="22" t="inlineStr">
        <is>
          <t>seashell powder</t>
        </is>
      </c>
    </row>
    <row r="282" ht="15" customHeight="1" s="18">
      <c r="A282" s="22" t="n">
        <v>49</v>
      </c>
      <c r="B282" s="22" t="inlineStr">
        <is>
          <t>The Unmasked Self</t>
        </is>
      </c>
      <c r="C282" s="22" t="inlineStr">
        <is>
          <t>Sigil</t>
        </is>
      </c>
      <c r="D282" s="22" t="inlineStr">
        <is>
          <t>Paper</t>
        </is>
      </c>
      <c r="E282" s="22" t="inlineStr">
        <is>
          <t>Paper</t>
        </is>
      </c>
    </row>
    <row r="283" ht="15" customHeight="1" s="18">
      <c r="A283" s="22" t="n">
        <v>49</v>
      </c>
      <c r="B283" s="22" t="inlineStr">
        <is>
          <t>The Unmasked Self</t>
        </is>
      </c>
      <c r="C283" s="22" t="inlineStr">
        <is>
          <t>Sigil</t>
        </is>
      </c>
      <c r="D283" s="22" t="inlineStr">
        <is>
          <t>Ink</t>
        </is>
      </c>
      <c r="E283" s="22" t="inlineStr">
        <is>
          <t>ink</t>
        </is>
      </c>
    </row>
    <row r="284" ht="15" customHeight="1" s="18">
      <c r="A284" s="22" t="n">
        <v>49</v>
      </c>
      <c r="B284" s="22" t="inlineStr">
        <is>
          <t>The Unmasked Self</t>
        </is>
      </c>
      <c r="C284" s="22" t="inlineStr">
        <is>
          <t>Sigil</t>
        </is>
      </c>
      <c r="D284" s="22" t="inlineStr">
        <is>
          <t>Rhodonite</t>
        </is>
      </c>
      <c r="E284" s="22" t="inlineStr">
        <is>
          <t>rhodonite</t>
        </is>
      </c>
    </row>
    <row r="285" ht="15" customHeight="1" s="18">
      <c r="A285" s="22" t="n">
        <v>49</v>
      </c>
      <c r="B285" s="22" t="inlineStr">
        <is>
          <t>The Unmasked Self</t>
        </is>
      </c>
      <c r="C285" s="22" t="inlineStr">
        <is>
          <t>Sigil</t>
        </is>
      </c>
      <c r="D285" s="22" t="inlineStr">
        <is>
          <t>Licorice root</t>
        </is>
      </c>
      <c r="E285" s="22" t="inlineStr">
        <is>
          <t>licorice root</t>
        </is>
      </c>
    </row>
    <row r="286" ht="15" customHeight="1" s="18">
      <c r="A286" s="22" t="n">
        <v>50</v>
      </c>
      <c r="B286" s="22" t="inlineStr">
        <is>
          <t>The Scarlet Entrance</t>
        </is>
      </c>
      <c r="C286" s="22" t="inlineStr">
        <is>
          <t>Oil</t>
        </is>
      </c>
      <c r="D286" s="22" t="inlineStr">
        <is>
          <t>Jojoba oil</t>
        </is>
      </c>
      <c r="E286" s="22" t="inlineStr">
        <is>
          <t>Jojoba oil</t>
        </is>
      </c>
    </row>
    <row r="287" ht="15" customHeight="1" s="18">
      <c r="A287" s="22" t="n">
        <v>50</v>
      </c>
      <c r="B287" s="22" t="inlineStr">
        <is>
          <t>The Scarlet Entrance</t>
        </is>
      </c>
      <c r="C287" s="22" t="inlineStr">
        <is>
          <t>Oil</t>
        </is>
      </c>
      <c r="D287" s="22" t="inlineStr">
        <is>
          <t>Licorice root</t>
        </is>
      </c>
      <c r="E287" s="22" t="inlineStr">
        <is>
          <t>licorice root</t>
        </is>
      </c>
    </row>
    <row r="288" ht="15" customHeight="1" s="18">
      <c r="A288" s="22" t="n">
        <v>50</v>
      </c>
      <c r="B288" s="22" t="inlineStr">
        <is>
          <t>The Scarlet Entrance</t>
        </is>
      </c>
      <c r="C288" s="22" t="inlineStr">
        <is>
          <t>Oil</t>
        </is>
      </c>
      <c r="D288" s="22" t="inlineStr">
        <is>
          <t>Black pepper</t>
        </is>
      </c>
      <c r="E288" s="22" t="inlineStr">
        <is>
          <t>black pepper</t>
        </is>
      </c>
    </row>
    <row r="289" ht="15" customHeight="1" s="18">
      <c r="A289" s="22" t="n">
        <v>50</v>
      </c>
      <c r="B289" s="22" t="inlineStr">
        <is>
          <t>The Scarlet Entrance</t>
        </is>
      </c>
      <c r="C289" s="22" t="inlineStr">
        <is>
          <t>Oil</t>
        </is>
      </c>
      <c r="D289" s="22" t="inlineStr">
        <is>
          <t>Cinnamon</t>
        </is>
      </c>
      <c r="E289" s="22" t="inlineStr">
        <is>
          <t>cinnamon</t>
        </is>
      </c>
    </row>
    <row r="290" ht="15" customHeight="1" s="18">
      <c r="A290" s="22" t="n">
        <v>50</v>
      </c>
      <c r="B290" s="22" t="inlineStr">
        <is>
          <t>The Scarlet Entrance</t>
        </is>
      </c>
      <c r="C290" s="22" t="inlineStr">
        <is>
          <t>Oil</t>
        </is>
      </c>
      <c r="D290" s="22" t="inlineStr">
        <is>
          <t>Garnet</t>
        </is>
      </c>
      <c r="E290" s="22" t="inlineStr">
        <is>
          <t>garnet</t>
        </is>
      </c>
    </row>
    <row r="291" ht="15" customHeight="1" s="18">
      <c r="A291" s="22" t="n">
        <v>51</v>
      </c>
      <c r="B291" s="22" t="inlineStr">
        <is>
          <t>One of a Kind</t>
        </is>
      </c>
      <c r="C291" s="22" t="inlineStr">
        <is>
          <t>Rune</t>
        </is>
      </c>
      <c r="D291" s="22" t="inlineStr">
        <is>
          <t>Clay</t>
        </is>
      </c>
      <c r="E291" s="22" t="inlineStr">
        <is>
          <t>Clay</t>
        </is>
      </c>
    </row>
    <row r="292" ht="15" customHeight="1" s="18">
      <c r="A292" s="22" t="n">
        <v>51</v>
      </c>
      <c r="B292" s="22" t="inlineStr">
        <is>
          <t>One of a Kind</t>
        </is>
      </c>
      <c r="C292" s="22" t="inlineStr">
        <is>
          <t>Rune</t>
        </is>
      </c>
      <c r="D292" s="22" t="inlineStr">
        <is>
          <t>Labradorite</t>
        </is>
      </c>
      <c r="E292" s="22" t="inlineStr">
        <is>
          <t>labradorite</t>
        </is>
      </c>
    </row>
    <row r="293" ht="15" customHeight="1" s="18">
      <c r="A293" s="22" t="n">
        <v>51</v>
      </c>
      <c r="B293" s="22" t="inlineStr">
        <is>
          <t>One of a Kind</t>
        </is>
      </c>
      <c r="C293" s="22" t="inlineStr">
        <is>
          <t>Rune</t>
        </is>
      </c>
      <c r="D293" s="22" t="inlineStr">
        <is>
          <t>Violet</t>
        </is>
      </c>
      <c r="E293" s="22" t="inlineStr">
        <is>
          <t>violet</t>
        </is>
      </c>
    </row>
    <row r="294" ht="15" customHeight="1" s="18">
      <c r="A294" s="22" t="n">
        <v>51</v>
      </c>
      <c r="B294" s="22" t="inlineStr">
        <is>
          <t>One of a Kind</t>
        </is>
      </c>
      <c r="C294" s="22" t="inlineStr">
        <is>
          <t>Rune</t>
        </is>
      </c>
      <c r="D294" s="22" t="inlineStr">
        <is>
          <t>White feather</t>
        </is>
      </c>
      <c r="E294" s="22" t="inlineStr">
        <is>
          <t>white feather</t>
        </is>
      </c>
    </row>
    <row r="295" ht="15" customHeight="1" s="18">
      <c r="A295" s="22" t="n">
        <v>51</v>
      </c>
      <c r="B295" s="22" t="inlineStr">
        <is>
          <t>One of a Kind</t>
        </is>
      </c>
      <c r="C295" s="22" t="inlineStr">
        <is>
          <t>Rune</t>
        </is>
      </c>
      <c r="D295" s="22" t="inlineStr">
        <is>
          <t>Mismatched button</t>
        </is>
      </c>
      <c r="E295" s="22" t="inlineStr">
        <is>
          <t>one mismatched button</t>
        </is>
      </c>
    </row>
    <row r="296" ht="15" customHeight="1" s="18">
      <c r="A296" s="22" t="n">
        <v>52</v>
      </c>
      <c r="B296" s="22" t="inlineStr">
        <is>
          <t>Swanlight</t>
        </is>
      </c>
      <c r="C296" s="22" t="inlineStr">
        <is>
          <t>Soap</t>
        </is>
      </c>
      <c r="D296" s="22" t="inlineStr">
        <is>
          <t>Snow Water</t>
        </is>
      </c>
      <c r="E296" s="22" t="inlineStr">
        <is>
          <t>Snow Water</t>
        </is>
      </c>
    </row>
    <row r="297" ht="15" customHeight="1" s="18">
      <c r="A297" s="22" t="n">
        <v>52</v>
      </c>
      <c r="B297" s="22" t="inlineStr">
        <is>
          <t>Swanlight</t>
        </is>
      </c>
      <c r="C297" s="22" t="inlineStr">
        <is>
          <t>Soap</t>
        </is>
      </c>
      <c r="D297" s="22" t="inlineStr">
        <is>
          <t>Soap base</t>
        </is>
      </c>
      <c r="E297" s="22" t="inlineStr">
        <is>
          <t>soap base</t>
        </is>
      </c>
    </row>
    <row r="298" ht="15" customHeight="1" s="18">
      <c r="A298" s="22" t="n">
        <v>52</v>
      </c>
      <c r="B298" s="22" t="inlineStr">
        <is>
          <t>Swanlight</t>
        </is>
      </c>
      <c r="C298" s="22" t="inlineStr">
        <is>
          <t>Soap</t>
        </is>
      </c>
      <c r="D298" s="22" t="inlineStr">
        <is>
          <t>Baking soda</t>
        </is>
      </c>
      <c r="E298" s="22" t="inlineStr">
        <is>
          <t>baking soda</t>
        </is>
      </c>
    </row>
    <row r="299" ht="15" customHeight="1" s="18">
      <c r="A299" s="22" t="n">
        <v>52</v>
      </c>
      <c r="B299" s="22" t="inlineStr">
        <is>
          <t>Swanlight</t>
        </is>
      </c>
      <c r="C299" s="22" t="inlineStr">
        <is>
          <t>Soap</t>
        </is>
      </c>
      <c r="D299" s="22" t="inlineStr">
        <is>
          <t>White lily</t>
        </is>
      </c>
      <c r="E299" s="22" t="inlineStr">
        <is>
          <t>white lily</t>
        </is>
      </c>
    </row>
    <row r="300" ht="15" customHeight="1" s="18">
      <c r="A300" s="22" t="n">
        <v>52</v>
      </c>
      <c r="B300" s="22" t="inlineStr">
        <is>
          <t>Swanlight</t>
        </is>
      </c>
      <c r="C300" s="22" t="inlineStr">
        <is>
          <t>Soap</t>
        </is>
      </c>
      <c r="D300" s="22" t="inlineStr">
        <is>
          <t>Rosewater</t>
        </is>
      </c>
      <c r="E300" s="22" t="inlineStr">
        <is>
          <t>Rosewater</t>
        </is>
      </c>
    </row>
    <row r="301" ht="15" customHeight="1" s="18">
      <c r="A301" s="22" t="n">
        <v>52</v>
      </c>
      <c r="B301" s="22" t="inlineStr">
        <is>
          <t>Swanlight</t>
        </is>
      </c>
      <c r="C301" s="22" t="inlineStr">
        <is>
          <t>Soap</t>
        </is>
      </c>
      <c r="D301" s="22" t="inlineStr">
        <is>
          <t>Pearl</t>
        </is>
      </c>
      <c r="E301" s="22" t="inlineStr">
        <is>
          <t>pearl</t>
        </is>
      </c>
    </row>
    <row r="302" ht="15" customHeight="1" s="18">
      <c r="A302" s="22" t="n">
        <v>52</v>
      </c>
      <c r="B302" s="22" t="inlineStr">
        <is>
          <t>Swanlight</t>
        </is>
      </c>
      <c r="C302" s="22" t="inlineStr">
        <is>
          <t>Soap</t>
        </is>
      </c>
      <c r="D302" s="22" t="inlineStr">
        <is>
          <t>Selenite</t>
        </is>
      </c>
      <c r="E302" s="22" t="inlineStr">
        <is>
          <t>selenite</t>
        </is>
      </c>
    </row>
    <row r="303" ht="15" customHeight="1" s="18">
      <c r="A303" s="22" t="n">
        <v>53</v>
      </c>
      <c r="B303" s="22" t="inlineStr">
        <is>
          <t>The Enchanted Wardrobe</t>
        </is>
      </c>
      <c r="C303" s="22" t="inlineStr">
        <is>
          <t>Charm</t>
        </is>
      </c>
      <c r="D303" s="22" t="inlineStr">
        <is>
          <t>Lilac</t>
        </is>
      </c>
      <c r="E303" s="22" t="inlineStr">
        <is>
          <t>Lilac</t>
        </is>
      </c>
    </row>
    <row r="304" ht="15" customHeight="1" s="18">
      <c r="A304" s="22" t="n">
        <v>53</v>
      </c>
      <c r="B304" s="22" t="inlineStr">
        <is>
          <t>The Enchanted Wardrobe</t>
        </is>
      </c>
      <c r="C304" s="22" t="inlineStr">
        <is>
          <t>Charm</t>
        </is>
      </c>
      <c r="D304" s="22" t="inlineStr">
        <is>
          <t>White lily</t>
        </is>
      </c>
      <c r="E304" s="22" t="inlineStr">
        <is>
          <t>white lily</t>
        </is>
      </c>
    </row>
    <row r="305" ht="15" customHeight="1" s="18">
      <c r="A305" s="22" t="n">
        <v>53</v>
      </c>
      <c r="B305" s="22" t="inlineStr">
        <is>
          <t>The Enchanted Wardrobe</t>
        </is>
      </c>
      <c r="C305" s="22" t="inlineStr">
        <is>
          <t>Charm</t>
        </is>
      </c>
      <c r="D305" s="22" t="inlineStr">
        <is>
          <t>Vintage button</t>
        </is>
      </c>
      <c r="E305" s="22" t="inlineStr">
        <is>
          <t>a vintage button</t>
        </is>
      </c>
    </row>
    <row r="306" ht="15" customHeight="1" s="18">
      <c r="A306" s="22" t="n">
        <v>53</v>
      </c>
      <c r="B306" s="22" t="inlineStr">
        <is>
          <t>The Enchanted Wardrobe</t>
        </is>
      </c>
      <c r="C306" s="22" t="inlineStr">
        <is>
          <t>Charm</t>
        </is>
      </c>
      <c r="D306" s="22" t="inlineStr">
        <is>
          <t>Fluorite</t>
        </is>
      </c>
      <c r="E306" s="22" t="inlineStr">
        <is>
          <t>fluorite</t>
        </is>
      </c>
    </row>
    <row r="307" ht="15" customHeight="1" s="18">
      <c r="A307" s="22" t="n">
        <v>53</v>
      </c>
      <c r="B307" s="22" t="inlineStr">
        <is>
          <t>The Enchanted Wardrobe</t>
        </is>
      </c>
      <c r="C307" s="22" t="inlineStr">
        <is>
          <t>Charm</t>
        </is>
      </c>
      <c r="D307" s="22" t="inlineStr">
        <is>
          <t>Spool of thread</t>
        </is>
      </c>
      <c r="E307" s="22" t="inlineStr">
        <is>
          <t>a spool of thread</t>
        </is>
      </c>
    </row>
    <row r="308" ht="15" customHeight="1" s="18">
      <c r="A308" s="22" t="n">
        <v>54</v>
      </c>
      <c r="B308" s="22" t="inlineStr">
        <is>
          <t>The Only Moon</t>
        </is>
      </c>
      <c r="C308" s="22" t="inlineStr">
        <is>
          <t>Witch's Ladder</t>
        </is>
      </c>
      <c r="D308" s="22" t="inlineStr">
        <is>
          <t>Silver thread</t>
        </is>
      </c>
      <c r="E308" s="22" t="inlineStr">
        <is>
          <t>Silver, white and blue thread</t>
        </is>
      </c>
    </row>
    <row r="309" ht="15" customHeight="1" s="18">
      <c r="A309" s="22" t="n">
        <v>54</v>
      </c>
      <c r="B309" s="22" t="inlineStr">
        <is>
          <t>The Only Moon</t>
        </is>
      </c>
      <c r="C309" s="22" t="inlineStr">
        <is>
          <t>Witch's Ladder</t>
        </is>
      </c>
      <c r="D309" s="22" t="inlineStr">
        <is>
          <t>White thread</t>
        </is>
      </c>
      <c r="E309" s="22" t="inlineStr">
        <is>
          <t>Silver, white and blue thread</t>
        </is>
      </c>
    </row>
    <row r="310" ht="15" customHeight="1" s="18">
      <c r="A310" s="22" t="n">
        <v>54</v>
      </c>
      <c r="B310" s="22" t="inlineStr">
        <is>
          <t>The Only Moon</t>
        </is>
      </c>
      <c r="C310" s="22" t="inlineStr">
        <is>
          <t>Witch's Ladder</t>
        </is>
      </c>
      <c r="D310" s="22" t="inlineStr">
        <is>
          <t>Blue thread</t>
        </is>
      </c>
      <c r="E310" s="22" t="inlineStr">
        <is>
          <t>Silver, white and blue thread</t>
        </is>
      </c>
    </row>
    <row r="311" ht="15" customHeight="1" s="18">
      <c r="A311" s="22" t="n">
        <v>54</v>
      </c>
      <c r="B311" s="22" t="inlineStr">
        <is>
          <t>The Only Moon</t>
        </is>
      </c>
      <c r="C311" s="22" t="inlineStr">
        <is>
          <t>Witch's Ladder</t>
        </is>
      </c>
      <c r="D311" s="22" t="inlineStr">
        <is>
          <t>Moonstone</t>
        </is>
      </c>
      <c r="E311" s="22" t="inlineStr">
        <is>
          <t>moonstone bead</t>
        </is>
      </c>
    </row>
    <row r="312" ht="15" customHeight="1" s="18">
      <c r="A312" s="22" t="n">
        <v>54</v>
      </c>
      <c r="B312" s="22" t="inlineStr">
        <is>
          <t>The Only Moon</t>
        </is>
      </c>
      <c r="C312" s="22" t="inlineStr">
        <is>
          <t>Witch's Ladder</t>
        </is>
      </c>
      <c r="D312" s="22" t="inlineStr">
        <is>
          <t>Shed snake skin</t>
        </is>
      </c>
      <c r="E312" s="22" t="inlineStr">
        <is>
          <t>shed snake skin</t>
        </is>
      </c>
    </row>
    <row r="313" ht="15" customHeight="1" s="18">
      <c r="A313" s="22" t="n">
        <v>54</v>
      </c>
      <c r="B313" s="22" t="inlineStr">
        <is>
          <t>The Only Moon</t>
        </is>
      </c>
      <c r="C313" s="22" t="inlineStr">
        <is>
          <t>Witch's Ladder</t>
        </is>
      </c>
      <c r="D313" s="22" t="inlineStr">
        <is>
          <t>White feather</t>
        </is>
      </c>
      <c r="E313" s="22" t="inlineStr">
        <is>
          <t>white feather</t>
        </is>
      </c>
    </row>
    <row r="314" ht="15" customHeight="1" s="18">
      <c r="A314" s="22" t="n">
        <v>55</v>
      </c>
      <c r="B314" s="22" t="inlineStr">
        <is>
          <t>Celestial Spotlight</t>
        </is>
      </c>
      <c r="C314" s="22" t="inlineStr">
        <is>
          <t>Powder</t>
        </is>
      </c>
      <c r="D314" s="22" t="inlineStr">
        <is>
          <t>Gold mica</t>
        </is>
      </c>
      <c r="E314" s="22" t="inlineStr">
        <is>
          <t>Gold mica</t>
        </is>
      </c>
    </row>
    <row r="315" ht="15" customHeight="1" s="18">
      <c r="A315" s="22" t="n">
        <v>55</v>
      </c>
      <c r="B315" s="22" t="inlineStr">
        <is>
          <t>Celestial Spotlight</t>
        </is>
      </c>
      <c r="C315" s="22" t="inlineStr">
        <is>
          <t>Powder</t>
        </is>
      </c>
      <c r="D315" s="22" t="inlineStr">
        <is>
          <t>Saffron</t>
        </is>
      </c>
      <c r="E315" s="22" t="inlineStr">
        <is>
          <t>saffron</t>
        </is>
      </c>
    </row>
    <row r="316" ht="15" customHeight="1" s="18">
      <c r="A316" s="22" t="n">
        <v>55</v>
      </c>
      <c r="B316" s="22" t="inlineStr">
        <is>
          <t>Celestial Spotlight</t>
        </is>
      </c>
      <c r="C316" s="22" t="inlineStr">
        <is>
          <t>Powder</t>
        </is>
      </c>
      <c r="D316" s="22" t="inlineStr">
        <is>
          <t>Orange blossom</t>
        </is>
      </c>
      <c r="E316" s="22" t="inlineStr">
        <is>
          <t>orange blossom</t>
        </is>
      </c>
    </row>
    <row r="317" ht="15" customHeight="1" s="18">
      <c r="A317" s="22" t="n">
        <v>55</v>
      </c>
      <c r="B317" s="22" t="inlineStr">
        <is>
          <t>Celestial Spotlight</t>
        </is>
      </c>
      <c r="C317" s="22" t="inlineStr">
        <is>
          <t>Powder</t>
        </is>
      </c>
      <c r="D317" s="22" t="inlineStr">
        <is>
          <t>Sunstone</t>
        </is>
      </c>
      <c r="E317" s="22" t="inlineStr">
        <is>
          <t>sunstone</t>
        </is>
      </c>
    </row>
    <row r="318" ht="15" customHeight="1" s="18">
      <c r="A318" s="22" t="n">
        <v>56</v>
      </c>
      <c r="B318" s="22" t="inlineStr">
        <is>
          <t>The Spotlight Bloom</t>
        </is>
      </c>
      <c r="C318" s="22" t="inlineStr">
        <is>
          <t>Potion</t>
        </is>
      </c>
      <c r="D318" s="22" t="inlineStr">
        <is>
          <t>Sunwater</t>
        </is>
      </c>
      <c r="E318" s="22" t="inlineStr">
        <is>
          <t>Sunwater</t>
        </is>
      </c>
    </row>
    <row r="319" ht="15" customHeight="1" s="18">
      <c r="A319" s="22" t="n">
        <v>56</v>
      </c>
      <c r="B319" s="22" t="inlineStr">
        <is>
          <t>The Spotlight Bloom</t>
        </is>
      </c>
      <c r="C319" s="22" t="inlineStr">
        <is>
          <t>Potion</t>
        </is>
      </c>
      <c r="D319" s="22" t="inlineStr">
        <is>
          <t>Sunflower petals</t>
        </is>
      </c>
      <c r="E319" s="22" t="inlineStr">
        <is>
          <t>sunflower petals</t>
        </is>
      </c>
    </row>
    <row r="320" ht="15" customHeight="1" s="18">
      <c r="A320" s="22" t="n">
        <v>56</v>
      </c>
      <c r="B320" s="22" t="inlineStr">
        <is>
          <t>The Spotlight Bloom</t>
        </is>
      </c>
      <c r="C320" s="22" t="inlineStr">
        <is>
          <t>Potion</t>
        </is>
      </c>
      <c r="D320" s="22" t="inlineStr">
        <is>
          <t>Calendula</t>
        </is>
      </c>
      <c r="E320" s="22" t="inlineStr">
        <is>
          <t>calendula</t>
        </is>
      </c>
    </row>
    <row r="321" ht="15" customHeight="1" s="18">
      <c r="A321" s="22" t="n">
        <v>56</v>
      </c>
      <c r="B321" s="22" t="inlineStr">
        <is>
          <t>The Spotlight Bloom</t>
        </is>
      </c>
      <c r="C321" s="22" t="inlineStr">
        <is>
          <t>Potion</t>
        </is>
      </c>
      <c r="D321" s="22" t="inlineStr">
        <is>
          <t>Garden soil</t>
        </is>
      </c>
      <c r="E321" s="22" t="inlineStr">
        <is>
          <t>garden soil</t>
        </is>
      </c>
    </row>
    <row r="322" ht="15" customHeight="1" s="18">
      <c r="A322" s="22" t="n">
        <v>56</v>
      </c>
      <c r="B322" s="22" t="inlineStr">
        <is>
          <t>The Spotlight Bloom</t>
        </is>
      </c>
      <c r="C322" s="22" t="inlineStr">
        <is>
          <t>Potion</t>
        </is>
      </c>
      <c r="D322" s="22" t="inlineStr">
        <is>
          <t>Carnelian</t>
        </is>
      </c>
      <c r="E322" s="22" t="inlineStr">
        <is>
          <t>carnelian</t>
        </is>
      </c>
    </row>
    <row r="323" ht="15" customHeight="1" s="18">
      <c r="A323" s="22" t="n">
        <v>57</v>
      </c>
      <c r="B323" s="22" t="inlineStr">
        <is>
          <t>The Living Portrait</t>
        </is>
      </c>
      <c r="C323" s="22" t="inlineStr">
        <is>
          <t>Talisman</t>
        </is>
      </c>
      <c r="D323" s="22" t="inlineStr">
        <is>
          <t>Paintbrush bristle</t>
        </is>
      </c>
      <c r="E323" s="22" t="inlineStr">
        <is>
          <t>Paintbrush bristle</t>
        </is>
      </c>
    </row>
    <row r="324" ht="15" customHeight="1" s="18">
      <c r="A324" s="22" t="n">
        <v>57</v>
      </c>
      <c r="B324" s="22" t="inlineStr">
        <is>
          <t>The Living Portrait</t>
        </is>
      </c>
      <c r="C324" s="22" t="inlineStr">
        <is>
          <t>Talisman</t>
        </is>
      </c>
      <c r="D324" s="22" t="inlineStr">
        <is>
          <t>Violet</t>
        </is>
      </c>
      <c r="E324" s="22" t="inlineStr">
        <is>
          <t>violet</t>
        </is>
      </c>
    </row>
    <row r="325" ht="15" customHeight="1" s="18">
      <c r="A325" s="22" t="n">
        <v>57</v>
      </c>
      <c r="B325" s="22" t="inlineStr">
        <is>
          <t>The Living Portrait</t>
        </is>
      </c>
      <c r="C325" s="22" t="inlineStr">
        <is>
          <t>Talisman</t>
        </is>
      </c>
      <c r="D325" s="22" t="inlineStr">
        <is>
          <t>Rose</t>
        </is>
      </c>
      <c r="E325" s="22" t="inlineStr">
        <is>
          <t>rose</t>
        </is>
      </c>
    </row>
    <row r="326" ht="15" customHeight="1" s="18">
      <c r="A326" s="22" t="n">
        <v>57</v>
      </c>
      <c r="B326" s="22" t="inlineStr">
        <is>
          <t>The Living Portrait</t>
        </is>
      </c>
      <c r="C326" s="22" t="inlineStr">
        <is>
          <t>Talisman</t>
        </is>
      </c>
      <c r="D326" s="22" t="inlineStr">
        <is>
          <t>Fluorite</t>
        </is>
      </c>
      <c r="E326" s="22" t="inlineStr">
        <is>
          <t>fluorite</t>
        </is>
      </c>
    </row>
    <row r="327" ht="15" customHeight="1" s="18">
      <c r="A327" s="22" t="n">
        <v>57</v>
      </c>
      <c r="B327" s="22" t="inlineStr">
        <is>
          <t>The Living Portrait</t>
        </is>
      </c>
      <c r="C327" s="22" t="inlineStr">
        <is>
          <t>Talisman</t>
        </is>
      </c>
      <c r="D327" s="22" t="inlineStr">
        <is>
          <t>Peacock feather</t>
        </is>
      </c>
      <c r="E327" s="22" t="inlineStr">
        <is>
          <t>peacock feather</t>
        </is>
      </c>
    </row>
    <row r="328" ht="15" customHeight="1" s="18">
      <c r="A328" s="22" t="n">
        <v>58</v>
      </c>
      <c r="B328" s="22" t="inlineStr">
        <is>
          <t>The Velvet Tongue</t>
        </is>
      </c>
      <c r="C328" s="22" t="inlineStr">
        <is>
          <t>Tea</t>
        </is>
      </c>
      <c r="D328" s="22" t="inlineStr">
        <is>
          <t>Peppermint</t>
        </is>
      </c>
      <c r="E328" s="22" t="inlineStr">
        <is>
          <t>Peppermint</t>
        </is>
      </c>
    </row>
    <row r="329" ht="15" customHeight="1" s="18">
      <c r="A329" s="22" t="n">
        <v>58</v>
      </c>
      <c r="B329" s="22" t="inlineStr">
        <is>
          <t>The Velvet Tongue</t>
        </is>
      </c>
      <c r="C329" s="22" t="inlineStr">
        <is>
          <t>Tea</t>
        </is>
      </c>
      <c r="D329" s="22" t="inlineStr">
        <is>
          <t>Licorice root</t>
        </is>
      </c>
      <c r="E329" s="22" t="inlineStr">
        <is>
          <t>licorice root</t>
        </is>
      </c>
    </row>
    <row r="330" ht="15" customHeight="1" s="18">
      <c r="A330" s="22" t="n">
        <v>58</v>
      </c>
      <c r="B330" s="22" t="inlineStr">
        <is>
          <t>The Velvet Tongue</t>
        </is>
      </c>
      <c r="C330" s="22" t="inlineStr">
        <is>
          <t>Tea</t>
        </is>
      </c>
      <c r="D330" s="22" t="inlineStr">
        <is>
          <t>Lemon balm</t>
        </is>
      </c>
      <c r="E330" s="22" t="inlineStr">
        <is>
          <t>lemon balm</t>
        </is>
      </c>
    </row>
    <row r="331" ht="15" customHeight="1" s="18">
      <c r="A331" s="22" t="n">
        <v>58</v>
      </c>
      <c r="B331" s="22" t="inlineStr">
        <is>
          <t>The Velvet Tongue</t>
        </is>
      </c>
      <c r="C331" s="22" t="inlineStr">
        <is>
          <t>Tea</t>
        </is>
      </c>
      <c r="D331" s="22" t="inlineStr">
        <is>
          <t>Honey</t>
        </is>
      </c>
      <c r="E331" s="22" t="inlineStr">
        <is>
          <t>honey</t>
        </is>
      </c>
    </row>
    <row r="332" ht="15" customHeight="1" s="18">
      <c r="A332" s="22" t="n">
        <v>59</v>
      </c>
      <c r="B332" s="22" t="inlineStr">
        <is>
          <t>Midnight Satin</t>
        </is>
      </c>
      <c r="C332" s="22" t="inlineStr">
        <is>
          <t>Sachet</t>
        </is>
      </c>
      <c r="D332" s="22" t="inlineStr">
        <is>
          <t>Satin pouch (black)</t>
        </is>
      </c>
      <c r="E332" s="22" t="inlineStr">
        <is>
          <t>Black satin pouch</t>
        </is>
      </c>
    </row>
    <row r="333" ht="15" customHeight="1" s="18">
      <c r="A333" s="22" t="n">
        <v>59</v>
      </c>
      <c r="B333" s="22" t="inlineStr">
        <is>
          <t>Midnight Satin</t>
        </is>
      </c>
      <c r="C333" s="22" t="inlineStr">
        <is>
          <t>Sachet</t>
        </is>
      </c>
      <c r="D333" s="22" t="inlineStr">
        <is>
          <t>Jasmine</t>
        </is>
      </c>
      <c r="E333" s="22" t="inlineStr">
        <is>
          <t>jasmine</t>
        </is>
      </c>
    </row>
    <row r="334" ht="15" customHeight="1" s="18">
      <c r="A334" s="22" t="n">
        <v>59</v>
      </c>
      <c r="B334" s="22" t="inlineStr">
        <is>
          <t>Midnight Satin</t>
        </is>
      </c>
      <c r="C334" s="22" t="inlineStr">
        <is>
          <t>Sachet</t>
        </is>
      </c>
      <c r="D334" s="22" t="inlineStr">
        <is>
          <t>Patchouli</t>
        </is>
      </c>
      <c r="E334" s="22" t="inlineStr">
        <is>
          <t>patchouli</t>
        </is>
      </c>
    </row>
    <row r="335" ht="15" customHeight="1" s="18">
      <c r="A335" s="22" t="n">
        <v>59</v>
      </c>
      <c r="B335" s="22" t="inlineStr">
        <is>
          <t>Midnight Satin</t>
        </is>
      </c>
      <c r="C335" s="22" t="inlineStr">
        <is>
          <t>Sachet</t>
        </is>
      </c>
      <c r="D335" s="22" t="inlineStr">
        <is>
          <t>Star anise</t>
        </is>
      </c>
      <c r="E335" s="22" t="inlineStr">
        <is>
          <t>star anise</t>
        </is>
      </c>
    </row>
    <row r="336" ht="15" customHeight="1" s="18">
      <c r="A336" s="22" t="n">
        <v>59</v>
      </c>
      <c r="B336" s="22" t="inlineStr">
        <is>
          <t>Midnight Satin</t>
        </is>
      </c>
      <c r="C336" s="22" t="inlineStr">
        <is>
          <t>Sachet</t>
        </is>
      </c>
      <c r="D336" s="22" t="inlineStr">
        <is>
          <t>Amethyst</t>
        </is>
      </c>
      <c r="E336" s="22" t="inlineStr">
        <is>
          <t>amethyst</t>
        </is>
      </c>
    </row>
    <row r="337" ht="15" customHeight="1" s="18">
      <c r="A337" s="22" t="n">
        <v>59</v>
      </c>
      <c r="B337" s="22" t="inlineStr">
        <is>
          <t>Midnight Satin</t>
        </is>
      </c>
      <c r="C337" s="22" t="inlineStr">
        <is>
          <t>Sachet</t>
        </is>
      </c>
      <c r="D337" s="22" t="inlineStr">
        <is>
          <t>Raven feather</t>
        </is>
      </c>
      <c r="E337" s="22" t="inlineStr">
        <is>
          <t>raven feather</t>
        </is>
      </c>
    </row>
    <row r="338" ht="15" customHeight="1" s="18">
      <c r="A338" s="22" t="n">
        <v>59</v>
      </c>
      <c r="B338" s="22" t="inlineStr">
        <is>
          <t>Midnight Satin</t>
        </is>
      </c>
      <c r="C338" s="22" t="inlineStr">
        <is>
          <t>Sachet</t>
        </is>
      </c>
      <c r="D338" s="22" t="inlineStr">
        <is>
          <t>Satin ribbon</t>
        </is>
      </c>
      <c r="E338" s="22" t="inlineStr">
        <is>
          <t>satin ribbon</t>
        </is>
      </c>
    </row>
    <row r="339" ht="15" customHeight="1" s="18">
      <c r="A339" s="22" t="n">
        <v>60</v>
      </c>
      <c r="B339" s="22" t="inlineStr">
        <is>
          <t>A Body Made of Stars</t>
        </is>
      </c>
      <c r="C339" s="22" t="inlineStr">
        <is>
          <t>Bath Salt</t>
        </is>
      </c>
      <c r="D339" s="22" t="inlineStr">
        <is>
          <t>Coconut milk powder</t>
        </is>
      </c>
      <c r="E339" s="22" t="inlineStr">
        <is>
          <t>Coconut milk powder</t>
        </is>
      </c>
    </row>
    <row r="340" ht="15" customHeight="1" s="18">
      <c r="A340" s="22" t="n">
        <v>60</v>
      </c>
      <c r="B340" s="22" t="inlineStr">
        <is>
          <t>A Body Made of Stars</t>
        </is>
      </c>
      <c r="C340" s="22" t="inlineStr">
        <is>
          <t>Bath Salt</t>
        </is>
      </c>
      <c r="D340" s="22" t="inlineStr">
        <is>
          <t>Epsom salt</t>
        </is>
      </c>
      <c r="E340" s="22" t="inlineStr">
        <is>
          <t>Epsom salt</t>
        </is>
      </c>
    </row>
    <row r="341" ht="15" customHeight="1" s="18">
      <c r="A341" s="22" t="n">
        <v>60</v>
      </c>
      <c r="B341" s="22" t="inlineStr">
        <is>
          <t>A Body Made of Stars</t>
        </is>
      </c>
      <c r="C341" s="22" t="inlineStr">
        <is>
          <t>Bath Salt</t>
        </is>
      </c>
      <c r="D341" s="22" t="inlineStr">
        <is>
          <t>Silver mica</t>
        </is>
      </c>
      <c r="E341" s="22" t="inlineStr">
        <is>
          <t>silver mica</t>
        </is>
      </c>
    </row>
    <row r="342" ht="15" customHeight="1" s="18">
      <c r="A342" s="22" t="n">
        <v>60</v>
      </c>
      <c r="B342" s="22" t="inlineStr">
        <is>
          <t>A Body Made of Stars</t>
        </is>
      </c>
      <c r="C342" s="22" t="inlineStr">
        <is>
          <t>Bath Salt</t>
        </is>
      </c>
      <c r="D342" s="22" t="inlineStr">
        <is>
          <t>Dandelion</t>
        </is>
      </c>
      <c r="E342" s="22" t="inlineStr">
        <is>
          <t>dandelion</t>
        </is>
      </c>
    </row>
    <row r="343" ht="15" customHeight="1" s="18">
      <c r="A343" s="22" t="n">
        <v>60</v>
      </c>
      <c r="B343" s="22" t="inlineStr">
        <is>
          <t>A Body Made of Stars</t>
        </is>
      </c>
      <c r="C343" s="22" t="inlineStr">
        <is>
          <t>Bath Salt</t>
        </is>
      </c>
      <c r="D343" s="22" t="inlineStr">
        <is>
          <t>Elderflower</t>
        </is>
      </c>
      <c r="E343" s="22" t="inlineStr">
        <is>
          <t>elderflower</t>
        </is>
      </c>
    </row>
    <row r="344" ht="15" customHeight="1" s="18">
      <c r="A344" s="22" t="n">
        <v>60</v>
      </c>
      <c r="B344" s="22" t="inlineStr">
        <is>
          <t>A Body Made of Stars</t>
        </is>
      </c>
      <c r="C344" s="22" t="inlineStr">
        <is>
          <t>Bath Salt</t>
        </is>
      </c>
      <c r="D344" s="22" t="inlineStr">
        <is>
          <t>Moonstone</t>
        </is>
      </c>
      <c r="E344" s="22" t="inlineStr">
        <is>
          <t>moonstone</t>
        </is>
      </c>
    </row>
    <row r="345" ht="15" customHeight="1" s="18">
      <c r="A345" s="22" t="n">
        <v>61</v>
      </c>
      <c r="B345" s="22" t="inlineStr">
        <is>
          <t>The Wildflower Circle</t>
        </is>
      </c>
      <c r="C345" s="22" t="inlineStr">
        <is>
          <t>Sachet</t>
        </is>
      </c>
      <c r="D345" s="22" t="inlineStr">
        <is>
          <t>Dandelion</t>
        </is>
      </c>
      <c r="E345" s="22" t="inlineStr">
        <is>
          <t>Dandelion</t>
        </is>
      </c>
    </row>
    <row r="346" ht="15" customHeight="1" s="18">
      <c r="A346" s="22" t="n">
        <v>61</v>
      </c>
      <c r="B346" s="22" t="inlineStr">
        <is>
          <t>The Wildflower Circle</t>
        </is>
      </c>
      <c r="C346" s="22" t="inlineStr">
        <is>
          <t>Sachet</t>
        </is>
      </c>
      <c r="D346" s="22" t="inlineStr">
        <is>
          <t>Daisy</t>
        </is>
      </c>
      <c r="E346" s="22" t="inlineStr">
        <is>
          <t>daisy</t>
        </is>
      </c>
    </row>
    <row r="347" ht="15" customHeight="1" s="18">
      <c r="A347" s="22" t="n">
        <v>61</v>
      </c>
      <c r="B347" s="22" t="inlineStr">
        <is>
          <t>The Wildflower Circle</t>
        </is>
      </c>
      <c r="C347" s="22" t="inlineStr">
        <is>
          <t>Sachet</t>
        </is>
      </c>
      <c r="D347" s="22" t="inlineStr">
        <is>
          <t>Clover</t>
        </is>
      </c>
      <c r="E347" s="22" t="inlineStr">
        <is>
          <t>clover</t>
        </is>
      </c>
    </row>
    <row r="348" ht="15" customHeight="1" s="18">
      <c r="A348" s="22" t="n">
        <v>61</v>
      </c>
      <c r="B348" s="22" t="inlineStr">
        <is>
          <t>The Wildflower Circle</t>
        </is>
      </c>
      <c r="C348" s="22" t="inlineStr">
        <is>
          <t>Sachet</t>
        </is>
      </c>
      <c r="D348" s="22" t="inlineStr">
        <is>
          <t>Sweet pea</t>
        </is>
      </c>
      <c r="E348" s="22" t="inlineStr">
        <is>
          <t>sweet pea</t>
        </is>
      </c>
    </row>
    <row r="349" ht="15" customHeight="1" s="18">
      <c r="A349" s="22" t="n">
        <v>61</v>
      </c>
      <c r="B349" s="22" t="inlineStr">
        <is>
          <t>The Wildflower Circle</t>
        </is>
      </c>
      <c r="C349" s="22" t="inlineStr">
        <is>
          <t>Sachet</t>
        </is>
      </c>
      <c r="D349" s="22" t="inlineStr">
        <is>
          <t>Amazonite</t>
        </is>
      </c>
      <c r="E349" s="22" t="inlineStr">
        <is>
          <t>amazonite</t>
        </is>
      </c>
    </row>
    <row r="350" ht="15" customHeight="1" s="18">
      <c r="A350" s="22" t="n">
        <v>61</v>
      </c>
      <c r="B350" s="22" t="inlineStr">
        <is>
          <t>The Wildflower Circle</t>
        </is>
      </c>
      <c r="C350" s="22" t="inlineStr">
        <is>
          <t>Sachet</t>
        </is>
      </c>
      <c r="D350" s="22" t="inlineStr">
        <is>
          <t>Rainbow threads</t>
        </is>
      </c>
      <c r="E350" s="22" t="inlineStr">
        <is>
          <t>rainbow threads</t>
        </is>
      </c>
    </row>
    <row r="351" ht="15" customHeight="1" s="18">
      <c r="A351" s="22" t="n">
        <v>61</v>
      </c>
      <c r="B351" s="22" t="inlineStr">
        <is>
          <t>The Wildflower Circle</t>
        </is>
      </c>
      <c r="C351" s="22" t="inlineStr">
        <is>
          <t>Sachet</t>
        </is>
      </c>
      <c r="D351" s="22" t="inlineStr">
        <is>
          <t>Pink thread</t>
        </is>
      </c>
      <c r="E351" s="22" t="inlineStr">
        <is>
          <t>pink thread</t>
        </is>
      </c>
    </row>
    <row r="352" ht="15" customHeight="1" s="18">
      <c r="A352" s="22" t="n">
        <v>62</v>
      </c>
      <c r="B352" s="22" t="inlineStr">
        <is>
          <t>The Unbreakable Braid</t>
        </is>
      </c>
      <c r="C352" s="22" t="inlineStr">
        <is>
          <t>Witch's Ladder</t>
        </is>
      </c>
      <c r="D352" s="22" t="inlineStr">
        <is>
          <t>Pink thread</t>
        </is>
      </c>
      <c r="E352" s="22" t="inlineStr">
        <is>
          <t>Pink thread</t>
        </is>
      </c>
    </row>
    <row r="353" ht="15" customHeight="1" s="18">
      <c r="A353" s="22" t="n">
        <v>62</v>
      </c>
      <c r="B353" s="22" t="inlineStr">
        <is>
          <t>The Unbreakable Braid</t>
        </is>
      </c>
      <c r="C353" s="22" t="inlineStr">
        <is>
          <t>Witch's Ladder</t>
        </is>
      </c>
      <c r="D353" s="22" t="inlineStr">
        <is>
          <t>Spool of thread</t>
        </is>
      </c>
      <c r="E353" s="22" t="inlineStr">
        <is>
          <t>spool of thread</t>
        </is>
      </c>
    </row>
    <row r="354" ht="15" customHeight="1" s="18">
      <c r="A354" s="22" t="n">
        <v>62</v>
      </c>
      <c r="B354" s="22" t="inlineStr">
        <is>
          <t>The Unbreakable Braid</t>
        </is>
      </c>
      <c r="C354" s="22" t="inlineStr">
        <is>
          <t>Witch's Ladder</t>
        </is>
      </c>
      <c r="D354" s="22" t="inlineStr">
        <is>
          <t>Velvet ribbon (red)</t>
        </is>
      </c>
      <c r="E354" s="22" t="inlineStr">
        <is>
          <t>velvet ribbon (red)</t>
        </is>
      </c>
    </row>
    <row r="355" ht="15" customHeight="1" s="18">
      <c r="A355" s="22" t="n">
        <v>62</v>
      </c>
      <c r="B355" s="22" t="inlineStr">
        <is>
          <t>The Unbreakable Braid</t>
        </is>
      </c>
      <c r="C355" s="22" t="inlineStr">
        <is>
          <t>Witch's Ladder</t>
        </is>
      </c>
      <c r="D355" s="22" t="inlineStr">
        <is>
          <t>Pearl buttons</t>
        </is>
      </c>
      <c r="E355" s="22" t="inlineStr">
        <is>
          <t>two matching buttons</t>
        </is>
      </c>
    </row>
    <row r="356" ht="15" customHeight="1" s="18">
      <c r="A356" s="22" t="n">
        <v>62</v>
      </c>
      <c r="B356" s="22" t="inlineStr">
        <is>
          <t>The Unbreakable Braid</t>
        </is>
      </c>
      <c r="C356" s="22" t="inlineStr">
        <is>
          <t>Witch's Ladder</t>
        </is>
      </c>
      <c r="D356" s="22" t="inlineStr">
        <is>
          <t>Amazonite</t>
        </is>
      </c>
      <c r="E356" s="22" t="inlineStr">
        <is>
          <t>amazonite bead</t>
        </is>
      </c>
    </row>
    <row r="357" ht="15" customHeight="1" s="18">
      <c r="A357" s="22" t="n">
        <v>62</v>
      </c>
      <c r="B357" s="22" t="inlineStr">
        <is>
          <t>The Unbreakable Braid</t>
        </is>
      </c>
      <c r="C357" s="22" t="inlineStr">
        <is>
          <t>Witch's Ladder</t>
        </is>
      </c>
      <c r="D357" s="22" t="inlineStr">
        <is>
          <t>Dove feather</t>
        </is>
      </c>
      <c r="E357" s="22" t="inlineStr">
        <is>
          <t>dove feather</t>
        </is>
      </c>
    </row>
    <row r="358" ht="15" customHeight="1" s="18">
      <c r="A358" s="22" t="n">
        <v>63</v>
      </c>
      <c r="B358" s="22" t="inlineStr">
        <is>
          <t>Constellation Calling</t>
        </is>
      </c>
      <c r="C358" s="22" t="inlineStr">
        <is>
          <t>Spell Bottle</t>
        </is>
      </c>
      <c r="D358" s="22" t="inlineStr">
        <is>
          <t>Web Dew</t>
        </is>
      </c>
      <c r="E358" s="22" t="inlineStr">
        <is>
          <t>Web Dew</t>
        </is>
      </c>
    </row>
    <row r="359" ht="15" customHeight="1" s="18">
      <c r="A359" s="22" t="n">
        <v>63</v>
      </c>
      <c r="B359" s="22" t="inlineStr">
        <is>
          <t>Constellation Calling</t>
        </is>
      </c>
      <c r="C359" s="22" t="inlineStr">
        <is>
          <t>Spell Bottle</t>
        </is>
      </c>
      <c r="D359" s="22" t="inlineStr">
        <is>
          <t>Star anise</t>
        </is>
      </c>
      <c r="E359" s="22" t="inlineStr">
        <is>
          <t>star anise</t>
        </is>
      </c>
    </row>
    <row r="360" ht="15" customHeight="1" s="18">
      <c r="A360" s="22" t="n">
        <v>63</v>
      </c>
      <c r="B360" s="22" t="inlineStr">
        <is>
          <t>Constellation Calling</t>
        </is>
      </c>
      <c r="C360" s="22" t="inlineStr">
        <is>
          <t>Spell Bottle</t>
        </is>
      </c>
      <c r="D360" s="22" t="inlineStr">
        <is>
          <t>Daisy</t>
        </is>
      </c>
      <c r="E360" s="22" t="inlineStr">
        <is>
          <t>daisy</t>
        </is>
      </c>
    </row>
    <row r="361" ht="15" customHeight="1" s="18">
      <c r="A361" s="22" t="n">
        <v>63</v>
      </c>
      <c r="B361" s="22" t="inlineStr">
        <is>
          <t>Constellation Calling</t>
        </is>
      </c>
      <c r="C361" s="22" t="inlineStr">
        <is>
          <t>Spell Bottle</t>
        </is>
      </c>
      <c r="D361" s="22" t="inlineStr">
        <is>
          <t>Silver glitter</t>
        </is>
      </c>
      <c r="E361" s="22" t="inlineStr">
        <is>
          <t>silver glitter</t>
        </is>
      </c>
    </row>
    <row r="362" ht="15" customHeight="1" s="18">
      <c r="A362" s="22" t="n">
        <v>63</v>
      </c>
      <c r="B362" s="22" t="inlineStr">
        <is>
          <t>Constellation Calling</t>
        </is>
      </c>
      <c r="C362" s="22" t="inlineStr">
        <is>
          <t>Spell Bottle</t>
        </is>
      </c>
      <c r="D362" s="22" t="inlineStr">
        <is>
          <t>Amazonite</t>
        </is>
      </c>
      <c r="E362" s="22" t="inlineStr">
        <is>
          <t>amazonite</t>
        </is>
      </c>
    </row>
    <row r="363" ht="15" customHeight="1" s="18">
      <c r="A363" s="22" t="n">
        <v>63</v>
      </c>
      <c r="B363" s="22" t="inlineStr">
        <is>
          <t>Constellation Calling</t>
        </is>
      </c>
      <c r="C363" s="22" t="inlineStr">
        <is>
          <t>Spell Bottle</t>
        </is>
      </c>
      <c r="D363" s="22" t="inlineStr">
        <is>
          <t>Paper</t>
        </is>
      </c>
      <c r="E363" s="22" t="inlineStr">
        <is>
          <t>tiny paper stars</t>
        </is>
      </c>
    </row>
    <row r="364" ht="15" customHeight="1" s="18">
      <c r="A364" s="22" t="n">
        <v>64</v>
      </c>
      <c r="B364" s="22" t="inlineStr">
        <is>
          <t>The Open Lantern</t>
        </is>
      </c>
      <c r="C364" s="22" t="inlineStr">
        <is>
          <t>Tonic</t>
        </is>
      </c>
      <c r="D364" s="22" t="inlineStr">
        <is>
          <t>Sunwater</t>
        </is>
      </c>
      <c r="E364" s="22" t="inlineStr">
        <is>
          <t>Sunwater</t>
        </is>
      </c>
    </row>
    <row r="365" ht="15" customHeight="1" s="18">
      <c r="A365" s="22" t="n">
        <v>64</v>
      </c>
      <c r="B365" s="22" t="inlineStr">
        <is>
          <t>The Open Lantern</t>
        </is>
      </c>
      <c r="C365" s="22" t="inlineStr">
        <is>
          <t>Tonic</t>
        </is>
      </c>
      <c r="D365" s="22" t="inlineStr">
        <is>
          <t>Chamomile</t>
        </is>
      </c>
      <c r="E365" s="22" t="inlineStr">
        <is>
          <t>chamomile</t>
        </is>
      </c>
    </row>
    <row r="366" ht="15" customHeight="1" s="18">
      <c r="A366" s="22" t="n">
        <v>64</v>
      </c>
      <c r="B366" s="22" t="inlineStr">
        <is>
          <t>The Open Lantern</t>
        </is>
      </c>
      <c r="C366" s="22" t="inlineStr">
        <is>
          <t>Tonic</t>
        </is>
      </c>
      <c r="D366" s="22" t="inlineStr">
        <is>
          <t>Honey</t>
        </is>
      </c>
      <c r="E366" s="22" t="inlineStr">
        <is>
          <t>honey</t>
        </is>
      </c>
    </row>
    <row r="367" ht="15" customHeight="1" s="18">
      <c r="A367" s="22" t="n">
        <v>64</v>
      </c>
      <c r="B367" s="22" t="inlineStr">
        <is>
          <t>The Open Lantern</t>
        </is>
      </c>
      <c r="C367" s="22" t="inlineStr">
        <is>
          <t>Tonic</t>
        </is>
      </c>
      <c r="D367" s="22" t="inlineStr">
        <is>
          <t>Ginger</t>
        </is>
      </c>
      <c r="E367" s="22" t="inlineStr">
        <is>
          <t>a little ginger</t>
        </is>
      </c>
    </row>
    <row r="368" ht="15" customHeight="1" s="18">
      <c r="A368" s="22" t="n">
        <v>65</v>
      </c>
      <c r="B368" s="22" t="inlineStr">
        <is>
          <t>Words Like Honey</t>
        </is>
      </c>
      <c r="C368" s="22" t="inlineStr">
        <is>
          <t>Tea</t>
        </is>
      </c>
      <c r="D368" s="22" t="inlineStr">
        <is>
          <t>Lemon balm</t>
        </is>
      </c>
      <c r="E368" s="22" t="inlineStr">
        <is>
          <t>Lemon balm</t>
        </is>
      </c>
    </row>
    <row r="369" ht="15" customHeight="1" s="18">
      <c r="A369" s="22" t="n">
        <v>65</v>
      </c>
      <c r="B369" s="22" t="inlineStr">
        <is>
          <t>Words Like Honey</t>
        </is>
      </c>
      <c r="C369" s="22" t="inlineStr">
        <is>
          <t>Tea</t>
        </is>
      </c>
      <c r="D369" s="22" t="inlineStr">
        <is>
          <t>Peppermint</t>
        </is>
      </c>
      <c r="E369" s="22" t="inlineStr">
        <is>
          <t>peppermint</t>
        </is>
      </c>
    </row>
    <row r="370" ht="15" customHeight="1" s="18">
      <c r="A370" s="22" t="n">
        <v>65</v>
      </c>
      <c r="B370" s="22" t="inlineStr">
        <is>
          <t>Words Like Honey</t>
        </is>
      </c>
      <c r="C370" s="22" t="inlineStr">
        <is>
          <t>Tea</t>
        </is>
      </c>
      <c r="D370" s="22" t="inlineStr">
        <is>
          <t>Sweet pea</t>
        </is>
      </c>
      <c r="E370" s="22" t="inlineStr">
        <is>
          <t>sweet pea</t>
        </is>
      </c>
    </row>
    <row r="371" ht="15" customHeight="1" s="18">
      <c r="A371" s="22" t="n">
        <v>65</v>
      </c>
      <c r="B371" s="22" t="inlineStr">
        <is>
          <t>Words Like Honey</t>
        </is>
      </c>
      <c r="C371" s="22" t="inlineStr">
        <is>
          <t>Tea</t>
        </is>
      </c>
      <c r="D371" s="22" t="inlineStr">
        <is>
          <t>Honey</t>
        </is>
      </c>
      <c r="E371" s="22" t="inlineStr">
        <is>
          <t>honey</t>
        </is>
      </c>
    </row>
    <row r="372" ht="15" customHeight="1" s="18">
      <c r="A372" s="22" t="n">
        <v>66</v>
      </c>
      <c r="B372" s="22" t="inlineStr">
        <is>
          <t>The Silver Bridge</t>
        </is>
      </c>
      <c r="C372" s="22" t="inlineStr">
        <is>
          <t>Water</t>
        </is>
      </c>
      <c r="D372" s="22" t="inlineStr">
        <is>
          <t>Rainwater</t>
        </is>
      </c>
      <c r="E372" s="22" t="inlineStr">
        <is>
          <t>Rainwater</t>
        </is>
      </c>
    </row>
    <row r="373" ht="15" customHeight="1" s="18">
      <c r="A373" s="22" t="n">
        <v>66</v>
      </c>
      <c r="B373" s="22" t="inlineStr">
        <is>
          <t>The Silver Bridge</t>
        </is>
      </c>
      <c r="C373" s="22" t="inlineStr">
        <is>
          <t>Water</t>
        </is>
      </c>
      <c r="D373" s="22" t="inlineStr">
        <is>
          <t>Lemon balm</t>
        </is>
      </c>
      <c r="E373" s="22" t="inlineStr">
        <is>
          <t>lemon balm</t>
        </is>
      </c>
    </row>
    <row r="374" ht="15" customHeight="1" s="18">
      <c r="A374" s="22" t="n">
        <v>66</v>
      </c>
      <c r="B374" s="22" t="inlineStr">
        <is>
          <t>The Silver Bridge</t>
        </is>
      </c>
      <c r="C374" s="22" t="inlineStr">
        <is>
          <t>Water</t>
        </is>
      </c>
      <c r="D374" s="22" t="inlineStr">
        <is>
          <t>Angelica root</t>
        </is>
      </c>
      <c r="E374" s="22" t="inlineStr">
        <is>
          <t>angelica root</t>
        </is>
      </c>
    </row>
    <row r="375" ht="15" customHeight="1" s="18">
      <c r="A375" s="22" t="n">
        <v>66</v>
      </c>
      <c r="B375" s="22" t="inlineStr">
        <is>
          <t>The Silver Bridge</t>
        </is>
      </c>
      <c r="C375" s="22" t="inlineStr">
        <is>
          <t>Water</t>
        </is>
      </c>
      <c r="D375" s="22" t="inlineStr">
        <is>
          <t>Blue lace agate</t>
        </is>
      </c>
      <c r="E375" s="22" t="inlineStr">
        <is>
          <t>blue lace agate</t>
        </is>
      </c>
    </row>
    <row r="376" ht="15" customHeight="1" s="18">
      <c r="A376" s="22" t="n">
        <v>66</v>
      </c>
      <c r="B376" s="22" t="inlineStr">
        <is>
          <t>The Silver Bridge</t>
        </is>
      </c>
      <c r="C376" s="22" t="inlineStr">
        <is>
          <t>Water</t>
        </is>
      </c>
      <c r="D376" s="22" t="inlineStr">
        <is>
          <t>Yellow thread</t>
        </is>
      </c>
      <c r="E376" s="22" t="inlineStr">
        <is>
          <t>yellow thread</t>
        </is>
      </c>
    </row>
    <row r="377" ht="15" customHeight="1" s="18">
      <c r="A377" s="22" t="n">
        <v>67</v>
      </c>
      <c r="B377" s="22" t="inlineStr">
        <is>
          <t>The Kindred Spark</t>
        </is>
      </c>
      <c r="C377" s="22" t="inlineStr">
        <is>
          <t>Charm</t>
        </is>
      </c>
      <c r="D377" s="22" t="inlineStr">
        <is>
          <t>Saffron</t>
        </is>
      </c>
      <c r="E377" s="22" t="inlineStr">
        <is>
          <t>Saffron</t>
        </is>
      </c>
    </row>
    <row r="378" ht="15" customHeight="1" s="18">
      <c r="A378" s="22" t="n">
        <v>67</v>
      </c>
      <c r="B378" s="22" t="inlineStr">
        <is>
          <t>The Kindred Spark</t>
        </is>
      </c>
      <c r="C378" s="22" t="inlineStr">
        <is>
          <t>Charm</t>
        </is>
      </c>
      <c r="D378" s="22" t="inlineStr">
        <is>
          <t>Carnelian</t>
        </is>
      </c>
      <c r="E378" s="22" t="inlineStr">
        <is>
          <t>carnelian</t>
        </is>
      </c>
    </row>
    <row r="379" ht="15" customHeight="1" s="18">
      <c r="A379" s="22" t="n">
        <v>67</v>
      </c>
      <c r="B379" s="22" t="inlineStr">
        <is>
          <t>The Kindred Spark</t>
        </is>
      </c>
      <c r="C379" s="22" t="inlineStr">
        <is>
          <t>Charm</t>
        </is>
      </c>
      <c r="D379" s="22" t="inlineStr">
        <is>
          <t>Bright buttons</t>
        </is>
      </c>
      <c r="E379" s="22" t="inlineStr">
        <is>
          <t>bright buttons</t>
        </is>
      </c>
    </row>
    <row r="380" ht="15" customHeight="1" s="18">
      <c r="A380" s="22" t="n">
        <v>67</v>
      </c>
      <c r="B380" s="22" t="inlineStr">
        <is>
          <t>The Kindred Spark</t>
        </is>
      </c>
      <c r="C380" s="22" t="inlineStr">
        <is>
          <t>Charm</t>
        </is>
      </c>
      <c r="D380" s="22" t="inlineStr">
        <is>
          <t>Orange thread</t>
        </is>
      </c>
      <c r="E380" s="22" t="inlineStr">
        <is>
          <t>orange thread</t>
        </is>
      </c>
    </row>
    <row r="381" ht="15" customHeight="1" s="18">
      <c r="A381" s="22" t="n">
        <v>68</v>
      </c>
      <c r="B381" s="22" t="inlineStr">
        <is>
          <t>A Thousand Little Lights</t>
        </is>
      </c>
      <c r="C381" s="22" t="inlineStr">
        <is>
          <t>Incense</t>
        </is>
      </c>
      <c r="D381" s="22" t="inlineStr">
        <is>
          <t>Amber resin</t>
        </is>
      </c>
      <c r="E381" s="22" t="inlineStr">
        <is>
          <t>Amber resin</t>
        </is>
      </c>
    </row>
    <row r="382" ht="15" customHeight="1" s="18">
      <c r="A382" s="22" t="n">
        <v>68</v>
      </c>
      <c r="B382" s="22" t="inlineStr">
        <is>
          <t>A Thousand Little Lights</t>
        </is>
      </c>
      <c r="C382" s="22" t="inlineStr">
        <is>
          <t>Incense</t>
        </is>
      </c>
      <c r="D382" s="22" t="inlineStr">
        <is>
          <t>Orange peel</t>
        </is>
      </c>
      <c r="E382" s="22" t="inlineStr">
        <is>
          <t>orange peel</t>
        </is>
      </c>
    </row>
    <row r="383" ht="15" customHeight="1" s="18">
      <c r="A383" s="22" t="n">
        <v>68</v>
      </c>
      <c r="B383" s="22" t="inlineStr">
        <is>
          <t>A Thousand Little Lights</t>
        </is>
      </c>
      <c r="C383" s="22" t="inlineStr">
        <is>
          <t>Incense</t>
        </is>
      </c>
      <c r="D383" s="22" t="inlineStr">
        <is>
          <t>Vanilla</t>
        </is>
      </c>
      <c r="E383" s="22" t="inlineStr">
        <is>
          <t>vanilla</t>
        </is>
      </c>
    </row>
    <row r="384" ht="15" customHeight="1" s="18">
      <c r="A384" s="22" t="n">
        <v>68</v>
      </c>
      <c r="B384" s="22" t="inlineStr">
        <is>
          <t>A Thousand Little Lights</t>
        </is>
      </c>
      <c r="C384" s="22" t="inlineStr">
        <is>
          <t>Incense</t>
        </is>
      </c>
      <c r="D384" s="22" t="inlineStr">
        <is>
          <t>Daisy</t>
        </is>
      </c>
      <c r="E384" s="22" t="inlineStr">
        <is>
          <t>daisy</t>
        </is>
      </c>
    </row>
    <row r="385" ht="15" customHeight="1" s="18">
      <c r="A385" s="22" t="n">
        <v>68</v>
      </c>
      <c r="B385" s="22" t="inlineStr">
        <is>
          <t>A Thousand Little Lights</t>
        </is>
      </c>
      <c r="C385" s="22" t="inlineStr">
        <is>
          <t>Incense</t>
        </is>
      </c>
      <c r="D385" s="22" t="inlineStr">
        <is>
          <t>Pine</t>
        </is>
      </c>
      <c r="E385" s="22" t="inlineStr">
        <is>
          <t>pine</t>
        </is>
      </c>
    </row>
    <row r="386" ht="15" customHeight="1" s="18">
      <c r="A386" s="22" t="n">
        <v>69</v>
      </c>
      <c r="B386" s="22" t="inlineStr">
        <is>
          <t>Company of the Moon</t>
        </is>
      </c>
      <c r="C386" s="22" t="inlineStr">
        <is>
          <t>Potion</t>
        </is>
      </c>
      <c r="D386" s="22" t="inlineStr">
        <is>
          <t>Sea Water</t>
        </is>
      </c>
      <c r="E386" s="22" t="inlineStr">
        <is>
          <t>Sea Water</t>
        </is>
      </c>
    </row>
    <row r="387" ht="15" customHeight="1" s="18">
      <c r="A387" s="22" t="n">
        <v>69</v>
      </c>
      <c r="B387" s="22" t="inlineStr">
        <is>
          <t>Company of the Moon</t>
        </is>
      </c>
      <c r="C387" s="22" t="inlineStr">
        <is>
          <t>Potion</t>
        </is>
      </c>
      <c r="D387" s="22" t="inlineStr">
        <is>
          <t>Chamomile</t>
        </is>
      </c>
      <c r="E387" s="22" t="inlineStr">
        <is>
          <t>chamomile</t>
        </is>
      </c>
    </row>
    <row r="388" ht="15" customHeight="1" s="18">
      <c r="A388" s="22" t="n">
        <v>69</v>
      </c>
      <c r="B388" s="22" t="inlineStr">
        <is>
          <t>Company of the Moon</t>
        </is>
      </c>
      <c r="C388" s="22" t="inlineStr">
        <is>
          <t>Potion</t>
        </is>
      </c>
      <c r="D388" s="22" t="inlineStr">
        <is>
          <t>Rose hips</t>
        </is>
      </c>
      <c r="E388" s="22" t="inlineStr">
        <is>
          <t>rose hips</t>
        </is>
      </c>
    </row>
    <row r="389" ht="15" customHeight="1" s="18">
      <c r="A389" s="22" t="n">
        <v>69</v>
      </c>
      <c r="B389" s="22" t="inlineStr">
        <is>
          <t>Company of the Moon</t>
        </is>
      </c>
      <c r="C389" s="22" t="inlineStr">
        <is>
          <t>Potion</t>
        </is>
      </c>
      <c r="D389" s="22" t="inlineStr">
        <is>
          <t>Cinnamon</t>
        </is>
      </c>
      <c r="E389" s="22" t="inlineStr">
        <is>
          <t>cinnamon</t>
        </is>
      </c>
    </row>
    <row r="390" ht="15" customHeight="1" s="18">
      <c r="A390" s="22" t="n">
        <v>69</v>
      </c>
      <c r="B390" s="22" t="inlineStr">
        <is>
          <t>Company of the Moon</t>
        </is>
      </c>
      <c r="C390" s="22" t="inlineStr">
        <is>
          <t>Potion</t>
        </is>
      </c>
      <c r="D390" s="22" t="inlineStr">
        <is>
          <t>Honey</t>
        </is>
      </c>
      <c r="E390" s="22" t="inlineStr">
        <is>
          <t>honey</t>
        </is>
      </c>
    </row>
    <row r="391" ht="15" customHeight="1" s="18">
      <c r="A391" s="22" t="n">
        <v>69</v>
      </c>
      <c r="B391" s="22" t="inlineStr">
        <is>
          <t>Company of the Moon</t>
        </is>
      </c>
      <c r="C391" s="22" t="inlineStr">
        <is>
          <t>Potion</t>
        </is>
      </c>
      <c r="D391" s="22" t="inlineStr">
        <is>
          <t>Moss agate</t>
        </is>
      </c>
      <c r="E391" s="22" t="inlineStr">
        <is>
          <t>moss agate</t>
        </is>
      </c>
    </row>
    <row r="392" ht="15" customHeight="1" s="18">
      <c r="A392" s="22" t="n">
        <v>70</v>
      </c>
      <c r="B392" s="22" t="inlineStr">
        <is>
          <t>The Empty Chair</t>
        </is>
      </c>
      <c r="C392" s="22" t="inlineStr">
        <is>
          <t>Poppet</t>
        </is>
      </c>
      <c r="D392" s="22" t="inlineStr">
        <is>
          <t>Muslin</t>
        </is>
      </c>
      <c r="E392" s="22" t="inlineStr">
        <is>
          <t>Muslin</t>
        </is>
      </c>
    </row>
    <row r="393" ht="15" customHeight="1" s="18">
      <c r="A393" s="22" t="n">
        <v>70</v>
      </c>
      <c r="B393" s="22" t="inlineStr">
        <is>
          <t>The Empty Chair</t>
        </is>
      </c>
      <c r="C393" s="22" t="inlineStr">
        <is>
          <t>Poppet</t>
        </is>
      </c>
      <c r="D393" s="22" t="inlineStr">
        <is>
          <t>Grey thread</t>
        </is>
      </c>
      <c r="E393" s="22" t="inlineStr">
        <is>
          <t>grey thread</t>
        </is>
      </c>
    </row>
    <row r="394" ht="15" customHeight="1" s="18">
      <c r="A394" s="22" t="n">
        <v>70</v>
      </c>
      <c r="B394" s="22" t="inlineStr">
        <is>
          <t>The Empty Chair</t>
        </is>
      </c>
      <c r="C394" s="22" t="inlineStr">
        <is>
          <t>Poppet</t>
        </is>
      </c>
      <c r="D394" s="22" t="inlineStr">
        <is>
          <t>Rose thorns</t>
        </is>
      </c>
      <c r="E394" s="22" t="inlineStr">
        <is>
          <t>rose thorns</t>
        </is>
      </c>
    </row>
    <row r="395" ht="15" customHeight="1" s="18">
      <c r="A395" s="22" t="n">
        <v>70</v>
      </c>
      <c r="B395" s="22" t="inlineStr">
        <is>
          <t>The Empty Chair</t>
        </is>
      </c>
      <c r="C395" s="22" t="inlineStr">
        <is>
          <t>Poppet</t>
        </is>
      </c>
      <c r="D395" s="22" t="inlineStr">
        <is>
          <t>Rue</t>
        </is>
      </c>
      <c r="E395" s="22" t="inlineStr">
        <is>
          <t>rue</t>
        </is>
      </c>
    </row>
    <row r="396" ht="15" customHeight="1" s="18">
      <c r="A396" s="22" t="n">
        <v>70</v>
      </c>
      <c r="B396" s="22" t="inlineStr">
        <is>
          <t>The Empty Chair</t>
        </is>
      </c>
      <c r="C396" s="22" t="inlineStr">
        <is>
          <t>Poppet</t>
        </is>
      </c>
      <c r="D396" s="22" t="inlineStr">
        <is>
          <t>Obsidian</t>
        </is>
      </c>
      <c r="E396" s="22" t="inlineStr">
        <is>
          <t>obsidian</t>
        </is>
      </c>
    </row>
    <row r="397" ht="15" customHeight="1" s="18">
      <c r="A397" s="22" t="n">
        <v>71</v>
      </c>
      <c r="B397" s="22" t="inlineStr">
        <is>
          <t>The Woven Village</t>
        </is>
      </c>
      <c r="C397" s="22" t="inlineStr">
        <is>
          <t>Talisman</t>
        </is>
      </c>
      <c r="D397" s="22" t="inlineStr">
        <is>
          <t>Wooden disc</t>
        </is>
      </c>
      <c r="E397" s="22" t="inlineStr">
        <is>
          <t>Wooden disc</t>
        </is>
      </c>
    </row>
    <row r="398" ht="15" customHeight="1" s="18">
      <c r="A398" s="22" t="n">
        <v>71</v>
      </c>
      <c r="B398" s="22" t="inlineStr">
        <is>
          <t>The Woven Village</t>
        </is>
      </c>
      <c r="C398" s="22" t="inlineStr">
        <is>
          <t>Talisman</t>
        </is>
      </c>
      <c r="D398" s="22" t="inlineStr">
        <is>
          <t>Wheat</t>
        </is>
      </c>
      <c r="E398" s="22" t="inlineStr">
        <is>
          <t>wheat</t>
        </is>
      </c>
    </row>
    <row r="399" ht="15" customHeight="1" s="18">
      <c r="A399" s="22" t="n">
        <v>71</v>
      </c>
      <c r="B399" s="22" t="inlineStr">
        <is>
          <t>The Woven Village</t>
        </is>
      </c>
      <c r="C399" s="22" t="inlineStr">
        <is>
          <t>Talisman</t>
        </is>
      </c>
      <c r="D399" s="22" t="inlineStr">
        <is>
          <t>Rainbow threads</t>
        </is>
      </c>
      <c r="E399" s="22" t="inlineStr">
        <is>
          <t>threads in many colours</t>
        </is>
      </c>
    </row>
    <row r="400" ht="15" customHeight="1" s="18">
      <c r="A400" s="22" t="n">
        <v>71</v>
      </c>
      <c r="B400" s="22" t="inlineStr">
        <is>
          <t>The Woven Village</t>
        </is>
      </c>
      <c r="C400" s="22" t="inlineStr">
        <is>
          <t>Talisman</t>
        </is>
      </c>
      <c r="D400" s="22" t="inlineStr">
        <is>
          <t>Honeycomb</t>
        </is>
      </c>
      <c r="E400" s="22" t="inlineStr">
        <is>
          <t>honeycomb</t>
        </is>
      </c>
    </row>
    <row r="401" ht="15" customHeight="1" s="18">
      <c r="A401" s="22" t="n">
        <v>71</v>
      </c>
      <c r="B401" s="22" t="inlineStr">
        <is>
          <t>The Woven Village</t>
        </is>
      </c>
      <c r="C401" s="22" t="inlineStr">
        <is>
          <t>Talisman</t>
        </is>
      </c>
      <c r="D401" s="22" t="inlineStr">
        <is>
          <t>Jade</t>
        </is>
      </c>
      <c r="E401" s="22" t="inlineStr">
        <is>
          <t>jade</t>
        </is>
      </c>
    </row>
    <row r="402" ht="15" customHeight="1" s="18">
      <c r="A402" s="22" t="n">
        <v>72</v>
      </c>
      <c r="B402" s="22" t="inlineStr">
        <is>
          <t>The Open Doorbell</t>
        </is>
      </c>
      <c r="C402" s="22" t="inlineStr">
        <is>
          <t>Cookies</t>
        </is>
      </c>
      <c r="D402" s="22" t="inlineStr">
        <is>
          <t>Flour</t>
        </is>
      </c>
      <c r="E402" s="22" t="inlineStr">
        <is>
          <t>Flour</t>
        </is>
      </c>
    </row>
    <row r="403" ht="15" customHeight="1" s="18">
      <c r="A403" s="22" t="n">
        <v>72</v>
      </c>
      <c r="B403" s="22" t="inlineStr">
        <is>
          <t>The Open Doorbell</t>
        </is>
      </c>
      <c r="C403" s="22" t="inlineStr">
        <is>
          <t>Cookies</t>
        </is>
      </c>
      <c r="D403" s="22" t="inlineStr">
        <is>
          <t>Butter</t>
        </is>
      </c>
      <c r="E403" s="22" t="inlineStr">
        <is>
          <t>butter</t>
        </is>
      </c>
    </row>
    <row r="404" ht="15" customHeight="1" s="18">
      <c r="A404" s="22" t="n">
        <v>72</v>
      </c>
      <c r="B404" s="22" t="inlineStr">
        <is>
          <t>The Open Doorbell</t>
        </is>
      </c>
      <c r="C404" s="22" t="inlineStr">
        <is>
          <t>Cookies</t>
        </is>
      </c>
      <c r="D404" s="22" t="inlineStr">
        <is>
          <t>Honey</t>
        </is>
      </c>
      <c r="E404" s="22" t="inlineStr">
        <is>
          <t>honey</t>
        </is>
      </c>
    </row>
    <row r="405" ht="15" customHeight="1" s="18">
      <c r="A405" s="22" t="n">
        <v>72</v>
      </c>
      <c r="B405" s="22" t="inlineStr">
        <is>
          <t>The Open Doorbell</t>
        </is>
      </c>
      <c r="C405" s="22" t="inlineStr">
        <is>
          <t>Cookies</t>
        </is>
      </c>
      <c r="D405" s="22" t="inlineStr">
        <is>
          <t>Cardamom</t>
        </is>
      </c>
      <c r="E405" s="22" t="inlineStr">
        <is>
          <t>cardamom</t>
        </is>
      </c>
    </row>
    <row r="406" ht="15" customHeight="1" s="18">
      <c r="A406" s="22" t="n">
        <v>72</v>
      </c>
      <c r="B406" s="22" t="inlineStr">
        <is>
          <t>The Open Doorbell</t>
        </is>
      </c>
      <c r="C406" s="22" t="inlineStr">
        <is>
          <t>Cookies</t>
        </is>
      </c>
      <c r="D406" s="22" t="inlineStr">
        <is>
          <t>Saffron</t>
        </is>
      </c>
      <c r="E406" s="22" t="inlineStr">
        <is>
          <t>saffron</t>
        </is>
      </c>
    </row>
    <row r="407" ht="15" customHeight="1" s="18">
      <c r="A407" s="22" t="n">
        <v>72</v>
      </c>
      <c r="B407" s="22" t="inlineStr">
        <is>
          <t>The Open Doorbell</t>
        </is>
      </c>
      <c r="C407" s="22" t="inlineStr">
        <is>
          <t>Cookies</t>
        </is>
      </c>
      <c r="D407" s="22" t="inlineStr">
        <is>
          <t>Orange peel</t>
        </is>
      </c>
      <c r="E407" s="22" t="inlineStr">
        <is>
          <t>orange zest</t>
        </is>
      </c>
    </row>
    <row r="408" ht="15" customHeight="1" s="18">
      <c r="A408" s="22" t="n">
        <v>73</v>
      </c>
      <c r="B408" s="22" t="inlineStr">
        <is>
          <t>The Gentle No</t>
        </is>
      </c>
      <c r="C408" s="22" t="inlineStr">
        <is>
          <t>Soap</t>
        </is>
      </c>
      <c r="D408" s="22" t="inlineStr">
        <is>
          <t>Soap base</t>
        </is>
      </c>
      <c r="E408" s="22" t="inlineStr">
        <is>
          <t>Soap base</t>
        </is>
      </c>
    </row>
    <row r="409" ht="15" customHeight="1" s="18">
      <c r="A409" s="22" t="n">
        <v>73</v>
      </c>
      <c r="B409" s="22" t="inlineStr">
        <is>
          <t>The Gentle No</t>
        </is>
      </c>
      <c r="C409" s="22" t="inlineStr">
        <is>
          <t>Soap</t>
        </is>
      </c>
      <c r="D409" s="22" t="inlineStr">
        <is>
          <t>Rosemary</t>
        </is>
      </c>
      <c r="E409" s="22" t="inlineStr">
        <is>
          <t>rosemary</t>
        </is>
      </c>
    </row>
    <row r="410" ht="15" customHeight="1" s="18">
      <c r="A410" s="22" t="n">
        <v>73</v>
      </c>
      <c r="B410" s="22" t="inlineStr">
        <is>
          <t>The Gentle No</t>
        </is>
      </c>
      <c r="C410" s="22" t="inlineStr">
        <is>
          <t>Soap</t>
        </is>
      </c>
      <c r="D410" s="22" t="inlineStr">
        <is>
          <t>Lemon</t>
        </is>
      </c>
      <c r="E410" s="22" t="inlineStr">
        <is>
          <t>lemon</t>
        </is>
      </c>
    </row>
    <row r="411" ht="15" customHeight="1" s="18">
      <c r="A411" s="22" t="n">
        <v>73</v>
      </c>
      <c r="B411" s="22" t="inlineStr">
        <is>
          <t>The Gentle No</t>
        </is>
      </c>
      <c r="C411" s="22" t="inlineStr">
        <is>
          <t>Soap</t>
        </is>
      </c>
      <c r="D411" s="22" t="inlineStr">
        <is>
          <t>Garden sage</t>
        </is>
      </c>
      <c r="E411" s="22" t="inlineStr">
        <is>
          <t>garden sage</t>
        </is>
      </c>
    </row>
    <row r="412" ht="15" customHeight="1" s="18">
      <c r="A412" s="22" t="n">
        <v>73</v>
      </c>
      <c r="B412" s="22" t="inlineStr">
        <is>
          <t>The Gentle No</t>
        </is>
      </c>
      <c r="C412" s="22" t="inlineStr">
        <is>
          <t>Soap</t>
        </is>
      </c>
      <c r="D412" s="22" t="inlineStr">
        <is>
          <t>Amazonite</t>
        </is>
      </c>
      <c r="E412" s="22" t="inlineStr">
        <is>
          <t>amazonite</t>
        </is>
      </c>
    </row>
    <row r="413" ht="15" customHeight="1" s="18">
      <c r="A413" s="22" t="n">
        <v>74</v>
      </c>
      <c r="B413" s="22" t="inlineStr">
        <is>
          <t>The Listening Shell</t>
        </is>
      </c>
      <c r="C413" s="22" t="inlineStr">
        <is>
          <t>Amulet</t>
        </is>
      </c>
      <c r="D413" s="22" t="inlineStr">
        <is>
          <t>Seashell</t>
        </is>
      </c>
      <c r="E413" s="22" t="inlineStr">
        <is>
          <t>Spiral seashell</t>
        </is>
      </c>
    </row>
    <row r="414" ht="15" customHeight="1" s="18">
      <c r="A414" s="22" t="n">
        <v>74</v>
      </c>
      <c r="B414" s="22" t="inlineStr">
        <is>
          <t>The Listening Shell</t>
        </is>
      </c>
      <c r="C414" s="22" t="inlineStr">
        <is>
          <t>Amulet</t>
        </is>
      </c>
      <c r="D414" s="22" t="inlineStr">
        <is>
          <t>Aquamarine</t>
        </is>
      </c>
      <c r="E414" s="22" t="inlineStr">
        <is>
          <t>aquamarine</t>
        </is>
      </c>
    </row>
    <row r="415" ht="15" customHeight="1" s="18">
      <c r="A415" s="22" t="n">
        <v>74</v>
      </c>
      <c r="B415" s="22" t="inlineStr">
        <is>
          <t>The Listening Shell</t>
        </is>
      </c>
      <c r="C415" s="22" t="inlineStr">
        <is>
          <t>Amulet</t>
        </is>
      </c>
      <c r="D415" s="22" t="inlineStr">
        <is>
          <t>Silver bead</t>
        </is>
      </c>
      <c r="E415" s="22" t="inlineStr">
        <is>
          <t>silver bead</t>
        </is>
      </c>
    </row>
    <row r="416" ht="15" customHeight="1" s="18">
      <c r="A416" s="22" t="n">
        <v>74</v>
      </c>
      <c r="B416" s="22" t="inlineStr">
        <is>
          <t>The Listening Shell</t>
        </is>
      </c>
      <c r="C416" s="22" t="inlineStr">
        <is>
          <t>Amulet</t>
        </is>
      </c>
      <c r="D416" s="22" t="inlineStr">
        <is>
          <t>Blue thread</t>
        </is>
      </c>
      <c r="E416" s="22" t="inlineStr">
        <is>
          <t>blue thread</t>
        </is>
      </c>
    </row>
    <row r="417" ht="15" customHeight="1" s="18">
      <c r="A417" s="22" t="n">
        <v>75</v>
      </c>
      <c r="B417" s="22" t="inlineStr">
        <is>
          <t>The Honeybee Feast</t>
        </is>
      </c>
      <c r="C417" s="22" t="inlineStr">
        <is>
          <t>Butter</t>
        </is>
      </c>
      <c r="D417" s="22" t="inlineStr">
        <is>
          <t>Butter</t>
        </is>
      </c>
      <c r="E417" s="22" t="inlineStr">
        <is>
          <t>Butter</t>
        </is>
      </c>
    </row>
    <row r="418" ht="15" customHeight="1" s="18">
      <c r="A418" s="22" t="n">
        <v>75</v>
      </c>
      <c r="B418" s="22" t="inlineStr">
        <is>
          <t>The Honeybee Feast</t>
        </is>
      </c>
      <c r="C418" s="22" t="inlineStr">
        <is>
          <t>Butter</t>
        </is>
      </c>
      <c r="D418" s="22" t="inlineStr">
        <is>
          <t>Honey</t>
        </is>
      </c>
      <c r="E418" s="22" t="inlineStr">
        <is>
          <t>honey</t>
        </is>
      </c>
    </row>
    <row r="419" ht="15" customHeight="1" s="18">
      <c r="A419" s="22" t="n">
        <v>75</v>
      </c>
      <c r="B419" s="22" t="inlineStr">
        <is>
          <t>The Honeybee Feast</t>
        </is>
      </c>
      <c r="C419" s="22" t="inlineStr">
        <is>
          <t>Butter</t>
        </is>
      </c>
      <c r="D419" s="22" t="inlineStr">
        <is>
          <t>Lavender</t>
        </is>
      </c>
      <c r="E419" s="22" t="inlineStr">
        <is>
          <t>lavender</t>
        </is>
      </c>
    </row>
    <row r="420" ht="15" customHeight="1" s="18">
      <c r="A420" s="22" t="n">
        <v>75</v>
      </c>
      <c r="B420" s="22" t="inlineStr">
        <is>
          <t>The Honeybee Feast</t>
        </is>
      </c>
      <c r="C420" s="22" t="inlineStr">
        <is>
          <t>Butter</t>
        </is>
      </c>
      <c r="D420" s="22" t="inlineStr">
        <is>
          <t>Fennel seed</t>
        </is>
      </c>
      <c r="E420" s="22" t="inlineStr">
        <is>
          <t>fennel seed</t>
        </is>
      </c>
    </row>
    <row r="421" ht="15" customHeight="1" s="18">
      <c r="A421" s="22" t="n">
        <v>75</v>
      </c>
      <c r="B421" s="22" t="inlineStr">
        <is>
          <t>The Honeybee Feast</t>
        </is>
      </c>
      <c r="C421" s="22" t="inlineStr">
        <is>
          <t>Butter</t>
        </is>
      </c>
      <c r="D421" s="22" t="inlineStr">
        <is>
          <t>Bee pollen</t>
        </is>
      </c>
      <c r="E421" s="22" t="inlineStr">
        <is>
          <t>bee pollen</t>
        </is>
      </c>
    </row>
    <row r="422" ht="15" customHeight="1" s="18">
      <c r="A422" s="22" t="n">
        <v>76</v>
      </c>
      <c r="B422" s="22" t="inlineStr">
        <is>
          <t>The Muse Unlocked</t>
        </is>
      </c>
      <c r="C422" s="22" t="inlineStr">
        <is>
          <t>Incense</t>
        </is>
      </c>
      <c r="D422" s="22" t="inlineStr">
        <is>
          <t>Cinnamon</t>
        </is>
      </c>
      <c r="E422" s="22" t="inlineStr">
        <is>
          <t>Cinnamon</t>
        </is>
      </c>
    </row>
    <row r="423" ht="15" customHeight="1" s="18">
      <c r="A423" s="22" t="n">
        <v>76</v>
      </c>
      <c r="B423" s="22" t="inlineStr">
        <is>
          <t>The Muse Unlocked</t>
        </is>
      </c>
      <c r="C423" s="22" t="inlineStr">
        <is>
          <t>Incense</t>
        </is>
      </c>
      <c r="D423" s="22" t="inlineStr">
        <is>
          <t>Lemongrass</t>
        </is>
      </c>
      <c r="E423" s="22" t="inlineStr">
        <is>
          <t>lemongrass</t>
        </is>
      </c>
    </row>
    <row r="424" ht="15" customHeight="1" s="18">
      <c r="A424" s="22" t="n">
        <v>76</v>
      </c>
      <c r="B424" s="22" t="inlineStr">
        <is>
          <t>The Muse Unlocked</t>
        </is>
      </c>
      <c r="C424" s="22" t="inlineStr">
        <is>
          <t>Incense</t>
        </is>
      </c>
      <c r="D424" s="22" t="inlineStr">
        <is>
          <t>Orange peel</t>
        </is>
      </c>
      <c r="E424" s="22" t="inlineStr">
        <is>
          <t>orange peel</t>
        </is>
      </c>
    </row>
    <row r="425" ht="15" customHeight="1" s="18">
      <c r="A425" s="22" t="n">
        <v>76</v>
      </c>
      <c r="B425" s="22" t="inlineStr">
        <is>
          <t>The Muse Unlocked</t>
        </is>
      </c>
      <c r="C425" s="22" t="inlineStr">
        <is>
          <t>Incense</t>
        </is>
      </c>
      <c r="D425" s="22" t="inlineStr">
        <is>
          <t>Frankincense</t>
        </is>
      </c>
      <c r="E425" s="22" t="inlineStr">
        <is>
          <t>frankincense</t>
        </is>
      </c>
    </row>
    <row r="426" ht="15" customHeight="1" s="18">
      <c r="A426" s="22" t="n">
        <v>76</v>
      </c>
      <c r="B426" s="22" t="inlineStr">
        <is>
          <t>The Muse Unlocked</t>
        </is>
      </c>
      <c r="C426" s="22" t="inlineStr">
        <is>
          <t>Incense</t>
        </is>
      </c>
      <c r="D426" s="22" t="inlineStr">
        <is>
          <t>Snowdrop</t>
        </is>
      </c>
      <c r="E426" s="22" t="inlineStr">
        <is>
          <t>snowdrop</t>
        </is>
      </c>
    </row>
    <row r="427" ht="15" customHeight="1" s="18">
      <c r="A427" s="22" t="n">
        <v>77</v>
      </c>
      <c r="B427" s="22" t="inlineStr">
        <is>
          <t>Brainstorm Stardust</t>
        </is>
      </c>
      <c r="C427" s="22" t="inlineStr">
        <is>
          <t>Powder</t>
        </is>
      </c>
      <c r="D427" s="22" t="inlineStr">
        <is>
          <t>Storm Water</t>
        </is>
      </c>
      <c r="E427" s="22" t="inlineStr">
        <is>
          <t>A few drops of Storm Water</t>
        </is>
      </c>
    </row>
    <row r="428" ht="15" customHeight="1" s="18">
      <c r="A428" s="22" t="n">
        <v>77</v>
      </c>
      <c r="B428" s="22" t="inlineStr">
        <is>
          <t>Brainstorm Stardust</t>
        </is>
      </c>
      <c r="C428" s="22" t="inlineStr">
        <is>
          <t>Powder</t>
        </is>
      </c>
      <c r="D428" s="22" t="inlineStr">
        <is>
          <t>Peppermint</t>
        </is>
      </c>
      <c r="E428" s="22" t="inlineStr">
        <is>
          <t>peppermint powder</t>
        </is>
      </c>
    </row>
    <row r="429" ht="15" customHeight="1" s="18">
      <c r="A429" s="22" t="n">
        <v>77</v>
      </c>
      <c r="B429" s="22" t="inlineStr">
        <is>
          <t>Brainstorm Stardust</t>
        </is>
      </c>
      <c r="C429" s="22" t="inlineStr">
        <is>
          <t>Powder</t>
        </is>
      </c>
      <c r="D429" s="22" t="inlineStr">
        <is>
          <t>Lemon peel</t>
        </is>
      </c>
      <c r="E429" s="22" t="inlineStr">
        <is>
          <t>lemon zest</t>
        </is>
      </c>
    </row>
    <row r="430" ht="15" customHeight="1" s="18">
      <c r="A430" s="22" t="n">
        <v>77</v>
      </c>
      <c r="B430" s="22" t="inlineStr">
        <is>
          <t>Brainstorm Stardust</t>
        </is>
      </c>
      <c r="C430" s="22" t="inlineStr">
        <is>
          <t>Powder</t>
        </is>
      </c>
      <c r="D430" s="22" t="inlineStr">
        <is>
          <t>Allspice</t>
        </is>
      </c>
      <c r="E430" s="22" t="inlineStr">
        <is>
          <t>allspice</t>
        </is>
      </c>
    </row>
    <row r="431" ht="15" customHeight="1" s="18">
      <c r="A431" s="22" t="n">
        <v>77</v>
      </c>
      <c r="B431" s="22" t="inlineStr">
        <is>
          <t>Brainstorm Stardust</t>
        </is>
      </c>
      <c r="C431" s="22" t="inlineStr">
        <is>
          <t>Powder</t>
        </is>
      </c>
      <c r="D431" s="22" t="inlineStr">
        <is>
          <t>Biodegradable glitter</t>
        </is>
      </c>
      <c r="E431" s="22" t="inlineStr">
        <is>
          <t>biodegradable glitter</t>
        </is>
      </c>
    </row>
    <row r="432" ht="15" customHeight="1" s="18">
      <c r="A432" s="22" t="n">
        <v>77</v>
      </c>
      <c r="B432" s="22" t="inlineStr">
        <is>
          <t>Brainstorm Stardust</t>
        </is>
      </c>
      <c r="C432" s="22" t="inlineStr">
        <is>
          <t>Powder</t>
        </is>
      </c>
      <c r="D432" s="22" t="inlineStr">
        <is>
          <t>Fluorite</t>
        </is>
      </c>
      <c r="E432" s="22" t="inlineStr">
        <is>
          <t>fluorite</t>
        </is>
      </c>
    </row>
    <row r="433" ht="15" customHeight="1" s="18">
      <c r="A433" s="22" t="n">
        <v>78</v>
      </c>
      <c r="B433" s="22" t="inlineStr">
        <is>
          <t>The Final Golden Stitch</t>
        </is>
      </c>
      <c r="C433" s="22" t="inlineStr">
        <is>
          <t>Witch's Ladder</t>
        </is>
      </c>
      <c r="D433" s="22" t="inlineStr">
        <is>
          <t>Gold thread</t>
        </is>
      </c>
      <c r="E433" s="22" t="inlineStr">
        <is>
          <t>Gold thread</t>
        </is>
      </c>
    </row>
    <row r="434" ht="15" customHeight="1" s="18">
      <c r="A434" s="22" t="n">
        <v>78</v>
      </c>
      <c r="B434" s="22" t="inlineStr">
        <is>
          <t>The Final Golden Stitch</t>
        </is>
      </c>
      <c r="C434" s="22" t="inlineStr">
        <is>
          <t>Witch's Ladder</t>
        </is>
      </c>
      <c r="D434" s="22" t="inlineStr">
        <is>
          <t>Brass button</t>
        </is>
      </c>
      <c r="E434" s="22" t="inlineStr">
        <is>
          <t>nine buttons</t>
        </is>
      </c>
    </row>
    <row r="435" ht="15" customHeight="1" s="18">
      <c r="A435" s="22" t="n">
        <v>78</v>
      </c>
      <c r="B435" s="22" t="inlineStr">
        <is>
          <t>The Final Golden Stitch</t>
        </is>
      </c>
      <c r="C435" s="22" t="inlineStr">
        <is>
          <t>Witch's Ladder</t>
        </is>
      </c>
      <c r="D435" s="22" t="inlineStr">
        <is>
          <t>Bay leaf</t>
        </is>
      </c>
      <c r="E435" s="22" t="inlineStr">
        <is>
          <t>bay leaves</t>
        </is>
      </c>
    </row>
    <row r="436" ht="15" customHeight="1" s="18">
      <c r="A436" s="22" t="n">
        <v>78</v>
      </c>
      <c r="B436" s="22" t="inlineStr">
        <is>
          <t>The Final Golden Stitch</t>
        </is>
      </c>
      <c r="C436" s="22" t="inlineStr">
        <is>
          <t>Witch's Ladder</t>
        </is>
      </c>
      <c r="D436" s="22" t="inlineStr">
        <is>
          <t>Tiger's eye</t>
        </is>
      </c>
      <c r="E436" s="22" t="inlineStr">
        <is>
          <t>tiger's eye bead</t>
        </is>
      </c>
    </row>
    <row r="437" ht="15" customHeight="1" s="18">
      <c r="A437" s="22" t="n">
        <v>79</v>
      </c>
      <c r="B437" s="22" t="inlineStr">
        <is>
          <t>The Unwritten Universe</t>
        </is>
      </c>
      <c r="C437" s="22" t="inlineStr">
        <is>
          <t>Wand</t>
        </is>
      </c>
      <c r="D437" s="22" t="inlineStr">
        <is>
          <t>Willow branch</t>
        </is>
      </c>
      <c r="E437" s="22" t="inlineStr">
        <is>
          <t>Fallen willow branch</t>
        </is>
      </c>
    </row>
    <row r="438" ht="15" customHeight="1" s="18">
      <c r="A438" s="22" t="n">
        <v>79</v>
      </c>
      <c r="B438" s="22" t="inlineStr">
        <is>
          <t>The Unwritten Universe</t>
        </is>
      </c>
      <c r="C438" s="22" t="inlineStr">
        <is>
          <t>Wand</t>
        </is>
      </c>
      <c r="D438" s="22" t="inlineStr">
        <is>
          <t>Labradorite</t>
        </is>
      </c>
      <c r="E438" s="22" t="inlineStr">
        <is>
          <t>labradorite</t>
        </is>
      </c>
    </row>
    <row r="439" ht="15" customHeight="1" s="18">
      <c r="A439" s="22" t="n">
        <v>79</v>
      </c>
      <c r="B439" s="22" t="inlineStr">
        <is>
          <t>The Unwritten Universe</t>
        </is>
      </c>
      <c r="C439" s="22" t="inlineStr">
        <is>
          <t>Wand</t>
        </is>
      </c>
      <c r="D439" s="22" t="inlineStr">
        <is>
          <t>Purple thread</t>
        </is>
      </c>
      <c r="E439" s="22" t="inlineStr">
        <is>
          <t>violet and silver thread</t>
        </is>
      </c>
    </row>
    <row r="440" ht="15" customHeight="1" s="18">
      <c r="A440" s="22" t="n">
        <v>79</v>
      </c>
      <c r="B440" s="22" t="inlineStr">
        <is>
          <t>The Unwritten Universe</t>
        </is>
      </c>
      <c r="C440" s="22" t="inlineStr">
        <is>
          <t>Wand</t>
        </is>
      </c>
      <c r="D440" s="22" t="inlineStr">
        <is>
          <t>Silver thread</t>
        </is>
      </c>
      <c r="E440" s="22" t="inlineStr">
        <is>
          <t>violet and silver thread</t>
        </is>
      </c>
    </row>
    <row r="441" ht="15" customHeight="1" s="18">
      <c r="A441" s="22" t="n">
        <v>79</v>
      </c>
      <c r="B441" s="22" t="inlineStr">
        <is>
          <t>The Unwritten Universe</t>
        </is>
      </c>
      <c r="C441" s="22" t="inlineStr">
        <is>
          <t>Wand</t>
        </is>
      </c>
      <c r="D441" s="22" t="inlineStr">
        <is>
          <t>Owl feather</t>
        </is>
      </c>
      <c r="E441" s="22" t="inlineStr">
        <is>
          <t>owl feather</t>
        </is>
      </c>
    </row>
    <row r="442" ht="15" customHeight="1" s="18">
      <c r="A442" s="22" t="n">
        <v>80</v>
      </c>
      <c r="B442" s="22" t="inlineStr">
        <is>
          <t>The Open Studio</t>
        </is>
      </c>
      <c r="C442" s="22" t="inlineStr">
        <is>
          <t>Spell Bottle</t>
        </is>
      </c>
      <c r="D442" s="22" t="inlineStr">
        <is>
          <t>Glass vial</t>
        </is>
      </c>
      <c r="E442" s="22" t="inlineStr">
        <is>
          <t>Glass vial</t>
        </is>
      </c>
    </row>
    <row r="443" ht="15" customHeight="1" s="18">
      <c r="A443" s="22" t="n">
        <v>80</v>
      </c>
      <c r="B443" s="22" t="inlineStr">
        <is>
          <t>The Open Studio</t>
        </is>
      </c>
      <c r="C443" s="22" t="inlineStr">
        <is>
          <t>Spell Bottle</t>
        </is>
      </c>
      <c r="D443" s="22" t="inlineStr">
        <is>
          <t>Basil</t>
        </is>
      </c>
      <c r="E443" s="22" t="inlineStr">
        <is>
          <t>basil</t>
        </is>
      </c>
    </row>
    <row r="444" ht="15" customHeight="1" s="18">
      <c r="A444" s="22" t="n">
        <v>80</v>
      </c>
      <c r="B444" s="22" t="inlineStr">
        <is>
          <t>The Open Studio</t>
        </is>
      </c>
      <c r="C444" s="22" t="inlineStr">
        <is>
          <t>Spell Bottle</t>
        </is>
      </c>
      <c r="D444" s="22" t="inlineStr">
        <is>
          <t>Cinnamon</t>
        </is>
      </c>
      <c r="E444" s="22" t="inlineStr">
        <is>
          <t>cinnamon</t>
        </is>
      </c>
    </row>
    <row r="445" ht="15" customHeight="1" s="18">
      <c r="A445" s="22" t="n">
        <v>80</v>
      </c>
      <c r="B445" s="22" t="inlineStr">
        <is>
          <t>The Open Studio</t>
        </is>
      </c>
      <c r="C445" s="22" t="inlineStr">
        <is>
          <t>Spell Bottle</t>
        </is>
      </c>
      <c r="D445" s="22" t="inlineStr">
        <is>
          <t>Citrine</t>
        </is>
      </c>
      <c r="E445" s="22" t="inlineStr">
        <is>
          <t>citrine</t>
        </is>
      </c>
    </row>
    <row r="446" ht="15" customHeight="1" s="18">
      <c r="A446" s="22" t="n">
        <v>80</v>
      </c>
      <c r="B446" s="22" t="inlineStr">
        <is>
          <t>The Open Studio</t>
        </is>
      </c>
      <c r="C446" s="22" t="inlineStr">
        <is>
          <t>Spell Bottle</t>
        </is>
      </c>
      <c r="D446" s="22" t="inlineStr">
        <is>
          <t>Paintbrush bristle</t>
        </is>
      </c>
      <c r="E446" s="22" t="inlineStr">
        <is>
          <t>paintbrush bristle</t>
        </is>
      </c>
    </row>
    <row r="447" ht="15" customHeight="1" s="18">
      <c r="A447" s="22" t="n">
        <v>80</v>
      </c>
      <c r="B447" s="22" t="inlineStr">
        <is>
          <t>The Open Studio</t>
        </is>
      </c>
      <c r="C447" s="22" t="inlineStr">
        <is>
          <t>Spell Bottle</t>
        </is>
      </c>
      <c r="D447" s="22" t="inlineStr">
        <is>
          <t>Patchwork scraps</t>
        </is>
      </c>
      <c r="E447" s="22" t="inlineStr">
        <is>
          <t>patchwork scraps</t>
        </is>
      </c>
    </row>
    <row r="448" ht="15" customHeight="1" s="18">
      <c r="A448" s="22" t="n">
        <v>81</v>
      </c>
      <c r="B448" s="22" t="inlineStr">
        <is>
          <t>The Clockwork Moon</t>
        </is>
      </c>
      <c r="C448" s="22" t="inlineStr">
        <is>
          <t>Talisman</t>
        </is>
      </c>
      <c r="D448" s="22" t="inlineStr">
        <is>
          <t>Wooden disc</t>
        </is>
      </c>
      <c r="E448" s="22" t="inlineStr">
        <is>
          <t>Wooden disc</t>
        </is>
      </c>
    </row>
    <row r="449" ht="15" customHeight="1" s="18">
      <c r="A449" s="22" t="n">
        <v>81</v>
      </c>
      <c r="B449" s="22" t="inlineStr">
        <is>
          <t>The Clockwork Moon</t>
        </is>
      </c>
      <c r="C449" s="22" t="inlineStr">
        <is>
          <t>Talisman</t>
        </is>
      </c>
      <c r="D449" s="22" t="inlineStr">
        <is>
          <t>Hematite</t>
        </is>
      </c>
      <c r="E449" s="22" t="inlineStr">
        <is>
          <t>hematite</t>
        </is>
      </c>
    </row>
    <row r="450" ht="15" customHeight="1" s="18">
      <c r="A450" s="22" t="n">
        <v>81</v>
      </c>
      <c r="B450" s="22" t="inlineStr">
        <is>
          <t>The Clockwork Moon</t>
        </is>
      </c>
      <c r="C450" s="22" t="inlineStr">
        <is>
          <t>Talisman</t>
        </is>
      </c>
      <c r="D450" s="22" t="inlineStr">
        <is>
          <t>Rosemary</t>
        </is>
      </c>
      <c r="E450" s="22" t="inlineStr">
        <is>
          <t>rosemary</t>
        </is>
      </c>
    </row>
    <row r="451" ht="15" customHeight="1" s="18">
      <c r="A451" s="22" t="n">
        <v>81</v>
      </c>
      <c r="B451" s="22" t="inlineStr">
        <is>
          <t>The Clockwork Moon</t>
        </is>
      </c>
      <c r="C451" s="22" t="inlineStr">
        <is>
          <t>Talisman</t>
        </is>
      </c>
      <c r="D451" s="22" t="inlineStr">
        <is>
          <t>Brass button</t>
        </is>
      </c>
      <c r="E451" s="22" t="inlineStr">
        <is>
          <t>brass button</t>
        </is>
      </c>
    </row>
    <row r="452" ht="15" customHeight="1" s="18">
      <c r="A452" s="22" t="n">
        <v>81</v>
      </c>
      <c r="B452" s="22" t="inlineStr">
        <is>
          <t>The Clockwork Moon</t>
        </is>
      </c>
      <c r="C452" s="22" t="inlineStr">
        <is>
          <t>Talisman</t>
        </is>
      </c>
      <c r="D452" s="22" t="inlineStr">
        <is>
          <t>Spool of thread</t>
        </is>
      </c>
      <c r="E452" s="22" t="inlineStr">
        <is>
          <t>spool of thread</t>
        </is>
      </c>
    </row>
    <row r="453" ht="15" customHeight="1" s="18">
      <c r="A453" s="22" t="n">
        <v>82</v>
      </c>
      <c r="B453" s="22" t="inlineStr">
        <is>
          <t>The Clear Quartz Hour</t>
        </is>
      </c>
      <c r="C453" s="22" t="inlineStr">
        <is>
          <t>Potion</t>
        </is>
      </c>
      <c r="D453" s="22" t="inlineStr">
        <is>
          <t>Spring water</t>
        </is>
      </c>
      <c r="E453" s="22" t="inlineStr">
        <is>
          <t>Spring Water</t>
        </is>
      </c>
    </row>
    <row r="454" ht="15" customHeight="1" s="18">
      <c r="A454" s="22" t="n">
        <v>82</v>
      </c>
      <c r="B454" s="22" t="inlineStr">
        <is>
          <t>The Clear Quartz Hour</t>
        </is>
      </c>
      <c r="C454" s="22" t="inlineStr">
        <is>
          <t>Potion</t>
        </is>
      </c>
      <c r="D454" s="22" t="inlineStr">
        <is>
          <t>Peppermint</t>
        </is>
      </c>
      <c r="E454" s="22" t="inlineStr">
        <is>
          <t>peppermint</t>
        </is>
      </c>
    </row>
    <row r="455" ht="15" customHeight="1" s="18">
      <c r="A455" s="22" t="n">
        <v>82</v>
      </c>
      <c r="B455" s="22" t="inlineStr">
        <is>
          <t>The Clear Quartz Hour</t>
        </is>
      </c>
      <c r="C455" s="22" t="inlineStr">
        <is>
          <t>Potion</t>
        </is>
      </c>
      <c r="D455" s="22" t="inlineStr">
        <is>
          <t>Rosemary</t>
        </is>
      </c>
      <c r="E455" s="22" t="inlineStr">
        <is>
          <t>rosemary</t>
        </is>
      </c>
    </row>
    <row r="456" ht="15" customHeight="1" s="18">
      <c r="A456" s="22" t="n">
        <v>82</v>
      </c>
      <c r="B456" s="22" t="inlineStr">
        <is>
          <t>The Clear Quartz Hour</t>
        </is>
      </c>
      <c r="C456" s="22" t="inlineStr">
        <is>
          <t>Potion</t>
        </is>
      </c>
      <c r="D456" s="22" t="inlineStr">
        <is>
          <t>Lemon</t>
        </is>
      </c>
      <c r="E456" s="22" t="inlineStr">
        <is>
          <t>lemon</t>
        </is>
      </c>
    </row>
    <row r="457" ht="15" customHeight="1" s="18">
      <c r="A457" s="22" t="n">
        <v>82</v>
      </c>
      <c r="B457" s="22" t="inlineStr">
        <is>
          <t>The Clear Quartz Hour</t>
        </is>
      </c>
      <c r="C457" s="22" t="inlineStr">
        <is>
          <t>Potion</t>
        </is>
      </c>
      <c r="D457" s="22" t="inlineStr">
        <is>
          <t>Clear quartz</t>
        </is>
      </c>
      <c r="E457" s="22" t="inlineStr">
        <is>
          <t>clear quartz</t>
        </is>
      </c>
    </row>
    <row r="458" ht="15" customHeight="1" s="18">
      <c r="A458" s="22" t="n">
        <v>83</v>
      </c>
      <c r="B458" s="22" t="inlineStr">
        <is>
          <t>The Gallery of Becoming</t>
        </is>
      </c>
      <c r="C458" s="22" t="inlineStr">
        <is>
          <t>Sigil</t>
        </is>
      </c>
      <c r="D458" s="22" t="inlineStr">
        <is>
          <t>Paper</t>
        </is>
      </c>
      <c r="E458" s="22" t="inlineStr">
        <is>
          <t>Paper</t>
        </is>
      </c>
    </row>
    <row r="459" ht="15" customHeight="1" s="18">
      <c r="A459" s="22" t="n">
        <v>83</v>
      </c>
      <c r="B459" s="22" t="inlineStr">
        <is>
          <t>The Gallery of Becoming</t>
        </is>
      </c>
      <c r="C459" s="22" t="inlineStr">
        <is>
          <t>Sigil</t>
        </is>
      </c>
      <c r="D459" s="22" t="inlineStr">
        <is>
          <t>Gold ink</t>
        </is>
      </c>
      <c r="E459" s="22" t="inlineStr">
        <is>
          <t>gold ink</t>
        </is>
      </c>
    </row>
    <row r="460" ht="15" customHeight="1" s="18">
      <c r="A460" s="22" t="n">
        <v>83</v>
      </c>
      <c r="B460" s="22" t="inlineStr">
        <is>
          <t>The Gallery of Becoming</t>
        </is>
      </c>
      <c r="C460" s="22" t="inlineStr">
        <is>
          <t>Sigil</t>
        </is>
      </c>
      <c r="D460" s="22" t="inlineStr">
        <is>
          <t>Frankincense</t>
        </is>
      </c>
      <c r="E460" s="22" t="inlineStr">
        <is>
          <t>frankincense smoke</t>
        </is>
      </c>
    </row>
    <row r="461" ht="15" customHeight="1" s="18">
      <c r="A461" s="22" t="n">
        <v>83</v>
      </c>
      <c r="B461" s="22" t="inlineStr">
        <is>
          <t>The Gallery of Becoming</t>
        </is>
      </c>
      <c r="C461" s="22" t="inlineStr">
        <is>
          <t>Sigil</t>
        </is>
      </c>
      <c r="D461" s="22" t="inlineStr">
        <is>
          <t>Citrine</t>
        </is>
      </c>
      <c r="E461" s="22" t="inlineStr">
        <is>
          <t>citrine</t>
        </is>
      </c>
    </row>
    <row r="462" ht="15" customHeight="1" s="18">
      <c r="A462" s="22" t="n">
        <v>84</v>
      </c>
      <c r="B462" s="22" t="inlineStr">
        <is>
          <t>The Artist's Entrance</t>
        </is>
      </c>
      <c r="C462" s="22" t="inlineStr">
        <is>
          <t>Glamour</t>
        </is>
      </c>
      <c r="D462" s="22" t="inlineStr">
        <is>
          <t>Rosewater</t>
        </is>
      </c>
      <c r="E462" s="22" t="inlineStr">
        <is>
          <t>Rosewater</t>
        </is>
      </c>
    </row>
    <row r="463" ht="15" customHeight="1" s="18">
      <c r="A463" s="22" t="n">
        <v>84</v>
      </c>
      <c r="B463" s="22" t="inlineStr">
        <is>
          <t>The Artist's Entrance</t>
        </is>
      </c>
      <c r="C463" s="22" t="inlineStr">
        <is>
          <t>Glamour</t>
        </is>
      </c>
      <c r="D463" s="22" t="inlineStr">
        <is>
          <t>Sunflower petals</t>
        </is>
      </c>
      <c r="E463" s="22" t="inlineStr">
        <is>
          <t>sunflower</t>
        </is>
      </c>
    </row>
    <row r="464" ht="15" customHeight="1" s="18">
      <c r="A464" s="22" t="n">
        <v>84</v>
      </c>
      <c r="B464" s="22" t="inlineStr">
        <is>
          <t>The Artist's Entrance</t>
        </is>
      </c>
      <c r="C464" s="22" t="inlineStr">
        <is>
          <t>Glamour</t>
        </is>
      </c>
      <c r="D464" s="22" t="inlineStr">
        <is>
          <t>Gold mica</t>
        </is>
      </c>
      <c r="E464" s="22" t="inlineStr">
        <is>
          <t>gold mica</t>
        </is>
      </c>
    </row>
    <row r="465" ht="15" customHeight="1" s="18">
      <c r="A465" s="22" t="n">
        <v>84</v>
      </c>
      <c r="B465" s="22" t="inlineStr">
        <is>
          <t>The Artist's Entrance</t>
        </is>
      </c>
      <c r="C465" s="22" t="inlineStr">
        <is>
          <t>Glamour</t>
        </is>
      </c>
      <c r="D465" s="22" t="inlineStr">
        <is>
          <t>Carnelian</t>
        </is>
      </c>
      <c r="E465" s="22" t="inlineStr">
        <is>
          <t>carnelian</t>
        </is>
      </c>
    </row>
    <row r="466" ht="15" customHeight="1" s="18">
      <c r="A466" s="22" t="n">
        <v>85</v>
      </c>
      <c r="B466" s="22" t="inlineStr">
        <is>
          <t>First Spark, First Flame</t>
        </is>
      </c>
      <c r="C466" s="22" t="inlineStr">
        <is>
          <t>Rune</t>
        </is>
      </c>
      <c r="D466" s="22" t="inlineStr">
        <is>
          <t>Birch wood</t>
        </is>
      </c>
      <c r="E466" s="22" t="inlineStr">
        <is>
          <t>Birch wood</t>
        </is>
      </c>
    </row>
    <row r="467" ht="15" customHeight="1" s="18">
      <c r="A467" s="22" t="n">
        <v>85</v>
      </c>
      <c r="B467" s="22" t="inlineStr">
        <is>
          <t>First Spark, First Flame</t>
        </is>
      </c>
      <c r="C467" s="22" t="inlineStr">
        <is>
          <t>Rune</t>
        </is>
      </c>
      <c r="D467" s="22" t="inlineStr">
        <is>
          <t>Red paint</t>
        </is>
      </c>
      <c r="E467" s="22" t="inlineStr">
        <is>
          <t>red paint</t>
        </is>
      </c>
    </row>
    <row r="468" ht="15" customHeight="1" s="18">
      <c r="A468" s="22" t="n">
        <v>85</v>
      </c>
      <c r="B468" s="22" t="inlineStr">
        <is>
          <t>First Spark, First Flame</t>
        </is>
      </c>
      <c r="C468" s="22" t="inlineStr">
        <is>
          <t>Rune</t>
        </is>
      </c>
      <c r="D468" s="22" t="inlineStr">
        <is>
          <t>Black pepper</t>
        </is>
      </c>
      <c r="E468" s="22" t="inlineStr">
        <is>
          <t>black pepper</t>
        </is>
      </c>
    </row>
    <row r="469" ht="15" customHeight="1" s="18">
      <c r="A469" s="22" t="n">
        <v>85</v>
      </c>
      <c r="B469" s="22" t="inlineStr">
        <is>
          <t>First Spark, First Flame</t>
        </is>
      </c>
      <c r="C469" s="22" t="inlineStr">
        <is>
          <t>Rune</t>
        </is>
      </c>
      <c r="D469" s="22" t="inlineStr">
        <is>
          <t>Carnelian</t>
        </is>
      </c>
      <c r="E469" s="22" t="inlineStr">
        <is>
          <t>carnelian</t>
        </is>
      </c>
    </row>
    <row r="470" ht="15" customHeight="1" s="18">
      <c r="A470" s="22" t="n">
        <v>86</v>
      </c>
      <c r="B470" s="22" t="inlineStr">
        <is>
          <t>The Owl's Lantern</t>
        </is>
      </c>
      <c r="C470" s="22" t="inlineStr">
        <is>
          <t>Tea</t>
        </is>
      </c>
      <c r="D470" s="22" t="inlineStr">
        <is>
          <t>Rosemary</t>
        </is>
      </c>
      <c r="E470" s="22" t="inlineStr">
        <is>
          <t>Rosemary</t>
        </is>
      </c>
    </row>
    <row r="471" ht="15" customHeight="1" s="18">
      <c r="A471" s="22" t="n">
        <v>86</v>
      </c>
      <c r="B471" s="22" t="inlineStr">
        <is>
          <t>The Owl's Lantern</t>
        </is>
      </c>
      <c r="C471" s="22" t="inlineStr">
        <is>
          <t>Tea</t>
        </is>
      </c>
      <c r="D471" s="22" t="inlineStr">
        <is>
          <t>Peppermint</t>
        </is>
      </c>
      <c r="E471" s="22" t="inlineStr">
        <is>
          <t>peppermint</t>
        </is>
      </c>
    </row>
    <row r="472" ht="15" customHeight="1" s="18">
      <c r="A472" s="22" t="n">
        <v>86</v>
      </c>
      <c r="B472" s="22" t="inlineStr">
        <is>
          <t>The Owl's Lantern</t>
        </is>
      </c>
      <c r="C472" s="22" t="inlineStr">
        <is>
          <t>Tea</t>
        </is>
      </c>
      <c r="D472" s="22" t="inlineStr">
        <is>
          <t>Black tea</t>
        </is>
      </c>
      <c r="E472" s="22" t="inlineStr">
        <is>
          <t>black tea</t>
        </is>
      </c>
    </row>
    <row r="473" ht="15" customHeight="1" s="18">
      <c r="A473" s="22" t="n">
        <v>86</v>
      </c>
      <c r="B473" s="22" t="inlineStr">
        <is>
          <t>The Owl's Lantern</t>
        </is>
      </c>
      <c r="C473" s="22" t="inlineStr">
        <is>
          <t>Tea</t>
        </is>
      </c>
      <c r="D473" s="22" t="inlineStr">
        <is>
          <t>Lemon balm</t>
        </is>
      </c>
      <c r="E473" s="22" t="inlineStr">
        <is>
          <t>lemon balm</t>
        </is>
      </c>
    </row>
    <row r="474" ht="15" customHeight="1" s="18">
      <c r="A474" s="22" t="n">
        <v>86</v>
      </c>
      <c r="B474" s="22" t="inlineStr">
        <is>
          <t>The Owl's Lantern</t>
        </is>
      </c>
      <c r="C474" s="22" t="inlineStr">
        <is>
          <t>Tea</t>
        </is>
      </c>
      <c r="D474" s="22" t="inlineStr">
        <is>
          <t>Honey</t>
        </is>
      </c>
      <c r="E474" s="22" t="inlineStr">
        <is>
          <t>honey</t>
        </is>
      </c>
    </row>
    <row r="475" ht="15" customHeight="1" s="18">
      <c r="A475" s="22" t="n">
        <v>87</v>
      </c>
      <c r="B475" s="22" t="inlineStr">
        <is>
          <t>The Fool's Golden Star</t>
        </is>
      </c>
      <c r="C475" s="22" t="inlineStr">
        <is>
          <t>Amulet</t>
        </is>
      </c>
      <c r="D475" s="22" t="inlineStr">
        <is>
          <t>Garnet</t>
        </is>
      </c>
      <c r="E475" s="22" t="inlineStr">
        <is>
          <t>Garnet</t>
        </is>
      </c>
    </row>
    <row r="476" ht="15" customHeight="1" s="18">
      <c r="A476" s="22" t="n">
        <v>87</v>
      </c>
      <c r="B476" s="22" t="inlineStr">
        <is>
          <t>The Fool's Golden Star</t>
        </is>
      </c>
      <c r="C476" s="22" t="inlineStr">
        <is>
          <t>Amulet</t>
        </is>
      </c>
      <c r="D476" s="22" t="inlineStr">
        <is>
          <t>Star-shaped button</t>
        </is>
      </c>
      <c r="E476" s="22" t="inlineStr">
        <is>
          <t>star-shaped button</t>
        </is>
      </c>
    </row>
    <row r="477" ht="15" customHeight="1" s="18">
      <c r="A477" s="22" t="n">
        <v>87</v>
      </c>
      <c r="B477" s="22" t="inlineStr">
        <is>
          <t>The Fool's Golden Star</t>
        </is>
      </c>
      <c r="C477" s="22" t="inlineStr">
        <is>
          <t>Amulet</t>
        </is>
      </c>
      <c r="D477" s="22" t="inlineStr">
        <is>
          <t>White feather</t>
        </is>
      </c>
      <c r="E477" s="22" t="inlineStr">
        <is>
          <t>white feather</t>
        </is>
      </c>
    </row>
    <row r="478" ht="15" customHeight="1" s="18">
      <c r="A478" s="22" t="n">
        <v>87</v>
      </c>
      <c r="B478" s="22" t="inlineStr">
        <is>
          <t>The Fool's Golden Star</t>
        </is>
      </c>
      <c r="C478" s="22" t="inlineStr">
        <is>
          <t>Amulet</t>
        </is>
      </c>
      <c r="D478" s="22" t="inlineStr">
        <is>
          <t>Purple thread</t>
        </is>
      </c>
      <c r="E478" s="22" t="inlineStr">
        <is>
          <t>purple thread</t>
        </is>
      </c>
    </row>
    <row r="479" ht="15" customHeight="1" s="18">
      <c r="A479" s="22" t="n">
        <v>87</v>
      </c>
      <c r="B479" s="22" t="inlineStr">
        <is>
          <t>The Fool's Golden Star</t>
        </is>
      </c>
      <c r="C479" s="22" t="inlineStr">
        <is>
          <t>Amulet</t>
        </is>
      </c>
      <c r="D479" s="22" t="inlineStr">
        <is>
          <t>Tiny bell</t>
        </is>
      </c>
      <c r="E479" s="22" t="inlineStr">
        <is>
          <t>tiny bell</t>
        </is>
      </c>
    </row>
    <row r="480" ht="15" customHeight="1" s="18">
      <c r="A480" s="22" t="n">
        <v>88</v>
      </c>
      <c r="B480" s="22" t="inlineStr">
        <is>
          <t>The Guiding Thread</t>
        </is>
      </c>
      <c r="C480" s="22" t="inlineStr">
        <is>
          <t>Charm</t>
        </is>
      </c>
      <c r="D480" s="22" t="inlineStr">
        <is>
          <t>Lapis lazuli</t>
        </is>
      </c>
      <c r="E480" s="22" t="inlineStr">
        <is>
          <t>Lapis lazuli</t>
        </is>
      </c>
    </row>
    <row r="481" ht="15" customHeight="1" s="18">
      <c r="A481" s="22" t="n">
        <v>88</v>
      </c>
      <c r="B481" s="22" t="inlineStr">
        <is>
          <t>The Guiding Thread</t>
        </is>
      </c>
      <c r="C481" s="22" t="inlineStr">
        <is>
          <t>Charm</t>
        </is>
      </c>
      <c r="D481" s="22" t="inlineStr">
        <is>
          <t>Garden sage</t>
        </is>
      </c>
      <c r="E481" s="22" t="inlineStr">
        <is>
          <t>garden sage</t>
        </is>
      </c>
    </row>
    <row r="482" ht="15" customHeight="1" s="18">
      <c r="A482" s="22" t="n">
        <v>88</v>
      </c>
      <c r="B482" s="22" t="inlineStr">
        <is>
          <t>The Guiding Thread</t>
        </is>
      </c>
      <c r="C482" s="22" t="inlineStr">
        <is>
          <t>Charm</t>
        </is>
      </c>
      <c r="D482" s="22" t="inlineStr">
        <is>
          <t>Silver bead</t>
        </is>
      </c>
      <c r="E482" s="22" t="inlineStr">
        <is>
          <t>silver bead</t>
        </is>
      </c>
    </row>
    <row r="483" ht="15" customHeight="1" s="18">
      <c r="A483" s="22" t="n">
        <v>88</v>
      </c>
      <c r="B483" s="22" t="inlineStr">
        <is>
          <t>The Guiding Thread</t>
        </is>
      </c>
      <c r="C483" s="22" t="inlineStr">
        <is>
          <t>Charm</t>
        </is>
      </c>
      <c r="D483" s="22" t="inlineStr">
        <is>
          <t>Owl feather</t>
        </is>
      </c>
      <c r="E483" s="22" t="inlineStr">
        <is>
          <t>owl feather</t>
        </is>
      </c>
    </row>
    <row r="484" ht="15" customHeight="1" s="18">
      <c r="A484" s="22" t="n">
        <v>88</v>
      </c>
      <c r="B484" s="22" t="inlineStr">
        <is>
          <t>The Guiding Thread</t>
        </is>
      </c>
      <c r="C484" s="22" t="inlineStr">
        <is>
          <t>Charm</t>
        </is>
      </c>
      <c r="D484" s="22" t="inlineStr">
        <is>
          <t>Blue thread</t>
        </is>
      </c>
      <c r="E484" s="22" t="inlineStr">
        <is>
          <t>blue thread</t>
        </is>
      </c>
    </row>
    <row r="485" ht="15" customHeight="1" s="18">
      <c r="A485" s="22" t="n">
        <v>89</v>
      </c>
      <c r="B485" s="22" t="inlineStr">
        <is>
          <t>Done Is Enchanted</t>
        </is>
      </c>
      <c r="C485" s="22" t="inlineStr">
        <is>
          <t>Balm</t>
        </is>
      </c>
      <c r="D485" s="22" t="inlineStr">
        <is>
          <t>Shea butter</t>
        </is>
      </c>
      <c r="E485" s="22" t="inlineStr">
        <is>
          <t>Shea butter</t>
        </is>
      </c>
    </row>
    <row r="486" ht="15" customHeight="1" s="18">
      <c r="A486" s="22" t="n">
        <v>89</v>
      </c>
      <c r="B486" s="22" t="inlineStr">
        <is>
          <t>Done Is Enchanted</t>
        </is>
      </c>
      <c r="C486" s="22" t="inlineStr">
        <is>
          <t>Balm</t>
        </is>
      </c>
      <c r="D486" s="22" t="inlineStr">
        <is>
          <t>Lavender</t>
        </is>
      </c>
      <c r="E486" s="22" t="inlineStr">
        <is>
          <t>lavender</t>
        </is>
      </c>
    </row>
    <row r="487" ht="15" customHeight="1" s="18">
      <c r="A487" s="22" t="n">
        <v>89</v>
      </c>
      <c r="B487" s="22" t="inlineStr">
        <is>
          <t>Done Is Enchanted</t>
        </is>
      </c>
      <c r="C487" s="22" t="inlineStr">
        <is>
          <t>Balm</t>
        </is>
      </c>
      <c r="D487" s="22" t="inlineStr">
        <is>
          <t>Chamomile</t>
        </is>
      </c>
      <c r="E487" s="22" t="inlineStr">
        <is>
          <t>chamomile</t>
        </is>
      </c>
    </row>
    <row r="488" ht="15" customHeight="1" s="18">
      <c r="A488" s="22" t="n">
        <v>89</v>
      </c>
      <c r="B488" s="22" t="inlineStr">
        <is>
          <t>Done Is Enchanted</t>
        </is>
      </c>
      <c r="C488" s="22" t="inlineStr">
        <is>
          <t>Balm</t>
        </is>
      </c>
      <c r="D488" s="22" t="inlineStr">
        <is>
          <t>Howlite</t>
        </is>
      </c>
      <c r="E488" s="22" t="inlineStr">
        <is>
          <t>howlite</t>
        </is>
      </c>
    </row>
    <row r="489" ht="15" customHeight="1" s="18">
      <c r="A489" s="22" t="n">
        <v>90</v>
      </c>
      <c r="B489" s="22" t="inlineStr">
        <is>
          <t>The Pocket-Sized Triumph</t>
        </is>
      </c>
      <c r="C489" s="22" t="inlineStr">
        <is>
          <t>Cookies</t>
        </is>
      </c>
      <c r="D489" s="22" t="inlineStr">
        <is>
          <t>Oats</t>
        </is>
      </c>
      <c r="E489" s="22" t="inlineStr">
        <is>
          <t>Oats</t>
        </is>
      </c>
    </row>
    <row r="490" ht="15" customHeight="1" s="18">
      <c r="A490" s="22" t="n">
        <v>90</v>
      </c>
      <c r="B490" s="22" t="inlineStr">
        <is>
          <t>The Pocket-Sized Triumph</t>
        </is>
      </c>
      <c r="C490" s="22" t="inlineStr">
        <is>
          <t>Cookies</t>
        </is>
      </c>
      <c r="D490" s="22" t="inlineStr">
        <is>
          <t>Butter</t>
        </is>
      </c>
      <c r="E490" s="22" t="inlineStr">
        <is>
          <t>butter</t>
        </is>
      </c>
    </row>
    <row r="491" ht="15" customHeight="1" s="18">
      <c r="A491" s="22" t="n">
        <v>90</v>
      </c>
      <c r="B491" s="22" t="inlineStr">
        <is>
          <t>The Pocket-Sized Triumph</t>
        </is>
      </c>
      <c r="C491" s="22" t="inlineStr">
        <is>
          <t>Cookies</t>
        </is>
      </c>
      <c r="D491" s="22" t="inlineStr">
        <is>
          <t>Brown sugar</t>
        </is>
      </c>
      <c r="E491" s="22" t="inlineStr">
        <is>
          <t>brown sugar</t>
        </is>
      </c>
    </row>
    <row r="492" ht="15" customHeight="1" s="18">
      <c r="A492" s="22" t="n">
        <v>90</v>
      </c>
      <c r="B492" s="22" t="inlineStr">
        <is>
          <t>The Pocket-Sized Triumph</t>
        </is>
      </c>
      <c r="C492" s="22" t="inlineStr">
        <is>
          <t>Cookies</t>
        </is>
      </c>
      <c r="D492" s="22" t="inlineStr">
        <is>
          <t>Cinnamon</t>
        </is>
      </c>
      <c r="E492" s="22" t="inlineStr">
        <is>
          <t>cinnamon</t>
        </is>
      </c>
    </row>
    <row r="493" ht="15" customHeight="1" s="18">
      <c r="A493" s="22" t="n">
        <v>90</v>
      </c>
      <c r="B493" s="22" t="inlineStr">
        <is>
          <t>The Pocket-Sized Triumph</t>
        </is>
      </c>
      <c r="C493" s="22" t="inlineStr">
        <is>
          <t>Cookies</t>
        </is>
      </c>
      <c r="D493" s="22" t="inlineStr">
        <is>
          <t>Raisins</t>
        </is>
      </c>
      <c r="E493" s="22" t="inlineStr">
        <is>
          <t>raisins</t>
        </is>
      </c>
    </row>
    <row r="494" ht="15" customHeight="1" s="18">
      <c r="A494" s="22" t="n">
        <v>90</v>
      </c>
      <c r="B494" s="22" t="inlineStr">
        <is>
          <t>The Pocket-Sized Triumph</t>
        </is>
      </c>
      <c r="C494" s="22" t="inlineStr">
        <is>
          <t>Cookies</t>
        </is>
      </c>
      <c r="D494" s="22" t="inlineStr">
        <is>
          <t>Gold sprinkles</t>
        </is>
      </c>
      <c r="E494" s="22" t="inlineStr">
        <is>
          <t>gold sprinkles</t>
        </is>
      </c>
    </row>
    <row r="495" ht="15" customHeight="1" s="18">
      <c r="A495" s="22" t="n">
        <v>91</v>
      </c>
      <c r="B495" s="22" t="inlineStr">
        <is>
          <t>Stillwater Sanctuary</t>
        </is>
      </c>
      <c r="C495" s="22" t="inlineStr">
        <is>
          <t>Water</t>
        </is>
      </c>
      <c r="D495" s="22" t="inlineStr">
        <is>
          <t>Moonwater</t>
        </is>
      </c>
      <c r="E495" s="22" t="inlineStr">
        <is>
          <t>Moonwater</t>
        </is>
      </c>
    </row>
    <row r="496" ht="15" customHeight="1" s="18">
      <c r="A496" s="22" t="n">
        <v>91</v>
      </c>
      <c r="B496" s="22" t="inlineStr">
        <is>
          <t>Stillwater Sanctuary</t>
        </is>
      </c>
      <c r="C496" s="22" t="inlineStr">
        <is>
          <t>Water</t>
        </is>
      </c>
      <c r="D496" s="22" t="inlineStr">
        <is>
          <t>Lavender</t>
        </is>
      </c>
      <c r="E496" s="22" t="inlineStr">
        <is>
          <t>lavender</t>
        </is>
      </c>
    </row>
    <row r="497" ht="15" customHeight="1" s="18">
      <c r="A497" s="22" t="n">
        <v>91</v>
      </c>
      <c r="B497" s="22" t="inlineStr">
        <is>
          <t>Stillwater Sanctuary</t>
        </is>
      </c>
      <c r="C497" s="22" t="inlineStr">
        <is>
          <t>Water</t>
        </is>
      </c>
      <c r="D497" s="22" t="inlineStr">
        <is>
          <t>Chamomile</t>
        </is>
      </c>
      <c r="E497" s="22" t="inlineStr">
        <is>
          <t>chamomile</t>
        </is>
      </c>
    </row>
    <row r="498" ht="15" customHeight="1" s="18">
      <c r="A498" s="22" t="n">
        <v>91</v>
      </c>
      <c r="B498" s="22" t="inlineStr">
        <is>
          <t>Stillwater Sanctuary</t>
        </is>
      </c>
      <c r="C498" s="22" t="inlineStr">
        <is>
          <t>Water</t>
        </is>
      </c>
      <c r="D498" s="22" t="inlineStr">
        <is>
          <t>Blue lace agate</t>
        </is>
      </c>
      <c r="E498" s="22" t="inlineStr">
        <is>
          <t>blue lace agate</t>
        </is>
      </c>
    </row>
    <row r="499" ht="15" customHeight="1" s="18">
      <c r="A499" s="22" t="n">
        <v>92</v>
      </c>
      <c r="B499" s="22" t="inlineStr">
        <is>
          <t>Raincloud Release</t>
        </is>
      </c>
      <c r="C499" s="22" t="inlineStr">
        <is>
          <t>Bath Salt</t>
        </is>
      </c>
      <c r="D499" s="22" t="inlineStr">
        <is>
          <t>Epsom salt</t>
        </is>
      </c>
      <c r="E499" s="22" t="inlineStr">
        <is>
          <t>Epsom salt</t>
        </is>
      </c>
    </row>
    <row r="500" ht="15" customHeight="1" s="18">
      <c r="A500" s="22" t="n">
        <v>92</v>
      </c>
      <c r="B500" s="22" t="inlineStr">
        <is>
          <t>Raincloud Release</t>
        </is>
      </c>
      <c r="C500" s="22" t="inlineStr">
        <is>
          <t>Bath Salt</t>
        </is>
      </c>
      <c r="D500" s="22" t="inlineStr">
        <is>
          <t>Rainwater</t>
        </is>
      </c>
      <c r="E500" s="22" t="inlineStr">
        <is>
          <t>Rainwater</t>
        </is>
      </c>
    </row>
    <row r="501" ht="15" customHeight="1" s="18">
      <c r="A501" s="22" t="n">
        <v>92</v>
      </c>
      <c r="B501" s="22" t="inlineStr">
        <is>
          <t>Raincloud Release</t>
        </is>
      </c>
      <c r="C501" s="22" t="inlineStr">
        <is>
          <t>Bath Salt</t>
        </is>
      </c>
      <c r="D501" s="22" t="inlineStr">
        <is>
          <t>Eucalyptus</t>
        </is>
      </c>
      <c r="E501" s="22" t="inlineStr">
        <is>
          <t>eucalyptus</t>
        </is>
      </c>
    </row>
    <row r="502" ht="15" customHeight="1" s="18">
      <c r="A502" s="22" t="n">
        <v>92</v>
      </c>
      <c r="B502" s="22" t="inlineStr">
        <is>
          <t>Raincloud Release</t>
        </is>
      </c>
      <c r="C502" s="22" t="inlineStr">
        <is>
          <t>Bath Salt</t>
        </is>
      </c>
      <c r="D502" s="22" t="inlineStr">
        <is>
          <t>Rosemary</t>
        </is>
      </c>
      <c r="E502" s="22" t="inlineStr">
        <is>
          <t>rosemary</t>
        </is>
      </c>
    </row>
    <row r="503" ht="15" customHeight="1" s="18">
      <c r="A503" s="22" t="n">
        <v>92</v>
      </c>
      <c r="B503" s="22" t="inlineStr">
        <is>
          <t>Raincloud Release</t>
        </is>
      </c>
      <c r="C503" s="22" t="inlineStr">
        <is>
          <t>Bath Salt</t>
        </is>
      </c>
      <c r="D503" s="22" t="inlineStr">
        <is>
          <t>Obsidian</t>
        </is>
      </c>
      <c r="E503" s="22" t="inlineStr">
        <is>
          <t>obsidian (Apache tear)</t>
        </is>
      </c>
    </row>
    <row r="504" ht="15" customHeight="1" s="18">
      <c r="A504" s="22" t="n">
        <v>93</v>
      </c>
      <c r="B504" s="22" t="inlineStr">
        <is>
          <t>The Bitterroot Unbound</t>
        </is>
      </c>
      <c r="C504" s="22" t="inlineStr">
        <is>
          <t>Oil</t>
        </is>
      </c>
      <c r="D504" s="22" t="inlineStr">
        <is>
          <t>Olive oil</t>
        </is>
      </c>
      <c r="E504" s="22" t="inlineStr">
        <is>
          <t>Olive oil</t>
        </is>
      </c>
    </row>
    <row r="505" ht="15" customHeight="1" s="18">
      <c r="A505" s="22" t="n">
        <v>93</v>
      </c>
      <c r="B505" s="22" t="inlineStr">
        <is>
          <t>The Bitterroot Unbound</t>
        </is>
      </c>
      <c r="C505" s="22" t="inlineStr">
        <is>
          <t>Oil</t>
        </is>
      </c>
      <c r="D505" s="22" t="inlineStr">
        <is>
          <t>Dandelion root</t>
        </is>
      </c>
      <c r="E505" s="22" t="inlineStr">
        <is>
          <t>dandelion root</t>
        </is>
      </c>
    </row>
    <row r="506" ht="15" customHeight="1" s="18">
      <c r="A506" s="22" t="n">
        <v>93</v>
      </c>
      <c r="B506" s="22" t="inlineStr">
        <is>
          <t>The Bitterroot Unbound</t>
        </is>
      </c>
      <c r="C506" s="22" t="inlineStr">
        <is>
          <t>Oil</t>
        </is>
      </c>
      <c r="D506" s="22" t="inlineStr">
        <is>
          <t>Lime peel</t>
        </is>
      </c>
      <c r="E506" s="22" t="inlineStr">
        <is>
          <t>lime peel</t>
        </is>
      </c>
    </row>
    <row r="507" ht="15" customHeight="1" s="18">
      <c r="A507" s="22" t="n">
        <v>93</v>
      </c>
      <c r="B507" s="22" t="inlineStr">
        <is>
          <t>The Bitterroot Unbound</t>
        </is>
      </c>
      <c r="C507" s="22" t="inlineStr">
        <is>
          <t>Oil</t>
        </is>
      </c>
      <c r="D507" s="22" t="inlineStr">
        <is>
          <t>Angelica root</t>
        </is>
      </c>
      <c r="E507" s="22" t="inlineStr">
        <is>
          <t>angelica root</t>
        </is>
      </c>
    </row>
    <row r="508" ht="15" customHeight="1" s="18">
      <c r="A508" s="22" t="n">
        <v>93</v>
      </c>
      <c r="B508" s="22" t="inlineStr">
        <is>
          <t>The Bitterroot Unbound</t>
        </is>
      </c>
      <c r="C508" s="22" t="inlineStr">
        <is>
          <t>Oil</t>
        </is>
      </c>
      <c r="D508" s="22" t="inlineStr">
        <is>
          <t>Obsidian</t>
        </is>
      </c>
      <c r="E508" s="22" t="inlineStr">
        <is>
          <t>obsidian</t>
        </is>
      </c>
    </row>
    <row r="509" ht="15" customHeight="1" s="18">
      <c r="A509" s="22" t="n">
        <v>94</v>
      </c>
      <c r="B509" s="22" t="inlineStr">
        <is>
          <t>The Mercy Garden</t>
        </is>
      </c>
      <c r="C509" s="22" t="inlineStr">
        <is>
          <t>Balm</t>
        </is>
      </c>
      <c r="D509" s="22" t="inlineStr">
        <is>
          <t>Shea butter</t>
        </is>
      </c>
      <c r="E509" s="22" t="inlineStr">
        <is>
          <t>Shea butter</t>
        </is>
      </c>
    </row>
    <row r="510" ht="15" customHeight="1" s="18">
      <c r="A510" s="22" t="n">
        <v>94</v>
      </c>
      <c r="B510" s="22" t="inlineStr">
        <is>
          <t>The Mercy Garden</t>
        </is>
      </c>
      <c r="C510" s="22" t="inlineStr">
        <is>
          <t>Balm</t>
        </is>
      </c>
      <c r="D510" s="22" t="inlineStr">
        <is>
          <t>Calendula</t>
        </is>
      </c>
      <c r="E510" s="22" t="inlineStr">
        <is>
          <t>calendula</t>
        </is>
      </c>
    </row>
    <row r="511" ht="15" customHeight="1" s="18">
      <c r="A511" s="22" t="n">
        <v>94</v>
      </c>
      <c r="B511" s="22" t="inlineStr">
        <is>
          <t>The Mercy Garden</t>
        </is>
      </c>
      <c r="C511" s="22" t="inlineStr">
        <is>
          <t>Balm</t>
        </is>
      </c>
      <c r="D511" s="22" t="inlineStr">
        <is>
          <t>Rose</t>
        </is>
      </c>
      <c r="E511" s="22" t="inlineStr">
        <is>
          <t>rose</t>
        </is>
      </c>
    </row>
    <row r="512" ht="15" customHeight="1" s="18">
      <c r="A512" s="22" t="n">
        <v>94</v>
      </c>
      <c r="B512" s="22" t="inlineStr">
        <is>
          <t>The Mercy Garden</t>
        </is>
      </c>
      <c r="C512" s="22" t="inlineStr">
        <is>
          <t>Balm</t>
        </is>
      </c>
      <c r="D512" s="22" t="inlineStr">
        <is>
          <t>Chamomile</t>
        </is>
      </c>
      <c r="E512" s="22" t="inlineStr">
        <is>
          <t>chamomile</t>
        </is>
      </c>
    </row>
    <row r="513" ht="15" customHeight="1" s="18">
      <c r="A513" s="22" t="n">
        <v>94</v>
      </c>
      <c r="B513" s="22" t="inlineStr">
        <is>
          <t>The Mercy Garden</t>
        </is>
      </c>
      <c r="C513" s="22" t="inlineStr">
        <is>
          <t>Balm</t>
        </is>
      </c>
      <c r="D513" s="22" t="inlineStr">
        <is>
          <t>Rhodonite</t>
        </is>
      </c>
      <c r="E513" s="22" t="inlineStr">
        <is>
          <t>rhodonite</t>
        </is>
      </c>
    </row>
    <row r="514" ht="15" customHeight="1" s="18">
      <c r="A514" s="22" t="n">
        <v>95</v>
      </c>
      <c r="B514" s="22" t="inlineStr">
        <is>
          <t>Lavender Hour</t>
        </is>
      </c>
      <c r="C514" s="22" t="inlineStr">
        <is>
          <t>Tea</t>
        </is>
      </c>
      <c r="D514" s="22" t="inlineStr">
        <is>
          <t>Lavender</t>
        </is>
      </c>
      <c r="E514" s="22" t="inlineStr">
        <is>
          <t>Lavender</t>
        </is>
      </c>
    </row>
    <row r="515" ht="15" customHeight="1" s="18">
      <c r="A515" s="22" t="n">
        <v>95</v>
      </c>
      <c r="B515" s="22" t="inlineStr">
        <is>
          <t>Lavender Hour</t>
        </is>
      </c>
      <c r="C515" s="22" t="inlineStr">
        <is>
          <t>Tea</t>
        </is>
      </c>
      <c r="D515" s="22" t="inlineStr">
        <is>
          <t>Chamomile</t>
        </is>
      </c>
      <c r="E515" s="22" t="inlineStr">
        <is>
          <t>chamomile</t>
        </is>
      </c>
    </row>
    <row r="516" ht="15" customHeight="1" s="18">
      <c r="A516" s="22" t="n">
        <v>95</v>
      </c>
      <c r="B516" s="22" t="inlineStr">
        <is>
          <t>Lavender Hour</t>
        </is>
      </c>
      <c r="C516" s="22" t="inlineStr">
        <is>
          <t>Tea</t>
        </is>
      </c>
      <c r="D516" s="22" t="inlineStr">
        <is>
          <t>Lemon balm</t>
        </is>
      </c>
      <c r="E516" s="22" t="inlineStr">
        <is>
          <t>lemon balm</t>
        </is>
      </c>
    </row>
    <row r="517" ht="15" customHeight="1" s="18">
      <c r="A517" s="22" t="n">
        <v>95</v>
      </c>
      <c r="B517" s="22" t="inlineStr">
        <is>
          <t>Lavender Hour</t>
        </is>
      </c>
      <c r="C517" s="22" t="inlineStr">
        <is>
          <t>Tea</t>
        </is>
      </c>
      <c r="D517" s="22" t="inlineStr">
        <is>
          <t>Valerian</t>
        </is>
      </c>
      <c r="E517" s="22" t="inlineStr">
        <is>
          <t>valerian</t>
        </is>
      </c>
    </row>
    <row r="518" ht="15" customHeight="1" s="18">
      <c r="A518" s="22" t="n">
        <v>95</v>
      </c>
      <c r="B518" s="22" t="inlineStr">
        <is>
          <t>Lavender Hour</t>
        </is>
      </c>
      <c r="C518" s="22" t="inlineStr">
        <is>
          <t>Tea</t>
        </is>
      </c>
      <c r="D518" s="22" t="inlineStr">
        <is>
          <t>Milk</t>
        </is>
      </c>
      <c r="E518" s="22" t="inlineStr">
        <is>
          <t>milk</t>
        </is>
      </c>
    </row>
    <row r="519" ht="15" customHeight="1" s="18">
      <c r="A519" s="22" t="n">
        <v>96</v>
      </c>
      <c r="B519" s="22" t="inlineStr">
        <is>
          <t>The Last Candle</t>
        </is>
      </c>
      <c r="C519" s="22" t="inlineStr">
        <is>
          <t>Incense</t>
        </is>
      </c>
      <c r="D519" s="22" t="inlineStr">
        <is>
          <t>Sandalwood</t>
        </is>
      </c>
      <c r="E519" s="22" t="inlineStr">
        <is>
          <t>Sandalwood</t>
        </is>
      </c>
    </row>
    <row r="520" ht="15" customHeight="1" s="18">
      <c r="A520" s="22" t="n">
        <v>96</v>
      </c>
      <c r="B520" s="22" t="inlineStr">
        <is>
          <t>The Last Candle</t>
        </is>
      </c>
      <c r="C520" s="22" t="inlineStr">
        <is>
          <t>Incense</t>
        </is>
      </c>
      <c r="D520" s="22" t="inlineStr">
        <is>
          <t>Lavender</t>
        </is>
      </c>
      <c r="E520" s="22" t="inlineStr">
        <is>
          <t>lavender</t>
        </is>
      </c>
    </row>
    <row r="521" ht="15" customHeight="1" s="18">
      <c r="A521" s="22" t="n">
        <v>96</v>
      </c>
      <c r="B521" s="22" t="inlineStr">
        <is>
          <t>The Last Candle</t>
        </is>
      </c>
      <c r="C521" s="22" t="inlineStr">
        <is>
          <t>Incense</t>
        </is>
      </c>
      <c r="D521" s="22" t="inlineStr">
        <is>
          <t>Vanilla</t>
        </is>
      </c>
      <c r="E521" s="22" t="inlineStr">
        <is>
          <t>vanilla</t>
        </is>
      </c>
    </row>
    <row r="522" ht="15" customHeight="1" s="18">
      <c r="A522" s="22" t="n">
        <v>96</v>
      </c>
      <c r="B522" s="22" t="inlineStr">
        <is>
          <t>The Last Candle</t>
        </is>
      </c>
      <c r="C522" s="22" t="inlineStr">
        <is>
          <t>Incense</t>
        </is>
      </c>
      <c r="D522" s="22" t="inlineStr">
        <is>
          <t>Copal</t>
        </is>
      </c>
      <c r="E522" s="22" t="inlineStr">
        <is>
          <t>copal</t>
        </is>
      </c>
    </row>
    <row r="523" ht="15" customHeight="1" s="18">
      <c r="A523" s="22" t="n">
        <v>97</v>
      </c>
      <c r="B523" s="22" t="inlineStr">
        <is>
          <t>The Earth Remembers</t>
        </is>
      </c>
      <c r="C523" s="22" t="inlineStr">
        <is>
          <t>Witch Salt</t>
        </is>
      </c>
      <c r="D523" s="22" t="inlineStr">
        <is>
          <t>Sea salt</t>
        </is>
      </c>
      <c r="E523" s="22" t="inlineStr">
        <is>
          <t>Sea salt</t>
        </is>
      </c>
    </row>
    <row r="524" ht="15" customHeight="1" s="18">
      <c r="A524" s="22" t="n">
        <v>97</v>
      </c>
      <c r="B524" s="22" t="inlineStr">
        <is>
          <t>The Earth Remembers</t>
        </is>
      </c>
      <c r="C524" s="22" t="inlineStr">
        <is>
          <t>Witch Salt</t>
        </is>
      </c>
      <c r="D524" s="22" t="inlineStr">
        <is>
          <t>Garden soil</t>
        </is>
      </c>
      <c r="E524" s="22" t="inlineStr">
        <is>
          <t>a pinch of garden soil</t>
        </is>
      </c>
    </row>
    <row r="525" ht="15" customHeight="1" s="18">
      <c r="A525" s="22" t="n">
        <v>97</v>
      </c>
      <c r="B525" s="22" t="inlineStr">
        <is>
          <t>The Earth Remembers</t>
        </is>
      </c>
      <c r="C525" s="22" t="inlineStr">
        <is>
          <t>Witch Salt</t>
        </is>
      </c>
      <c r="D525" s="22" t="inlineStr">
        <is>
          <t>Patchouli</t>
        </is>
      </c>
      <c r="E525" s="22" t="inlineStr">
        <is>
          <t>patchouli</t>
        </is>
      </c>
    </row>
    <row r="526" ht="15" customHeight="1" s="18">
      <c r="A526" s="22" t="n">
        <v>97</v>
      </c>
      <c r="B526" s="22" t="inlineStr">
        <is>
          <t>The Earth Remembers</t>
        </is>
      </c>
      <c r="C526" s="22" t="inlineStr">
        <is>
          <t>Witch Salt</t>
        </is>
      </c>
      <c r="D526" s="22" t="inlineStr">
        <is>
          <t>Oak moss</t>
        </is>
      </c>
      <c r="E526" s="22" t="inlineStr">
        <is>
          <t>oak moss</t>
        </is>
      </c>
    </row>
    <row r="527" ht="15" customHeight="1" s="18">
      <c r="A527" s="22" t="n">
        <v>97</v>
      </c>
      <c r="B527" s="22" t="inlineStr">
        <is>
          <t>The Earth Remembers</t>
        </is>
      </c>
      <c r="C527" s="22" t="inlineStr">
        <is>
          <t>Witch Salt</t>
        </is>
      </c>
      <c r="D527" s="22" t="inlineStr">
        <is>
          <t>Smoky quartz</t>
        </is>
      </c>
      <c r="E527" s="22" t="inlineStr">
        <is>
          <t>smoky quartz</t>
        </is>
      </c>
    </row>
    <row r="528" ht="15" customHeight="1" s="18">
      <c r="A528" s="22" t="n">
        <v>98</v>
      </c>
      <c r="B528" s="22" t="inlineStr">
        <is>
          <t>The Soft Return</t>
        </is>
      </c>
      <c r="C528" s="22" t="inlineStr">
        <is>
          <t>Soap</t>
        </is>
      </c>
      <c r="D528" s="22" t="inlineStr">
        <is>
          <t>Soap base</t>
        </is>
      </c>
      <c r="E528" s="22" t="inlineStr">
        <is>
          <t>Oat milk soap base</t>
        </is>
      </c>
    </row>
    <row r="529" ht="15" customHeight="1" s="18">
      <c r="A529" s="22" t="n">
        <v>98</v>
      </c>
      <c r="B529" s="22" t="inlineStr">
        <is>
          <t>The Soft Return</t>
        </is>
      </c>
      <c r="C529" s="22" t="inlineStr">
        <is>
          <t>Soap</t>
        </is>
      </c>
      <c r="D529" s="22" t="inlineStr">
        <is>
          <t>Honey</t>
        </is>
      </c>
      <c r="E529" s="22" t="inlineStr">
        <is>
          <t>honey</t>
        </is>
      </c>
    </row>
    <row r="530" ht="15" customHeight="1" s="18">
      <c r="A530" s="22" t="n">
        <v>98</v>
      </c>
      <c r="B530" s="22" t="inlineStr">
        <is>
          <t>The Soft Return</t>
        </is>
      </c>
      <c r="C530" s="22" t="inlineStr">
        <is>
          <t>Soap</t>
        </is>
      </c>
      <c r="D530" s="22" t="inlineStr">
        <is>
          <t>Rose</t>
        </is>
      </c>
      <c r="E530" s="22" t="inlineStr">
        <is>
          <t>rose</t>
        </is>
      </c>
    </row>
    <row r="531" ht="15" customHeight="1" s="18">
      <c r="A531" s="22" t="n">
        <v>98</v>
      </c>
      <c r="B531" s="22" t="inlineStr">
        <is>
          <t>The Soft Return</t>
        </is>
      </c>
      <c r="C531" s="22" t="inlineStr">
        <is>
          <t>Soap</t>
        </is>
      </c>
      <c r="D531" s="22" t="inlineStr">
        <is>
          <t>Rose clay</t>
        </is>
      </c>
      <c r="E531" s="22" t="inlineStr">
        <is>
          <t>rose clay</t>
        </is>
      </c>
    </row>
    <row r="532" ht="15" customHeight="1" s="18">
      <c r="A532" s="22" t="n">
        <v>99</v>
      </c>
      <c r="B532" s="22" t="inlineStr">
        <is>
          <t>The Open Palm</t>
        </is>
      </c>
      <c r="C532" s="22" t="inlineStr">
        <is>
          <t>Rune</t>
        </is>
      </c>
      <c r="D532" s="22" t="inlineStr">
        <is>
          <t>River stone</t>
        </is>
      </c>
      <c r="E532" s="22" t="inlineStr">
        <is>
          <t>River stone</t>
        </is>
      </c>
    </row>
    <row r="533" ht="15" customHeight="1" s="18">
      <c r="A533" s="22" t="n">
        <v>99</v>
      </c>
      <c r="B533" s="22" t="inlineStr">
        <is>
          <t>The Open Palm</t>
        </is>
      </c>
      <c r="C533" s="22" t="inlineStr">
        <is>
          <t>Rune</t>
        </is>
      </c>
      <c r="D533" s="22" t="inlineStr">
        <is>
          <t>Willow bark</t>
        </is>
      </c>
      <c r="E533" s="22" t="inlineStr">
        <is>
          <t>willow bark</t>
        </is>
      </c>
    </row>
    <row r="534" ht="15" customHeight="1" s="18">
      <c r="A534" s="22" t="n">
        <v>99</v>
      </c>
      <c r="B534" s="22" t="inlineStr">
        <is>
          <t>The Open Palm</t>
        </is>
      </c>
      <c r="C534" s="22" t="inlineStr">
        <is>
          <t>Rune</t>
        </is>
      </c>
      <c r="D534" s="22" t="inlineStr">
        <is>
          <t>Howlite</t>
        </is>
      </c>
      <c r="E534" s="22" t="inlineStr">
        <is>
          <t>howlite</t>
        </is>
      </c>
    </row>
    <row r="535" ht="15" customHeight="1" s="18">
      <c r="A535" s="22" t="n">
        <v>100</v>
      </c>
      <c r="B535" s="22" t="inlineStr">
        <is>
          <t>The Unwritten Page</t>
        </is>
      </c>
      <c r="C535" s="22" t="inlineStr">
        <is>
          <t>Poppet</t>
        </is>
      </c>
      <c r="D535" s="22" t="inlineStr">
        <is>
          <t>Muslin</t>
        </is>
      </c>
      <c r="E535" s="22" t="inlineStr">
        <is>
          <t>White muslin</t>
        </is>
      </c>
    </row>
    <row r="536" ht="15" customHeight="1" s="18">
      <c r="A536" s="22" t="n">
        <v>100</v>
      </c>
      <c r="B536" s="22" t="inlineStr">
        <is>
          <t>The Unwritten Page</t>
        </is>
      </c>
      <c r="C536" s="22" t="inlineStr">
        <is>
          <t>Poppet</t>
        </is>
      </c>
      <c r="D536" s="22" t="inlineStr">
        <is>
          <t>Grey thread</t>
        </is>
      </c>
      <c r="E536" s="22" t="inlineStr">
        <is>
          <t>grey thread</t>
        </is>
      </c>
    </row>
    <row r="537" ht="15" customHeight="1" s="18">
      <c r="A537" s="22" t="n">
        <v>100</v>
      </c>
      <c r="B537" s="22" t="inlineStr">
        <is>
          <t>The Unwritten Page</t>
        </is>
      </c>
      <c r="C537" s="22" t="inlineStr">
        <is>
          <t>Poppet</t>
        </is>
      </c>
      <c r="D537" s="22" t="inlineStr">
        <is>
          <t>Dandelion root</t>
        </is>
      </c>
      <c r="E537" s="22" t="inlineStr">
        <is>
          <t>dandelion root</t>
        </is>
      </c>
    </row>
    <row r="538" ht="15" customHeight="1" s="18">
      <c r="A538" s="22" t="n">
        <v>100</v>
      </c>
      <c r="B538" s="22" t="inlineStr">
        <is>
          <t>The Unwritten Page</t>
        </is>
      </c>
      <c r="C538" s="22" t="inlineStr">
        <is>
          <t>Poppet</t>
        </is>
      </c>
      <c r="D538" s="22" t="inlineStr">
        <is>
          <t>Rose</t>
        </is>
      </c>
      <c r="E538" s="22" t="inlineStr">
        <is>
          <t>rose</t>
        </is>
      </c>
    </row>
    <row r="539" ht="15" customHeight="1" s="18">
      <c r="A539" s="22" t="n">
        <v>100</v>
      </c>
      <c r="B539" s="22" t="inlineStr">
        <is>
          <t>The Unwritten Page</t>
        </is>
      </c>
      <c r="C539" s="22" t="inlineStr">
        <is>
          <t>Poppet</t>
        </is>
      </c>
      <c r="D539" s="22" t="inlineStr">
        <is>
          <t>Wax seal</t>
        </is>
      </c>
      <c r="E539" s="22" t="inlineStr">
        <is>
          <t>wax seal</t>
        </is>
      </c>
    </row>
    <row r="540" ht="15" customHeight="1" s="18">
      <c r="A540" s="22" t="n">
        <v>101</v>
      </c>
      <c r="B540" s="22" t="inlineStr">
        <is>
          <t>The Golden Ordinary</t>
        </is>
      </c>
      <c r="C540" s="22" t="inlineStr">
        <is>
          <t>Potion</t>
        </is>
      </c>
      <c r="D540" s="22" t="inlineStr">
        <is>
          <t>Sunwater</t>
        </is>
      </c>
      <c r="E540" s="22" t="inlineStr">
        <is>
          <t>Sunwater</t>
        </is>
      </c>
    </row>
    <row r="541" ht="15" customHeight="1" s="18">
      <c r="A541" s="22" t="n">
        <v>101</v>
      </c>
      <c r="B541" s="22" t="inlineStr">
        <is>
          <t>The Golden Ordinary</t>
        </is>
      </c>
      <c r="C541" s="22" t="inlineStr">
        <is>
          <t>Potion</t>
        </is>
      </c>
      <c r="D541" s="22" t="inlineStr">
        <is>
          <t>Honey</t>
        </is>
      </c>
      <c r="E541" s="22" t="inlineStr">
        <is>
          <t>honey</t>
        </is>
      </c>
    </row>
    <row r="542" ht="15" customHeight="1" s="18">
      <c r="A542" s="22" t="n">
        <v>101</v>
      </c>
      <c r="B542" s="22" t="inlineStr">
        <is>
          <t>The Golden Ordinary</t>
        </is>
      </c>
      <c r="C542" s="22" t="inlineStr">
        <is>
          <t>Potion</t>
        </is>
      </c>
      <c r="D542" s="22" t="inlineStr">
        <is>
          <t>Orange</t>
        </is>
      </c>
      <c r="E542" s="22" t="inlineStr">
        <is>
          <t>orange</t>
        </is>
      </c>
    </row>
    <row r="543" ht="15" customHeight="1" s="18">
      <c r="A543" s="22" t="n">
        <v>101</v>
      </c>
      <c r="B543" s="22" t="inlineStr">
        <is>
          <t>The Golden Ordinary</t>
        </is>
      </c>
      <c r="C543" s="22" t="inlineStr">
        <is>
          <t>Potion</t>
        </is>
      </c>
      <c r="D543" s="22" t="inlineStr">
        <is>
          <t>Cinnamon</t>
        </is>
      </c>
      <c r="E543" s="22" t="inlineStr">
        <is>
          <t>cinnamon</t>
        </is>
      </c>
    </row>
    <row r="544" ht="15" customHeight="1" s="18">
      <c r="A544" s="22" t="n">
        <v>101</v>
      </c>
      <c r="B544" s="22" t="inlineStr">
        <is>
          <t>The Golden Ordinary</t>
        </is>
      </c>
      <c r="C544" s="22" t="inlineStr">
        <is>
          <t>Potion</t>
        </is>
      </c>
      <c r="D544" s="22" t="inlineStr">
        <is>
          <t>Sunflower petals</t>
        </is>
      </c>
      <c r="E544" s="22" t="inlineStr">
        <is>
          <t>sunflower</t>
        </is>
      </c>
    </row>
    <row r="545" ht="15" customHeight="1" s="18">
      <c r="A545" s="22" t="n">
        <v>101</v>
      </c>
      <c r="B545" s="22" t="inlineStr">
        <is>
          <t>The Golden Ordinary</t>
        </is>
      </c>
      <c r="C545" s="22" t="inlineStr">
        <is>
          <t>Potion</t>
        </is>
      </c>
      <c r="D545" s="22" t="inlineStr">
        <is>
          <t>Citrine</t>
        </is>
      </c>
      <c r="E545" s="22" t="inlineStr">
        <is>
          <t>citrine</t>
        </is>
      </c>
    </row>
    <row r="546" ht="15" customHeight="1" s="18">
      <c r="A546" s="22" t="n">
        <v>102</v>
      </c>
      <c r="B546" s="22" t="inlineStr">
        <is>
          <t>The Slow-Blooming Rose</t>
        </is>
      </c>
      <c r="C546" s="22" t="inlineStr">
        <is>
          <t>Sachet</t>
        </is>
      </c>
      <c r="D546" s="22" t="inlineStr">
        <is>
          <t>Rosebud</t>
        </is>
      </c>
      <c r="E546" s="22" t="inlineStr">
        <is>
          <t>Rosebud</t>
        </is>
      </c>
    </row>
    <row r="547" ht="15" customHeight="1" s="18">
      <c r="A547" s="22" t="n">
        <v>102</v>
      </c>
      <c r="B547" s="22" t="inlineStr">
        <is>
          <t>The Slow-Blooming Rose</t>
        </is>
      </c>
      <c r="C547" s="22" t="inlineStr">
        <is>
          <t>Sachet</t>
        </is>
      </c>
      <c r="D547" s="22" t="inlineStr">
        <is>
          <t>Lotus</t>
        </is>
      </c>
      <c r="E547" s="22" t="inlineStr">
        <is>
          <t>lotus</t>
        </is>
      </c>
    </row>
    <row r="548" ht="15" customHeight="1" s="18">
      <c r="A548" s="22" t="n">
        <v>102</v>
      </c>
      <c r="B548" s="22" t="inlineStr">
        <is>
          <t>The Slow-Blooming Rose</t>
        </is>
      </c>
      <c r="C548" s="22" t="inlineStr">
        <is>
          <t>Sachet</t>
        </is>
      </c>
      <c r="D548" s="22" t="inlineStr">
        <is>
          <t>Snail shell</t>
        </is>
      </c>
      <c r="E548" s="22" t="inlineStr">
        <is>
          <t>snail shell</t>
        </is>
      </c>
    </row>
    <row r="549" ht="15" customHeight="1" s="18">
      <c r="A549" s="22" t="n">
        <v>102</v>
      </c>
      <c r="B549" s="22" t="inlineStr">
        <is>
          <t>The Slow-Blooming Rose</t>
        </is>
      </c>
      <c r="C549" s="22" t="inlineStr">
        <is>
          <t>Sachet</t>
        </is>
      </c>
      <c r="D549" s="22" t="inlineStr">
        <is>
          <t>Howlite</t>
        </is>
      </c>
      <c r="E549" s="22" t="inlineStr">
        <is>
          <t>howlite</t>
        </is>
      </c>
    </row>
    <row r="550" ht="15" customHeight="1" s="18">
      <c r="A550" s="22" t="n">
        <v>102</v>
      </c>
      <c r="B550" s="22" t="inlineStr">
        <is>
          <t>The Slow-Blooming Rose</t>
        </is>
      </c>
      <c r="C550" s="22" t="inlineStr">
        <is>
          <t>Sachet</t>
        </is>
      </c>
      <c r="D550" s="22" t="inlineStr">
        <is>
          <t>Green thread</t>
        </is>
      </c>
      <c r="E550" s="22" t="inlineStr">
        <is>
          <t>green thread</t>
        </is>
      </c>
    </row>
    <row r="551" ht="15" customHeight="1" s="18">
      <c r="A551" s="22" t="n">
        <v>103</v>
      </c>
      <c r="B551" s="22" t="inlineStr">
        <is>
          <t>The Foggy Moon</t>
        </is>
      </c>
      <c r="C551" s="22" t="inlineStr">
        <is>
          <t>Hand Mirror</t>
        </is>
      </c>
      <c r="D551" s="22" t="inlineStr">
        <is>
          <t>Clamshell compact</t>
        </is>
      </c>
      <c r="E551" s="22" t="inlineStr">
        <is>
          <t>Clamshell compact</t>
        </is>
      </c>
    </row>
    <row r="552" ht="15" customHeight="1" s="18">
      <c r="A552" s="22" t="n">
        <v>103</v>
      </c>
      <c r="B552" s="22" t="inlineStr">
        <is>
          <t>The Foggy Moon</t>
        </is>
      </c>
      <c r="C552" s="22" t="inlineStr">
        <is>
          <t>Hand Mirror</t>
        </is>
      </c>
      <c r="D552" s="22" t="inlineStr">
        <is>
          <t>Moonwater</t>
        </is>
      </c>
      <c r="E552" s="22" t="inlineStr">
        <is>
          <t>Moonwater</t>
        </is>
      </c>
    </row>
    <row r="553" ht="15" customHeight="1" s="18">
      <c r="A553" s="22" t="n">
        <v>103</v>
      </c>
      <c r="B553" s="22" t="inlineStr">
        <is>
          <t>The Foggy Moon</t>
        </is>
      </c>
      <c r="C553" s="22" t="inlineStr">
        <is>
          <t>Hand Mirror</t>
        </is>
      </c>
      <c r="D553" s="22" t="inlineStr">
        <is>
          <t>Moonstone</t>
        </is>
      </c>
      <c r="E553" s="22" t="inlineStr">
        <is>
          <t>moonstone</t>
        </is>
      </c>
    </row>
    <row r="554" ht="15" customHeight="1" s="18">
      <c r="A554" s="22" t="n">
        <v>103</v>
      </c>
      <c r="B554" s="22" t="inlineStr">
        <is>
          <t>The Foggy Moon</t>
        </is>
      </c>
      <c r="C554" s="22" t="inlineStr">
        <is>
          <t>Hand Mirror</t>
        </is>
      </c>
      <c r="D554" s="22" t="inlineStr">
        <is>
          <t>Mugwort</t>
        </is>
      </c>
      <c r="E554" s="22" t="inlineStr">
        <is>
          <t>mugwort</t>
        </is>
      </c>
    </row>
    <row r="555" ht="15" customHeight="1" s="18">
      <c r="A555" s="22" t="n">
        <v>103</v>
      </c>
      <c r="B555" s="22" t="inlineStr">
        <is>
          <t>The Foggy Moon</t>
        </is>
      </c>
      <c r="C555" s="22" t="inlineStr">
        <is>
          <t>Hand Mirror</t>
        </is>
      </c>
      <c r="D555" s="22" t="inlineStr">
        <is>
          <t>Blue thread</t>
        </is>
      </c>
      <c r="E555" s="22" t="inlineStr">
        <is>
          <t>blue thread</t>
        </is>
      </c>
    </row>
    <row r="556" ht="15" customHeight="1" s="18">
      <c r="A556" s="22" t="n">
        <v>104</v>
      </c>
      <c r="B556" s="22" t="inlineStr">
        <is>
          <t>The Dawn Within</t>
        </is>
      </c>
      <c r="C556" s="22" t="inlineStr">
        <is>
          <t>Spell Bottle</t>
        </is>
      </c>
      <c r="D556" s="22" t="inlineStr">
        <is>
          <t>Dawn dew</t>
        </is>
      </c>
      <c r="E556" s="22" t="inlineStr">
        <is>
          <t>Dawn Dew</t>
        </is>
      </c>
    </row>
    <row r="557" ht="15" customHeight="1" s="18">
      <c r="A557" s="22" t="n">
        <v>104</v>
      </c>
      <c r="B557" s="22" t="inlineStr">
        <is>
          <t>The Dawn Within</t>
        </is>
      </c>
      <c r="C557" s="22" t="inlineStr">
        <is>
          <t>Spell Bottle</t>
        </is>
      </c>
      <c r="D557" s="22" t="inlineStr">
        <is>
          <t>Rose petals</t>
        </is>
      </c>
      <c r="E557" s="22" t="inlineStr">
        <is>
          <t>rose petals</t>
        </is>
      </c>
    </row>
    <row r="558" ht="15" customHeight="1" s="18">
      <c r="A558" s="22" t="n">
        <v>104</v>
      </c>
      <c r="B558" s="22" t="inlineStr">
        <is>
          <t>The Dawn Within</t>
        </is>
      </c>
      <c r="C558" s="22" t="inlineStr">
        <is>
          <t>Spell Bottle</t>
        </is>
      </c>
      <c r="D558" s="22" t="inlineStr">
        <is>
          <t>Lemon peel</t>
        </is>
      </c>
      <c r="E558" s="22" t="inlineStr">
        <is>
          <t>lemon peel</t>
        </is>
      </c>
    </row>
    <row r="559" ht="15" customHeight="1" s="18">
      <c r="A559" s="22" t="n">
        <v>104</v>
      </c>
      <c r="B559" s="22" t="inlineStr">
        <is>
          <t>The Dawn Within</t>
        </is>
      </c>
      <c r="C559" s="22" t="inlineStr">
        <is>
          <t>Spell Bottle</t>
        </is>
      </c>
      <c r="D559" s="22" t="inlineStr">
        <is>
          <t>Sunstone</t>
        </is>
      </c>
      <c r="E559" s="22" t="inlineStr">
        <is>
          <t>sunstone</t>
        </is>
      </c>
    </row>
    <row r="560" ht="15" customHeight="1" s="18">
      <c r="A560" s="22" t="n">
        <v>105</v>
      </c>
      <c r="B560" s="22" t="inlineStr">
        <is>
          <t>Permission to Be</t>
        </is>
      </c>
      <c r="C560" s="22" t="inlineStr">
        <is>
          <t>Butter</t>
        </is>
      </c>
      <c r="D560" s="22" t="inlineStr">
        <is>
          <t>Butter</t>
        </is>
      </c>
      <c r="E560" s="22" t="inlineStr">
        <is>
          <t>Butter</t>
        </is>
      </c>
    </row>
    <row r="561" ht="15" customHeight="1" s="18">
      <c r="A561" s="22" t="n">
        <v>105</v>
      </c>
      <c r="B561" s="22" t="inlineStr">
        <is>
          <t>Permission to Be</t>
        </is>
      </c>
      <c r="C561" s="22" t="inlineStr">
        <is>
          <t>Butter</t>
        </is>
      </c>
      <c r="D561" s="22" t="inlineStr">
        <is>
          <t>Honey</t>
        </is>
      </c>
      <c r="E561" s="22" t="inlineStr">
        <is>
          <t>honey</t>
        </is>
      </c>
    </row>
    <row r="562" ht="15" customHeight="1" s="18">
      <c r="A562" s="22" t="n">
        <v>105</v>
      </c>
      <c r="B562" s="22" t="inlineStr">
        <is>
          <t>Permission to Be</t>
        </is>
      </c>
      <c r="C562" s="22" t="inlineStr">
        <is>
          <t>Butter</t>
        </is>
      </c>
      <c r="D562" s="22" t="inlineStr">
        <is>
          <t>Vanilla</t>
        </is>
      </c>
      <c r="E562" s="22" t="inlineStr">
        <is>
          <t>vanilla</t>
        </is>
      </c>
    </row>
    <row r="563" ht="15" customHeight="1" s="18">
      <c r="A563" s="22" t="n">
        <v>105</v>
      </c>
      <c r="B563" s="22" t="inlineStr">
        <is>
          <t>Permission to Be</t>
        </is>
      </c>
      <c r="C563" s="22" t="inlineStr">
        <is>
          <t>Butter</t>
        </is>
      </c>
      <c r="D563" s="22" t="inlineStr">
        <is>
          <t>Chamomile</t>
        </is>
      </c>
      <c r="E563" s="22" t="inlineStr">
        <is>
          <t>chamomile</t>
        </is>
      </c>
    </row>
    <row r="564" ht="15" customHeight="1" s="18">
      <c r="A564" s="22" t="n">
        <v>106</v>
      </c>
      <c r="B564" s="22" t="inlineStr">
        <is>
          <t>The Dreaming Garden</t>
        </is>
      </c>
      <c r="C564" s="22" t="inlineStr">
        <is>
          <t>Sachet</t>
        </is>
      </c>
      <c r="D564" s="22" t="inlineStr">
        <is>
          <t>Mugwort</t>
        </is>
      </c>
      <c r="E564" s="22" t="inlineStr">
        <is>
          <t>Mugwort</t>
        </is>
      </c>
    </row>
    <row r="565" ht="15" customHeight="1" s="18">
      <c r="A565" s="22" t="n">
        <v>106</v>
      </c>
      <c r="B565" s="22" t="inlineStr">
        <is>
          <t>The Dreaming Garden</t>
        </is>
      </c>
      <c r="C565" s="22" t="inlineStr">
        <is>
          <t>Sachet</t>
        </is>
      </c>
      <c r="D565" s="22" t="inlineStr">
        <is>
          <t>Violet</t>
        </is>
      </c>
      <c r="E565" s="22" t="inlineStr">
        <is>
          <t>violet</t>
        </is>
      </c>
    </row>
    <row r="566" ht="15" customHeight="1" s="18">
      <c r="A566" s="22" t="n">
        <v>106</v>
      </c>
      <c r="B566" s="22" t="inlineStr">
        <is>
          <t>The Dreaming Garden</t>
        </is>
      </c>
      <c r="C566" s="22" t="inlineStr">
        <is>
          <t>Sachet</t>
        </is>
      </c>
      <c r="D566" s="22" t="inlineStr">
        <is>
          <t>Jasmine</t>
        </is>
      </c>
      <c r="E566" s="22" t="inlineStr">
        <is>
          <t>jasmine</t>
        </is>
      </c>
    </row>
    <row r="567" ht="15" customHeight="1" s="18">
      <c r="A567" s="22" t="n">
        <v>106</v>
      </c>
      <c r="B567" s="22" t="inlineStr">
        <is>
          <t>The Dreaming Garden</t>
        </is>
      </c>
      <c r="C567" s="22" t="inlineStr">
        <is>
          <t>Sachet</t>
        </is>
      </c>
      <c r="D567" s="22" t="inlineStr">
        <is>
          <t>Willow bark</t>
        </is>
      </c>
      <c r="E567" s="22" t="inlineStr">
        <is>
          <t>willow bark</t>
        </is>
      </c>
    </row>
    <row r="568" ht="15" customHeight="1" s="18">
      <c r="A568" s="22" t="n">
        <v>106</v>
      </c>
      <c r="B568" s="22" t="inlineStr">
        <is>
          <t>The Dreaming Garden</t>
        </is>
      </c>
      <c r="C568" s="22" t="inlineStr">
        <is>
          <t>Sachet</t>
        </is>
      </c>
      <c r="D568" s="22" t="inlineStr">
        <is>
          <t>Amethyst</t>
        </is>
      </c>
      <c r="E568" s="22" t="inlineStr">
        <is>
          <t>amethyst</t>
        </is>
      </c>
    </row>
    <row r="569" ht="15" customHeight="1" s="18">
      <c r="A569" s="22" t="n">
        <v>106</v>
      </c>
      <c r="B569" s="22" t="inlineStr">
        <is>
          <t>The Dreaming Garden</t>
        </is>
      </c>
      <c r="C569" s="22" t="inlineStr">
        <is>
          <t>Sachet</t>
        </is>
      </c>
      <c r="D569" s="22" t="inlineStr">
        <is>
          <t>Moth wing dust</t>
        </is>
      </c>
      <c r="E569" s="22" t="inlineStr">
        <is>
          <t>moth wing dust</t>
        </is>
      </c>
    </row>
    <row r="570" ht="15" customHeight="1" s="18">
      <c r="A570" s="22" t="n">
        <v>106</v>
      </c>
      <c r="B570" s="22" t="inlineStr">
        <is>
          <t>The Dreaming Garden</t>
        </is>
      </c>
      <c r="C570" s="22" t="inlineStr">
        <is>
          <t>Sachet</t>
        </is>
      </c>
      <c r="D570" s="22" t="inlineStr">
        <is>
          <t>Purple thread</t>
        </is>
      </c>
      <c r="E570" s="22" t="inlineStr">
        <is>
          <t>purple thread</t>
        </is>
      </c>
    </row>
    <row r="571" ht="15" customHeight="1" s="18">
      <c r="A571" s="22" t="n">
        <v>107</v>
      </c>
      <c r="B571" s="22" t="inlineStr">
        <is>
          <t>The Moon's Notebook</t>
        </is>
      </c>
      <c r="C571" s="22" t="inlineStr">
        <is>
          <t>Tonic</t>
        </is>
      </c>
      <c r="D571" s="22" t="inlineStr">
        <is>
          <t>Moonwater</t>
        </is>
      </c>
      <c r="E571" s="22" t="inlineStr">
        <is>
          <t>Moonwater</t>
        </is>
      </c>
    </row>
    <row r="572" ht="15" customHeight="1" s="18">
      <c r="A572" s="22" t="n">
        <v>107</v>
      </c>
      <c r="B572" s="22" t="inlineStr">
        <is>
          <t>The Moon's Notebook</t>
        </is>
      </c>
      <c r="C572" s="22" t="inlineStr">
        <is>
          <t>Tonic</t>
        </is>
      </c>
      <c r="D572" s="22" t="inlineStr">
        <is>
          <t>Mugwort</t>
        </is>
      </c>
      <c r="E572" s="22" t="inlineStr">
        <is>
          <t>a little mugwort</t>
        </is>
      </c>
    </row>
    <row r="573" ht="15" customHeight="1" s="18">
      <c r="A573" s="22" t="n">
        <v>107</v>
      </c>
      <c r="B573" s="22" t="inlineStr">
        <is>
          <t>The Moon's Notebook</t>
        </is>
      </c>
      <c r="C573" s="22" t="inlineStr">
        <is>
          <t>Tonic</t>
        </is>
      </c>
      <c r="D573" s="22" t="inlineStr">
        <is>
          <t>Jasmine</t>
        </is>
      </c>
      <c r="E573" s="22" t="inlineStr">
        <is>
          <t>jasmine</t>
        </is>
      </c>
    </row>
    <row r="574" ht="15" customHeight="1" s="18">
      <c r="A574" s="22" t="n">
        <v>107</v>
      </c>
      <c r="B574" s="22" t="inlineStr">
        <is>
          <t>The Moon's Notebook</t>
        </is>
      </c>
      <c r="C574" s="22" t="inlineStr">
        <is>
          <t>Tonic</t>
        </is>
      </c>
      <c r="D574" s="22" t="inlineStr">
        <is>
          <t>Cornflower</t>
        </is>
      </c>
      <c r="E574" s="22" t="inlineStr">
        <is>
          <t>cornflower</t>
        </is>
      </c>
    </row>
    <row r="575" ht="15" customHeight="1" s="18">
      <c r="A575" s="22" t="n">
        <v>107</v>
      </c>
      <c r="B575" s="22" t="inlineStr">
        <is>
          <t>The Moon's Notebook</t>
        </is>
      </c>
      <c r="C575" s="22" t="inlineStr">
        <is>
          <t>Tonic</t>
        </is>
      </c>
      <c r="D575" s="22" t="inlineStr">
        <is>
          <t>Poppy seeds</t>
        </is>
      </c>
      <c r="E575" s="22" t="inlineStr">
        <is>
          <t>poppy seeds</t>
        </is>
      </c>
    </row>
    <row r="576" ht="15" customHeight="1" s="18">
      <c r="A576" s="22" t="n">
        <v>108</v>
      </c>
      <c r="B576" s="22" t="inlineStr">
        <is>
          <t>The Inner Compass</t>
        </is>
      </c>
      <c r="C576" s="22" t="inlineStr">
        <is>
          <t>Amulet</t>
        </is>
      </c>
      <c r="D576" s="22" t="inlineStr">
        <is>
          <t>Labradorite</t>
        </is>
      </c>
      <c r="E576" s="22" t="inlineStr">
        <is>
          <t>Labradorite</t>
        </is>
      </c>
    </row>
    <row r="577" ht="15" customHeight="1" s="18">
      <c r="A577" s="22" t="n">
        <v>108</v>
      </c>
      <c r="B577" s="22" t="inlineStr">
        <is>
          <t>The Inner Compass</t>
        </is>
      </c>
      <c r="C577" s="22" t="inlineStr">
        <is>
          <t>Amulet</t>
        </is>
      </c>
      <c r="D577" s="22" t="inlineStr">
        <is>
          <t>Moonstone</t>
        </is>
      </c>
      <c r="E577" s="22" t="inlineStr">
        <is>
          <t>moonstone</t>
        </is>
      </c>
    </row>
    <row r="578" ht="15" customHeight="1" s="18">
      <c r="A578" s="22" t="n">
        <v>108</v>
      </c>
      <c r="B578" s="22" t="inlineStr">
        <is>
          <t>The Inner Compass</t>
        </is>
      </c>
      <c r="C578" s="22" t="inlineStr">
        <is>
          <t>Amulet</t>
        </is>
      </c>
      <c r="D578" s="22" t="inlineStr">
        <is>
          <t>Owl feather</t>
        </is>
      </c>
      <c r="E578" s="22" t="inlineStr">
        <is>
          <t>owl feather</t>
        </is>
      </c>
    </row>
    <row r="579" ht="15" customHeight="1" s="18">
      <c r="A579" s="22" t="n">
        <v>108</v>
      </c>
      <c r="B579" s="22" t="inlineStr">
        <is>
          <t>The Inner Compass</t>
        </is>
      </c>
      <c r="C579" s="22" t="inlineStr">
        <is>
          <t>Amulet</t>
        </is>
      </c>
      <c r="D579" s="22" t="inlineStr">
        <is>
          <t>Silver thread</t>
        </is>
      </c>
      <c r="E579" s="22" t="inlineStr">
        <is>
          <t>silver thread</t>
        </is>
      </c>
    </row>
    <row r="580" ht="15" customHeight="1" s="18">
      <c r="A580" s="22" t="n">
        <v>109</v>
      </c>
      <c r="B580" s="22" t="inlineStr">
        <is>
          <t>The Quiet Between Stars</t>
        </is>
      </c>
      <c r="C580" s="22" t="inlineStr">
        <is>
          <t>Incense</t>
        </is>
      </c>
      <c r="D580" s="22" t="inlineStr">
        <is>
          <t>Sandalwood</t>
        </is>
      </c>
      <c r="E580" s="22" t="inlineStr">
        <is>
          <t>Sandalwood</t>
        </is>
      </c>
    </row>
    <row r="581" ht="15" customHeight="1" s="18">
      <c r="A581" s="22" t="n">
        <v>109</v>
      </c>
      <c r="B581" s="22" t="inlineStr">
        <is>
          <t>The Quiet Between Stars</t>
        </is>
      </c>
      <c r="C581" s="22" t="inlineStr">
        <is>
          <t>Incense</t>
        </is>
      </c>
      <c r="D581" s="22" t="inlineStr">
        <is>
          <t>Frankincense</t>
        </is>
      </c>
      <c r="E581" s="22" t="inlineStr">
        <is>
          <t>frankincense</t>
        </is>
      </c>
    </row>
    <row r="582" ht="15" customHeight="1" s="18">
      <c r="A582" s="22" t="n">
        <v>109</v>
      </c>
      <c r="B582" s="22" t="inlineStr">
        <is>
          <t>The Quiet Between Stars</t>
        </is>
      </c>
      <c r="C582" s="22" t="inlineStr">
        <is>
          <t>Incense</t>
        </is>
      </c>
      <c r="D582" s="22" t="inlineStr">
        <is>
          <t>Myrrh</t>
        </is>
      </c>
      <c r="E582" s="22" t="inlineStr">
        <is>
          <t>myrrh</t>
        </is>
      </c>
    </row>
    <row r="583" ht="15" customHeight="1" s="18">
      <c r="A583" s="22" t="n">
        <v>109</v>
      </c>
      <c r="B583" s="22" t="inlineStr">
        <is>
          <t>The Quiet Between Stars</t>
        </is>
      </c>
      <c r="C583" s="22" t="inlineStr">
        <is>
          <t>Incense</t>
        </is>
      </c>
      <c r="D583" s="22" t="inlineStr">
        <is>
          <t>Lotus</t>
        </is>
      </c>
      <c r="E583" s="22" t="inlineStr">
        <is>
          <t>lotus</t>
        </is>
      </c>
    </row>
    <row r="584" ht="15" customHeight="1" s="18">
      <c r="A584" s="22" t="n">
        <v>110</v>
      </c>
      <c r="B584" s="22" t="inlineStr">
        <is>
          <t>The Green Whisper</t>
        </is>
      </c>
      <c r="C584" s="22" t="inlineStr">
        <is>
          <t>Water</t>
        </is>
      </c>
      <c r="D584" s="22" t="inlineStr">
        <is>
          <t>Rainwater</t>
        </is>
      </c>
      <c r="E584" s="22" t="inlineStr">
        <is>
          <t>Rainwater</t>
        </is>
      </c>
    </row>
    <row r="585" ht="15" customHeight="1" s="18">
      <c r="A585" s="22" t="n">
        <v>110</v>
      </c>
      <c r="B585" s="22" t="inlineStr">
        <is>
          <t>The Green Whisper</t>
        </is>
      </c>
      <c r="C585" s="22" t="inlineStr">
        <is>
          <t>Water</t>
        </is>
      </c>
      <c r="D585" s="22" t="inlineStr">
        <is>
          <t>Fern</t>
        </is>
      </c>
      <c r="E585" s="22" t="inlineStr">
        <is>
          <t>fern</t>
        </is>
      </c>
    </row>
    <row r="586" ht="15" customHeight="1" s="18">
      <c r="A586" s="22" t="n">
        <v>110</v>
      </c>
      <c r="B586" s="22" t="inlineStr">
        <is>
          <t>The Green Whisper</t>
        </is>
      </c>
      <c r="C586" s="22" t="inlineStr">
        <is>
          <t>Water</t>
        </is>
      </c>
      <c r="D586" s="22" t="inlineStr">
        <is>
          <t>Oak moss</t>
        </is>
      </c>
      <c r="E586" s="22" t="inlineStr">
        <is>
          <t>oak moss</t>
        </is>
      </c>
    </row>
    <row r="587" ht="15" customHeight="1" s="18">
      <c r="A587" s="22" t="n">
        <v>110</v>
      </c>
      <c r="B587" s="22" t="inlineStr">
        <is>
          <t>The Green Whisper</t>
        </is>
      </c>
      <c r="C587" s="22" t="inlineStr">
        <is>
          <t>Water</t>
        </is>
      </c>
      <c r="D587" s="22" t="inlineStr">
        <is>
          <t>Pine</t>
        </is>
      </c>
      <c r="E587" s="22" t="inlineStr">
        <is>
          <t>pine</t>
        </is>
      </c>
    </row>
    <row r="588" ht="15" customHeight="1" s="18">
      <c r="A588" s="22" t="n">
        <v>110</v>
      </c>
      <c r="B588" s="22" t="inlineStr">
        <is>
          <t>The Green Whisper</t>
        </is>
      </c>
      <c r="C588" s="22" t="inlineStr">
        <is>
          <t>Water</t>
        </is>
      </c>
      <c r="D588" s="22" t="inlineStr">
        <is>
          <t>Moss agate</t>
        </is>
      </c>
      <c r="E588" s="22" t="inlineStr">
        <is>
          <t>moss agate</t>
        </is>
      </c>
    </row>
    <row r="589" ht="15" customHeight="1" s="18">
      <c r="A589" s="22" t="n">
        <v>111</v>
      </c>
      <c r="B589" s="22" t="inlineStr">
        <is>
          <t>The Language of Ravens</t>
        </is>
      </c>
      <c r="C589" s="22" t="inlineStr">
        <is>
          <t>Rune</t>
        </is>
      </c>
      <c r="D589" s="22" t="inlineStr">
        <is>
          <t>Ash wood</t>
        </is>
      </c>
      <c r="E589" s="22" t="inlineStr">
        <is>
          <t>Ash wood</t>
        </is>
      </c>
    </row>
    <row r="590" ht="15" customHeight="1" s="18">
      <c r="A590" s="22" t="n">
        <v>111</v>
      </c>
      <c r="B590" s="22" t="inlineStr">
        <is>
          <t>The Language of Ravens</t>
        </is>
      </c>
      <c r="C590" s="22" t="inlineStr">
        <is>
          <t>Rune</t>
        </is>
      </c>
      <c r="D590" s="22" t="inlineStr">
        <is>
          <t>Ink</t>
        </is>
      </c>
      <c r="E590" s="22" t="inlineStr">
        <is>
          <t>ink</t>
        </is>
      </c>
    </row>
    <row r="591" ht="15" customHeight="1" s="18">
      <c r="A591" s="22" t="n">
        <v>111</v>
      </c>
      <c r="B591" s="22" t="inlineStr">
        <is>
          <t>The Language of Ravens</t>
        </is>
      </c>
      <c r="C591" s="22" t="inlineStr">
        <is>
          <t>Rune</t>
        </is>
      </c>
      <c r="D591" s="22" t="inlineStr">
        <is>
          <t>Raven feather</t>
        </is>
      </c>
      <c r="E591" s="22" t="inlineStr">
        <is>
          <t>raven feather</t>
        </is>
      </c>
    </row>
    <row r="592" ht="15" customHeight="1" s="18">
      <c r="A592" s="22" t="n">
        <v>111</v>
      </c>
      <c r="B592" s="22" t="inlineStr">
        <is>
          <t>The Language of Ravens</t>
        </is>
      </c>
      <c r="C592" s="22" t="inlineStr">
        <is>
          <t>Rune</t>
        </is>
      </c>
      <c r="D592" s="22" t="inlineStr">
        <is>
          <t>Obsidian</t>
        </is>
      </c>
      <c r="E592" s="22" t="inlineStr">
        <is>
          <t>obsidian</t>
        </is>
      </c>
    </row>
    <row r="593" ht="15" customHeight="1" s="18">
      <c r="A593" s="22" t="n">
        <v>112</v>
      </c>
      <c r="B593" s="22" t="inlineStr">
        <is>
          <t>Ink Beneath the Moon</t>
        </is>
      </c>
      <c r="C593" s="22" t="inlineStr">
        <is>
          <t>Wand</t>
        </is>
      </c>
      <c r="D593" s="22" t="inlineStr">
        <is>
          <t>Hazel branch</t>
        </is>
      </c>
      <c r="E593" s="22" t="inlineStr">
        <is>
          <t>Fallen hazel branch</t>
        </is>
      </c>
    </row>
    <row r="594" ht="15" customHeight="1" s="18">
      <c r="A594" s="22" t="n">
        <v>112</v>
      </c>
      <c r="B594" s="22" t="inlineStr">
        <is>
          <t>Ink Beneath the Moon</t>
        </is>
      </c>
      <c r="C594" s="22" t="inlineStr">
        <is>
          <t>Wand</t>
        </is>
      </c>
      <c r="D594" s="22" t="inlineStr">
        <is>
          <t>Moonstone</t>
        </is>
      </c>
      <c r="E594" s="22" t="inlineStr">
        <is>
          <t>moonstone</t>
        </is>
      </c>
    </row>
    <row r="595" ht="15" customHeight="1" s="18">
      <c r="A595" s="22" t="n">
        <v>112</v>
      </c>
      <c r="B595" s="22" t="inlineStr">
        <is>
          <t>Ink Beneath the Moon</t>
        </is>
      </c>
      <c r="C595" s="22" t="inlineStr">
        <is>
          <t>Wand</t>
        </is>
      </c>
      <c r="D595" s="22" t="inlineStr">
        <is>
          <t>Silver thread</t>
        </is>
      </c>
      <c r="E595" s="22" t="inlineStr">
        <is>
          <t>silver thread</t>
        </is>
      </c>
    </row>
    <row r="596" ht="15" customHeight="1" s="18">
      <c r="A596" s="22" t="n">
        <v>112</v>
      </c>
      <c r="B596" s="22" t="inlineStr">
        <is>
          <t>Ink Beneath the Moon</t>
        </is>
      </c>
      <c r="C596" s="22" t="inlineStr">
        <is>
          <t>Wand</t>
        </is>
      </c>
      <c r="D596" s="22" t="inlineStr">
        <is>
          <t>Quill</t>
        </is>
      </c>
      <c r="E596" s="22" t="inlineStr">
        <is>
          <t>feather quill</t>
        </is>
      </c>
    </row>
    <row r="597" ht="15" customHeight="1" s="18">
      <c r="A597" s="22" t="n">
        <v>113</v>
      </c>
      <c r="B597" s="22" t="inlineStr">
        <is>
          <t>The Little Moon Temple</t>
        </is>
      </c>
      <c r="C597" s="22" t="inlineStr">
        <is>
          <t>Witch Salt</t>
        </is>
      </c>
      <c r="D597" s="22" t="inlineStr">
        <is>
          <t>Sea salt</t>
        </is>
      </c>
      <c r="E597" s="22" t="inlineStr">
        <is>
          <t>Sea salt</t>
        </is>
      </c>
    </row>
    <row r="598" ht="15" customHeight="1" s="18">
      <c r="A598" s="22" t="n">
        <v>113</v>
      </c>
      <c r="B598" s="22" t="inlineStr">
        <is>
          <t>The Little Moon Temple</t>
        </is>
      </c>
      <c r="C598" s="22" t="inlineStr">
        <is>
          <t>Witch Salt</t>
        </is>
      </c>
      <c r="D598" s="22" t="inlineStr">
        <is>
          <t>Lavender</t>
        </is>
      </c>
      <c r="E598" s="22" t="inlineStr">
        <is>
          <t>lavender</t>
        </is>
      </c>
    </row>
    <row r="599" ht="15" customHeight="1" s="18">
      <c r="A599" s="22" t="n">
        <v>113</v>
      </c>
      <c r="B599" s="22" t="inlineStr">
        <is>
          <t>The Little Moon Temple</t>
        </is>
      </c>
      <c r="C599" s="22" t="inlineStr">
        <is>
          <t>Witch Salt</t>
        </is>
      </c>
      <c r="D599" s="22" t="inlineStr">
        <is>
          <t>Lotus</t>
        </is>
      </c>
      <c r="E599" s="22" t="inlineStr">
        <is>
          <t>lotus</t>
        </is>
      </c>
    </row>
    <row r="600" ht="15" customHeight="1" s="18">
      <c r="A600" s="22" t="n">
        <v>113</v>
      </c>
      <c r="B600" s="22" t="inlineStr">
        <is>
          <t>The Little Moon Temple</t>
        </is>
      </c>
      <c r="C600" s="22" t="inlineStr">
        <is>
          <t>Witch Salt</t>
        </is>
      </c>
      <c r="D600" s="22" t="inlineStr">
        <is>
          <t>Selenite</t>
        </is>
      </c>
      <c r="E600" s="22" t="inlineStr">
        <is>
          <t>selenite</t>
        </is>
      </c>
    </row>
    <row r="601" ht="15" customHeight="1" s="18">
      <c r="A601" s="22" t="n">
        <v>113</v>
      </c>
      <c r="B601" s="22" t="inlineStr">
        <is>
          <t>The Little Moon Temple</t>
        </is>
      </c>
      <c r="C601" s="22" t="inlineStr">
        <is>
          <t>Witch Salt</t>
        </is>
      </c>
      <c r="D601" s="22" t="inlineStr">
        <is>
          <t>Moonwater</t>
        </is>
      </c>
      <c r="E601" s="22" t="inlineStr">
        <is>
          <t>a drop of Moonwater</t>
        </is>
      </c>
    </row>
    <row r="602" ht="15" customHeight="1" s="18">
      <c r="A602" s="22" t="n">
        <v>114</v>
      </c>
      <c r="B602" s="22" t="inlineStr">
        <is>
          <t>The Unborrowed Light</t>
        </is>
      </c>
      <c r="C602" s="22" t="inlineStr">
        <is>
          <t>Sigil</t>
        </is>
      </c>
      <c r="D602" s="22" t="inlineStr">
        <is>
          <t>Paper</t>
        </is>
      </c>
      <c r="E602" s="22" t="inlineStr">
        <is>
          <t>Paper</t>
        </is>
      </c>
    </row>
    <row r="603" ht="15" customHeight="1" s="18">
      <c r="A603" s="22" t="n">
        <v>114</v>
      </c>
      <c r="B603" s="22" t="inlineStr">
        <is>
          <t>The Unborrowed Light</t>
        </is>
      </c>
      <c r="C603" s="22" t="inlineStr">
        <is>
          <t>Sigil</t>
        </is>
      </c>
      <c r="D603" s="22" t="inlineStr">
        <is>
          <t>Silver ink</t>
        </is>
      </c>
      <c r="E603" s="22" t="inlineStr">
        <is>
          <t>silver ink</t>
        </is>
      </c>
    </row>
    <row r="604" ht="15" customHeight="1" s="18">
      <c r="A604" s="22" t="n">
        <v>114</v>
      </c>
      <c r="B604" s="22" t="inlineStr">
        <is>
          <t>The Unborrowed Light</t>
        </is>
      </c>
      <c r="C604" s="22" t="inlineStr">
        <is>
          <t>Sigil</t>
        </is>
      </c>
      <c r="D604" s="22" t="inlineStr">
        <is>
          <t>Frankincense</t>
        </is>
      </c>
      <c r="E604" s="22" t="inlineStr">
        <is>
          <t>frankincense smoke</t>
        </is>
      </c>
    </row>
    <row r="605" ht="15" customHeight="1" s="18">
      <c r="A605" s="22" t="n">
        <v>114</v>
      </c>
      <c r="B605" s="22" t="inlineStr">
        <is>
          <t>The Unborrowed Light</t>
        </is>
      </c>
      <c r="C605" s="22" t="inlineStr">
        <is>
          <t>Sigil</t>
        </is>
      </c>
      <c r="D605" s="22" t="inlineStr">
        <is>
          <t>Clear quartz</t>
        </is>
      </c>
      <c r="E605" s="22" t="inlineStr">
        <is>
          <t>clear quartz</t>
        </is>
      </c>
    </row>
    <row r="606" ht="15" customHeight="1" s="18">
      <c r="A606" s="22" t="n">
        <v>115</v>
      </c>
      <c r="B606" s="22" t="inlineStr">
        <is>
          <t>The Silver Sleepgate</t>
        </is>
      </c>
      <c r="C606" s="22" t="inlineStr">
        <is>
          <t>Spell Bottle</t>
        </is>
      </c>
      <c r="D606" s="22" t="inlineStr">
        <is>
          <t>Moonwater</t>
        </is>
      </c>
      <c r="E606" s="22" t="inlineStr">
        <is>
          <t>Moonwater</t>
        </is>
      </c>
    </row>
    <row r="607" ht="15" customHeight="1" s="18">
      <c r="A607" s="22" t="n">
        <v>115</v>
      </c>
      <c r="B607" s="22" t="inlineStr">
        <is>
          <t>The Silver Sleepgate</t>
        </is>
      </c>
      <c r="C607" s="22" t="inlineStr">
        <is>
          <t>Spell Bottle</t>
        </is>
      </c>
      <c r="D607" s="22" t="inlineStr">
        <is>
          <t>Mugwort</t>
        </is>
      </c>
      <c r="E607" s="22" t="inlineStr">
        <is>
          <t>mugwort</t>
        </is>
      </c>
    </row>
    <row r="608" ht="15" customHeight="1" s="18">
      <c r="A608" s="22" t="n">
        <v>115</v>
      </c>
      <c r="B608" s="22" t="inlineStr">
        <is>
          <t>The Silver Sleepgate</t>
        </is>
      </c>
      <c r="C608" s="22" t="inlineStr">
        <is>
          <t>Spell Bottle</t>
        </is>
      </c>
      <c r="D608" s="22" t="inlineStr">
        <is>
          <t>Star anise</t>
        </is>
      </c>
      <c r="E608" s="22" t="inlineStr">
        <is>
          <t>star anise</t>
        </is>
      </c>
    </row>
    <row r="609" ht="15" customHeight="1" s="18">
      <c r="A609" s="22" t="n">
        <v>115</v>
      </c>
      <c r="B609" s="22" t="inlineStr">
        <is>
          <t>The Silver Sleepgate</t>
        </is>
      </c>
      <c r="C609" s="22" t="inlineStr">
        <is>
          <t>Spell Bottle</t>
        </is>
      </c>
      <c r="D609" s="22" t="inlineStr">
        <is>
          <t>Silver glitter</t>
        </is>
      </c>
      <c r="E609" s="22" t="inlineStr">
        <is>
          <t>silver glitter</t>
        </is>
      </c>
    </row>
    <row r="610" ht="15" customHeight="1" s="18">
      <c r="A610" s="22" t="n">
        <v>115</v>
      </c>
      <c r="B610" s="22" t="inlineStr">
        <is>
          <t>The Silver Sleepgate</t>
        </is>
      </c>
      <c r="C610" s="22" t="inlineStr">
        <is>
          <t>Spell Bottle</t>
        </is>
      </c>
      <c r="D610" s="22" t="inlineStr">
        <is>
          <t>Amethyst</t>
        </is>
      </c>
      <c r="E610" s="22" t="inlineStr">
        <is>
          <t>amethyst</t>
        </is>
      </c>
    </row>
    <row r="611" ht="15" customHeight="1" s="18">
      <c r="A611" s="22" t="n">
        <v>115</v>
      </c>
      <c r="B611" s="22" t="inlineStr">
        <is>
          <t>The Silver Sleepgate</t>
        </is>
      </c>
      <c r="C611" s="22" t="inlineStr">
        <is>
          <t>Spell Bottle</t>
        </is>
      </c>
      <c r="D611" s="22" t="inlineStr">
        <is>
          <t>Owl feather</t>
        </is>
      </c>
      <c r="E611" s="22" t="inlineStr">
        <is>
          <t>owl feather</t>
        </is>
      </c>
    </row>
    <row r="612" ht="15" customHeight="1" s="18">
      <c r="A612" s="22" t="n">
        <v>116</v>
      </c>
      <c r="B612" s="22" t="inlineStr">
        <is>
          <t>The Phoenix's First Petal</t>
        </is>
      </c>
      <c r="C612" s="22" t="inlineStr">
        <is>
          <t>Potion</t>
        </is>
      </c>
      <c r="D612" s="22" t="inlineStr">
        <is>
          <t>Sunwater</t>
        </is>
      </c>
      <c r="E612" s="22" t="inlineStr">
        <is>
          <t>Sunwater</t>
        </is>
      </c>
    </row>
    <row r="613" ht="15" customHeight="1" s="18">
      <c r="A613" s="22" t="n">
        <v>116</v>
      </c>
      <c r="B613" s="22" t="inlineStr">
        <is>
          <t>The Phoenix's First Petal</t>
        </is>
      </c>
      <c r="C613" s="22" t="inlineStr">
        <is>
          <t>Potion</t>
        </is>
      </c>
      <c r="D613" s="22" t="inlineStr">
        <is>
          <t>Wormwood</t>
        </is>
      </c>
      <c r="E613" s="22" t="inlineStr">
        <is>
          <t>wormwood</t>
        </is>
      </c>
    </row>
    <row r="614" ht="15" customHeight="1" s="18">
      <c r="A614" s="22" t="n">
        <v>116</v>
      </c>
      <c r="B614" s="22" t="inlineStr">
        <is>
          <t>The Phoenix's First Petal</t>
        </is>
      </c>
      <c r="C614" s="22" t="inlineStr">
        <is>
          <t>Potion</t>
        </is>
      </c>
      <c r="D614" s="22" t="inlineStr">
        <is>
          <t>Chili</t>
        </is>
      </c>
      <c r="E614" s="22" t="inlineStr">
        <is>
          <t>chili</t>
        </is>
      </c>
    </row>
    <row r="615" ht="15" customHeight="1" s="18">
      <c r="A615" s="22" t="n">
        <v>116</v>
      </c>
      <c r="B615" s="22" t="inlineStr">
        <is>
          <t>The Phoenix's First Petal</t>
        </is>
      </c>
      <c r="C615" s="22" t="inlineStr">
        <is>
          <t>Potion</t>
        </is>
      </c>
      <c r="D615" s="22" t="inlineStr">
        <is>
          <t>Pomegranate seeds</t>
        </is>
      </c>
      <c r="E615" s="22" t="inlineStr">
        <is>
          <t>pomegranate seeds</t>
        </is>
      </c>
    </row>
    <row r="616" ht="15" customHeight="1" s="18">
      <c r="A616" s="22" t="n">
        <v>116</v>
      </c>
      <c r="B616" s="22" t="inlineStr">
        <is>
          <t>The Phoenix's First Petal</t>
        </is>
      </c>
      <c r="C616" s="22" t="inlineStr">
        <is>
          <t>Potion</t>
        </is>
      </c>
      <c r="D616" s="22" t="inlineStr">
        <is>
          <t>Carnelian</t>
        </is>
      </c>
      <c r="E616" s="22" t="inlineStr">
        <is>
          <t>carnelian</t>
        </is>
      </c>
    </row>
    <row r="617" ht="15" customHeight="1" s="18">
      <c r="A617" s="22" t="n">
        <v>117</v>
      </c>
      <c r="B617" s="22" t="inlineStr">
        <is>
          <t>The Cocoon Key</t>
        </is>
      </c>
      <c r="C617" s="22" t="inlineStr">
        <is>
          <t>Poppet</t>
        </is>
      </c>
      <c r="D617" s="22" t="inlineStr">
        <is>
          <t>Muslin</t>
        </is>
      </c>
      <c r="E617" s="22" t="inlineStr">
        <is>
          <t>Muslin</t>
        </is>
      </c>
    </row>
    <row r="618" ht="15" customHeight="1" s="18">
      <c r="A618" s="22" t="n">
        <v>117</v>
      </c>
      <c r="B618" s="22" t="inlineStr">
        <is>
          <t>The Cocoon Key</t>
        </is>
      </c>
      <c r="C618" s="22" t="inlineStr">
        <is>
          <t>Poppet</t>
        </is>
      </c>
      <c r="D618" s="22" t="inlineStr">
        <is>
          <t>Shed snake skin</t>
        </is>
      </c>
      <c r="E618" s="22" t="inlineStr">
        <is>
          <t>shed snake skin</t>
        </is>
      </c>
    </row>
    <row r="619" ht="15" customHeight="1" s="18">
      <c r="A619" s="22" t="n">
        <v>117</v>
      </c>
      <c r="B619" s="22" t="inlineStr">
        <is>
          <t>The Cocoon Key</t>
        </is>
      </c>
      <c r="C619" s="22" t="inlineStr">
        <is>
          <t>Poppet</t>
        </is>
      </c>
      <c r="D619" s="22" t="inlineStr">
        <is>
          <t>Small key</t>
        </is>
      </c>
      <c r="E619" s="22" t="inlineStr">
        <is>
          <t>small key</t>
        </is>
      </c>
    </row>
    <row r="620" ht="15" customHeight="1" s="18">
      <c r="A620" s="22" t="n">
        <v>117</v>
      </c>
      <c r="B620" s="22" t="inlineStr">
        <is>
          <t>The Cocoon Key</t>
        </is>
      </c>
      <c r="C620" s="22" t="inlineStr">
        <is>
          <t>Poppet</t>
        </is>
      </c>
      <c r="D620" s="22" t="inlineStr">
        <is>
          <t>Cypress</t>
        </is>
      </c>
      <c r="E620" s="22" t="inlineStr">
        <is>
          <t>cypress</t>
        </is>
      </c>
    </row>
    <row r="621" ht="15" customHeight="1" s="18">
      <c r="A621" s="22" t="n">
        <v>117</v>
      </c>
      <c r="B621" s="22" t="inlineStr">
        <is>
          <t>The Cocoon Key</t>
        </is>
      </c>
      <c r="C621" s="22" t="inlineStr">
        <is>
          <t>Poppet</t>
        </is>
      </c>
      <c r="D621" s="22" t="inlineStr">
        <is>
          <t>Obsidian</t>
        </is>
      </c>
      <c r="E621" s="22" t="inlineStr">
        <is>
          <t>obsidian</t>
        </is>
      </c>
    </row>
    <row r="622" ht="15" customHeight="1" s="18">
      <c r="A622" s="22" t="n">
        <v>117</v>
      </c>
      <c r="B622" s="22" t="inlineStr">
        <is>
          <t>The Cocoon Key</t>
        </is>
      </c>
      <c r="C622" s="22" t="inlineStr">
        <is>
          <t>Poppet</t>
        </is>
      </c>
      <c r="D622" s="22" t="inlineStr">
        <is>
          <t>Black thread</t>
        </is>
      </c>
      <c r="E622" s="22" t="inlineStr">
        <is>
          <t>black thread</t>
        </is>
      </c>
    </row>
    <row r="623" ht="15" customHeight="1" s="18">
      <c r="A623" s="22" t="n">
        <v>118</v>
      </c>
      <c r="B623" s="22" t="inlineStr">
        <is>
          <t>The Severed Loop</t>
        </is>
      </c>
      <c r="C623" s="22" t="inlineStr">
        <is>
          <t>Witch's Ladder</t>
        </is>
      </c>
      <c r="D623" s="22" t="inlineStr">
        <is>
          <t>Black thread</t>
        </is>
      </c>
      <c r="E623" s="22" t="inlineStr">
        <is>
          <t>Black thread</t>
        </is>
      </c>
    </row>
    <row r="624" ht="15" customHeight="1" s="18">
      <c r="A624" s="22" t="n">
        <v>118</v>
      </c>
      <c r="B624" s="22" t="inlineStr">
        <is>
          <t>The Severed Loop</t>
        </is>
      </c>
      <c r="C624" s="22" t="inlineStr">
        <is>
          <t>Witch's Ladder</t>
        </is>
      </c>
      <c r="D624" s="22" t="inlineStr">
        <is>
          <t>Bay leaf</t>
        </is>
      </c>
      <c r="E624" s="22" t="inlineStr">
        <is>
          <t>bay leaves</t>
        </is>
      </c>
    </row>
    <row r="625" ht="15" customHeight="1" s="18">
      <c r="A625" s="22" t="n">
        <v>118</v>
      </c>
      <c r="B625" s="22" t="inlineStr">
        <is>
          <t>The Severed Loop</t>
        </is>
      </c>
      <c r="C625" s="22" t="inlineStr">
        <is>
          <t>Witch's Ladder</t>
        </is>
      </c>
      <c r="D625" s="22" t="inlineStr">
        <is>
          <t>Rue</t>
        </is>
      </c>
      <c r="E625" s="22" t="inlineStr">
        <is>
          <t>rue</t>
        </is>
      </c>
    </row>
    <row r="626" ht="15" customHeight="1" s="18">
      <c r="A626" s="22" t="n">
        <v>118</v>
      </c>
      <c r="B626" s="22" t="inlineStr">
        <is>
          <t>The Severed Loop</t>
        </is>
      </c>
      <c r="C626" s="22" t="inlineStr">
        <is>
          <t>Witch's Ladder</t>
        </is>
      </c>
      <c r="D626" s="22" t="inlineStr">
        <is>
          <t>Obsidian</t>
        </is>
      </c>
      <c r="E626" s="22" t="inlineStr">
        <is>
          <t>obsidian bead</t>
        </is>
      </c>
    </row>
    <row r="627" ht="15" customHeight="1" s="18">
      <c r="A627" s="22" t="n">
        <v>118</v>
      </c>
      <c r="B627" s="22" t="inlineStr">
        <is>
          <t>The Severed Loop</t>
        </is>
      </c>
      <c r="C627" s="22" t="inlineStr">
        <is>
          <t>Witch's Ladder</t>
        </is>
      </c>
      <c r="D627" s="22" t="inlineStr">
        <is>
          <t>Shed snake skin</t>
        </is>
      </c>
      <c r="E627" s="22" t="inlineStr">
        <is>
          <t>shed snake skin</t>
        </is>
      </c>
    </row>
    <row r="628" ht="15" customHeight="1" s="18">
      <c r="A628" s="22" t="n">
        <v>119</v>
      </c>
      <c r="B628" s="22" t="inlineStr">
        <is>
          <t>The Thousandth Version</t>
        </is>
      </c>
      <c r="C628" s="22" t="inlineStr">
        <is>
          <t>Glamour</t>
        </is>
      </c>
      <c r="D628" s="22" t="inlineStr">
        <is>
          <t>Storm Water</t>
        </is>
      </c>
      <c r="E628" s="22" t="inlineStr">
        <is>
          <t>Storm Water</t>
        </is>
      </c>
    </row>
    <row r="629" ht="15" customHeight="1" s="18">
      <c r="A629" s="22" t="n">
        <v>119</v>
      </c>
      <c r="B629" s="22" t="inlineStr">
        <is>
          <t>The Thousandth Version</t>
        </is>
      </c>
      <c r="C629" s="22" t="inlineStr">
        <is>
          <t>Glamour</t>
        </is>
      </c>
      <c r="D629" s="22" t="inlineStr">
        <is>
          <t>Violet</t>
        </is>
      </c>
      <c r="E629" s="22" t="inlineStr">
        <is>
          <t>violet</t>
        </is>
      </c>
    </row>
    <row r="630" ht="15" customHeight="1" s="18">
      <c r="A630" s="22" t="n">
        <v>119</v>
      </c>
      <c r="B630" s="22" t="inlineStr">
        <is>
          <t>The Thousandth Version</t>
        </is>
      </c>
      <c r="C630" s="22" t="inlineStr">
        <is>
          <t>Glamour</t>
        </is>
      </c>
      <c r="D630" s="22" t="inlineStr">
        <is>
          <t>Labradorite</t>
        </is>
      </c>
      <c r="E630" s="22" t="inlineStr">
        <is>
          <t>labradorite</t>
        </is>
      </c>
    </row>
    <row r="631" ht="15" customHeight="1" s="18">
      <c r="A631" s="22" t="n">
        <v>119</v>
      </c>
      <c r="B631" s="22" t="inlineStr">
        <is>
          <t>The Thousandth Version</t>
        </is>
      </c>
      <c r="C631" s="22" t="inlineStr">
        <is>
          <t>Glamour</t>
        </is>
      </c>
      <c r="D631" s="22" t="inlineStr">
        <is>
          <t>Moth wing dust</t>
        </is>
      </c>
      <c r="E631" s="22" t="inlineStr">
        <is>
          <t>moth wing dust</t>
        </is>
      </c>
    </row>
    <row r="632" ht="15" customHeight="1" s="18">
      <c r="A632" s="22" t="n">
        <v>120</v>
      </c>
      <c r="B632" s="22" t="inlineStr">
        <is>
          <t>The Mirror Below</t>
        </is>
      </c>
      <c r="C632" s="22" t="inlineStr">
        <is>
          <t>Hand Mirror</t>
        </is>
      </c>
      <c r="D632" s="22" t="inlineStr">
        <is>
          <t>Clamshell compact (dark glass)</t>
        </is>
      </c>
      <c r="E632" s="22" t="inlineStr">
        <is>
          <t>Clamshell compact with darkened glass</t>
        </is>
      </c>
    </row>
    <row r="633" ht="15" customHeight="1" s="18">
      <c r="A633" s="22" t="n">
        <v>120</v>
      </c>
      <c r="B633" s="22" t="inlineStr">
        <is>
          <t>The Mirror Below</t>
        </is>
      </c>
      <c r="C633" s="22" t="inlineStr">
        <is>
          <t>Hand Mirror</t>
        </is>
      </c>
      <c r="D633" s="22" t="inlineStr">
        <is>
          <t>Mugwort</t>
        </is>
      </c>
      <c r="E633" s="22" t="inlineStr">
        <is>
          <t>mugwort</t>
        </is>
      </c>
    </row>
    <row r="634" ht="15" customHeight="1" s="18">
      <c r="A634" s="22" t="n">
        <v>120</v>
      </c>
      <c r="B634" s="22" t="inlineStr">
        <is>
          <t>The Mirror Below</t>
        </is>
      </c>
      <c r="C634" s="22" t="inlineStr">
        <is>
          <t>Hand Mirror</t>
        </is>
      </c>
      <c r="D634" s="22" t="inlineStr">
        <is>
          <t>Myrrh</t>
        </is>
      </c>
      <c r="E634" s="22" t="inlineStr">
        <is>
          <t>myrrh</t>
        </is>
      </c>
    </row>
    <row r="635" ht="15" customHeight="1" s="18">
      <c r="A635" s="22" t="n">
        <v>120</v>
      </c>
      <c r="B635" s="22" t="inlineStr">
        <is>
          <t>The Mirror Below</t>
        </is>
      </c>
      <c r="C635" s="22" t="inlineStr">
        <is>
          <t>Hand Mirror</t>
        </is>
      </c>
      <c r="D635" s="22" t="inlineStr">
        <is>
          <t>Moonwater</t>
        </is>
      </c>
      <c r="E635" s="22" t="inlineStr">
        <is>
          <t>Moonwater</t>
        </is>
      </c>
    </row>
    <row r="636" ht="15" customHeight="1" s="18">
      <c r="A636" s="22" t="n">
        <v>121</v>
      </c>
      <c r="B636" s="22" t="inlineStr">
        <is>
          <t>The First Crescent</t>
        </is>
      </c>
      <c r="C636" s="22" t="inlineStr">
        <is>
          <t>Sigil</t>
        </is>
      </c>
      <c r="D636" s="22" t="inlineStr">
        <is>
          <t>Paper</t>
        </is>
      </c>
      <c r="E636" s="22" t="inlineStr">
        <is>
          <t>Paper</t>
        </is>
      </c>
    </row>
    <row r="637" ht="15" customHeight="1" s="18">
      <c r="A637" s="22" t="n">
        <v>121</v>
      </c>
      <c r="B637" s="22" t="inlineStr">
        <is>
          <t>The First Crescent</t>
        </is>
      </c>
      <c r="C637" s="22" t="inlineStr">
        <is>
          <t>Sigil</t>
        </is>
      </c>
      <c r="D637" s="22" t="inlineStr">
        <is>
          <t>New Moon Water</t>
        </is>
      </c>
      <c r="E637" s="22" t="inlineStr">
        <is>
          <t>New Moon Water mixed into silver ink</t>
        </is>
      </c>
    </row>
    <row r="638" ht="15" customHeight="1" s="18">
      <c r="A638" s="22" t="n">
        <v>121</v>
      </c>
      <c r="B638" s="22" t="inlineStr">
        <is>
          <t>The First Crescent</t>
        </is>
      </c>
      <c r="C638" s="22" t="inlineStr">
        <is>
          <t>Sigil</t>
        </is>
      </c>
      <c r="D638" s="22" t="inlineStr">
        <is>
          <t>Silver ink</t>
        </is>
      </c>
      <c r="E638" s="22" t="inlineStr">
        <is>
          <t>New Moon Water mixed into silver ink</t>
        </is>
      </c>
    </row>
    <row r="639" ht="15" customHeight="1" s="18">
      <c r="A639" s="22" t="n">
        <v>121</v>
      </c>
      <c r="B639" s="22" t="inlineStr">
        <is>
          <t>The First Crescent</t>
        </is>
      </c>
      <c r="C639" s="22" t="inlineStr">
        <is>
          <t>Sigil</t>
        </is>
      </c>
      <c r="D639" s="22" t="inlineStr">
        <is>
          <t>Jasmine</t>
        </is>
      </c>
      <c r="E639" s="22" t="inlineStr">
        <is>
          <t>jasmine</t>
        </is>
      </c>
    </row>
    <row r="640" ht="15" customHeight="1" s="18">
      <c r="A640" s="22" t="n">
        <v>121</v>
      </c>
      <c r="B640" s="22" t="inlineStr">
        <is>
          <t>The First Crescent</t>
        </is>
      </c>
      <c r="C640" s="22" t="inlineStr">
        <is>
          <t>Sigil</t>
        </is>
      </c>
      <c r="D640" s="22" t="inlineStr">
        <is>
          <t>Moonstone</t>
        </is>
      </c>
      <c r="E640" s="22" t="inlineStr">
        <is>
          <t>moonstone</t>
        </is>
      </c>
    </row>
    <row r="641" ht="15" customHeight="1" s="18">
      <c r="A641" s="22" t="n">
        <v>122</v>
      </c>
      <c r="B641" s="22" t="inlineStr">
        <is>
          <t>The Waning Veil</t>
        </is>
      </c>
      <c r="C641" s="22" t="inlineStr">
        <is>
          <t>Bath Salt</t>
        </is>
      </c>
      <c r="D641" s="22" t="inlineStr">
        <is>
          <t>Sea salt</t>
        </is>
      </c>
      <c r="E641" s="22" t="inlineStr">
        <is>
          <t>Sea salt</t>
        </is>
      </c>
    </row>
    <row r="642" ht="15" customHeight="1" s="18">
      <c r="A642" s="22" t="n">
        <v>122</v>
      </c>
      <c r="B642" s="22" t="inlineStr">
        <is>
          <t>The Waning Veil</t>
        </is>
      </c>
      <c r="C642" s="22" t="inlineStr">
        <is>
          <t>Bath Salt</t>
        </is>
      </c>
      <c r="D642" s="22" t="inlineStr">
        <is>
          <t>Epsom salt</t>
        </is>
      </c>
      <c r="E642" s="22" t="inlineStr">
        <is>
          <t>Epsom salt</t>
        </is>
      </c>
    </row>
    <row r="643" ht="15" customHeight="1" s="18">
      <c r="A643" s="22" t="n">
        <v>122</v>
      </c>
      <c r="B643" s="22" t="inlineStr">
        <is>
          <t>The Waning Veil</t>
        </is>
      </c>
      <c r="C643" s="22" t="inlineStr">
        <is>
          <t>Bath Salt</t>
        </is>
      </c>
      <c r="D643" s="22" t="inlineStr">
        <is>
          <t>Lemon peel</t>
        </is>
      </c>
      <c r="E643" s="22" t="inlineStr">
        <is>
          <t>lemon peel</t>
        </is>
      </c>
    </row>
    <row r="644" ht="15" customHeight="1" s="18">
      <c r="A644" s="22" t="n">
        <v>122</v>
      </c>
      <c r="B644" s="22" t="inlineStr">
        <is>
          <t>The Waning Veil</t>
        </is>
      </c>
      <c r="C644" s="22" t="inlineStr">
        <is>
          <t>Bath Salt</t>
        </is>
      </c>
      <c r="D644" s="22" t="inlineStr">
        <is>
          <t>Garden sage</t>
        </is>
      </c>
      <c r="E644" s="22" t="inlineStr">
        <is>
          <t>garden sage</t>
        </is>
      </c>
    </row>
    <row r="645" ht="15" customHeight="1" s="18">
      <c r="A645" s="22" t="n">
        <v>122</v>
      </c>
      <c r="B645" s="22" t="inlineStr">
        <is>
          <t>The Waning Veil</t>
        </is>
      </c>
      <c r="C645" s="22" t="inlineStr">
        <is>
          <t>Bath Salt</t>
        </is>
      </c>
      <c r="D645" s="22" t="inlineStr">
        <is>
          <t>Selenite</t>
        </is>
      </c>
      <c r="E645" s="22" t="inlineStr">
        <is>
          <t>selenite</t>
        </is>
      </c>
    </row>
    <row r="646" ht="15" customHeight="1" s="18">
      <c r="A646" s="22" t="n">
        <v>123</v>
      </c>
      <c r="B646" s="22" t="inlineStr">
        <is>
          <t>Twelve Moons, One Heart</t>
        </is>
      </c>
      <c r="C646" s="22" t="inlineStr">
        <is>
          <t>Tea</t>
        </is>
      </c>
      <c r="D646" s="22" t="inlineStr">
        <is>
          <t>Seaweed</t>
        </is>
      </c>
      <c r="E646" s="22" t="inlineStr">
        <is>
          <t>Seaweed</t>
        </is>
      </c>
    </row>
    <row r="647" ht="15" customHeight="1" s="18">
      <c r="A647" s="22" t="n">
        <v>123</v>
      </c>
      <c r="B647" s="22" t="inlineStr">
        <is>
          <t>Twelve Moons, One Heart</t>
        </is>
      </c>
      <c r="C647" s="22" t="inlineStr">
        <is>
          <t>Tea</t>
        </is>
      </c>
      <c r="D647" s="22" t="inlineStr">
        <is>
          <t>Fern</t>
        </is>
      </c>
      <c r="E647" s="22" t="inlineStr">
        <is>
          <t>fern</t>
        </is>
      </c>
    </row>
    <row r="648" ht="15" customHeight="1" s="18">
      <c r="A648" s="22" t="n">
        <v>123</v>
      </c>
      <c r="B648" s="22" t="inlineStr">
        <is>
          <t>Twelve Moons, One Heart</t>
        </is>
      </c>
      <c r="C648" s="22" t="inlineStr">
        <is>
          <t>Tea</t>
        </is>
      </c>
      <c r="D648" s="22" t="inlineStr">
        <is>
          <t>Pressed moon petals</t>
        </is>
      </c>
      <c r="E648" s="22" t="inlineStr">
        <is>
          <t>one dried petal for each full moon of the year</t>
        </is>
      </c>
    </row>
    <row r="649" ht="15" customHeight="1" s="18">
      <c r="A649" s="22" t="n">
        <v>124</v>
      </c>
      <c r="B649" s="22" t="inlineStr">
        <is>
          <t>The Shadowed Halo</t>
        </is>
      </c>
      <c r="C649" s="22" t="inlineStr">
        <is>
          <t>Spell Bottle</t>
        </is>
      </c>
      <c r="D649" s="22" t="inlineStr">
        <is>
          <t>Black salt</t>
        </is>
      </c>
      <c r="E649" s="22" t="inlineStr">
        <is>
          <t>Black salt</t>
        </is>
      </c>
    </row>
    <row r="650" ht="15" customHeight="1" s="18">
      <c r="A650" s="22" t="n">
        <v>124</v>
      </c>
      <c r="B650" s="22" t="inlineStr">
        <is>
          <t>The Shadowed Halo</t>
        </is>
      </c>
      <c r="C650" s="22" t="inlineStr">
        <is>
          <t>Spell Bottle</t>
        </is>
      </c>
      <c r="D650" s="22" t="inlineStr">
        <is>
          <t>Obsidian</t>
        </is>
      </c>
      <c r="E650" s="22" t="inlineStr">
        <is>
          <t>obsidian</t>
        </is>
      </c>
    </row>
    <row r="651" ht="15" customHeight="1" s="18">
      <c r="A651" s="22" t="n">
        <v>124</v>
      </c>
      <c r="B651" s="22" t="inlineStr">
        <is>
          <t>The Shadowed Halo</t>
        </is>
      </c>
      <c r="C651" s="22" t="inlineStr">
        <is>
          <t>Spell Bottle</t>
        </is>
      </c>
      <c r="D651" s="22" t="inlineStr">
        <is>
          <t>Moonstone</t>
        </is>
      </c>
      <c r="E651" s="22" t="inlineStr">
        <is>
          <t>moonstone</t>
        </is>
      </c>
    </row>
    <row r="652" ht="15" customHeight="1" s="18">
      <c r="A652" s="22" t="n">
        <v>124</v>
      </c>
      <c r="B652" s="22" t="inlineStr">
        <is>
          <t>The Shadowed Halo</t>
        </is>
      </c>
      <c r="C652" s="22" t="inlineStr">
        <is>
          <t>Spell Bottle</t>
        </is>
      </c>
      <c r="D652" s="22" t="inlineStr">
        <is>
          <t>Star anise</t>
        </is>
      </c>
      <c r="E652" s="22" t="inlineStr">
        <is>
          <t>star anise</t>
        </is>
      </c>
    </row>
    <row r="653" ht="15" customHeight="1" s="18">
      <c r="A653" s="22" t="n">
        <v>124</v>
      </c>
      <c r="B653" s="22" t="inlineStr">
        <is>
          <t>The Shadowed Halo</t>
        </is>
      </c>
      <c r="C653" s="22" t="inlineStr">
        <is>
          <t>Spell Bottle</t>
        </is>
      </c>
      <c r="D653" s="22" t="inlineStr">
        <is>
          <t>Raven feather</t>
        </is>
      </c>
      <c r="E653" s="22" t="inlineStr">
        <is>
          <t>raven feather</t>
        </is>
      </c>
    </row>
    <row r="654" ht="15" customHeight="1" s="18">
      <c r="A654" s="22" t="n">
        <v>125</v>
      </c>
      <c r="B654" s="22" t="inlineStr">
        <is>
          <t>A Thousand Open Eyes</t>
        </is>
      </c>
      <c r="C654" s="22" t="inlineStr">
        <is>
          <t>Water</t>
        </is>
      </c>
      <c r="D654" s="22" t="inlineStr">
        <is>
          <t>Moonwater</t>
        </is>
      </c>
      <c r="E654" s="22" t="inlineStr">
        <is>
          <t>Moonwater</t>
        </is>
      </c>
    </row>
    <row r="655" ht="15" customHeight="1" s="18">
      <c r="A655" s="22" t="n">
        <v>125</v>
      </c>
      <c r="B655" s="22" t="inlineStr">
        <is>
          <t>A Thousand Open Eyes</t>
        </is>
      </c>
      <c r="C655" s="22" t="inlineStr">
        <is>
          <t>Water</t>
        </is>
      </c>
      <c r="D655" s="22" t="inlineStr">
        <is>
          <t>Star anise</t>
        </is>
      </c>
      <c r="E655" s="22" t="inlineStr">
        <is>
          <t>star anise</t>
        </is>
      </c>
    </row>
    <row r="656" ht="15" customHeight="1" s="18">
      <c r="A656" s="22" t="n">
        <v>125</v>
      </c>
      <c r="B656" s="22" t="inlineStr">
        <is>
          <t>A Thousand Open Eyes</t>
        </is>
      </c>
      <c r="C656" s="22" t="inlineStr">
        <is>
          <t>Water</t>
        </is>
      </c>
      <c r="D656" s="22" t="inlineStr">
        <is>
          <t>Moss agate</t>
        </is>
      </c>
      <c r="E656" s="22" t="inlineStr">
        <is>
          <t>moss agate</t>
        </is>
      </c>
    </row>
    <row r="657" ht="15" customHeight="1" s="18">
      <c r="A657" s="22" t="n">
        <v>125</v>
      </c>
      <c r="B657" s="22" t="inlineStr">
        <is>
          <t>A Thousand Open Eyes</t>
        </is>
      </c>
      <c r="C657" s="22" t="inlineStr">
        <is>
          <t>Water</t>
        </is>
      </c>
      <c r="D657" s="22" t="inlineStr">
        <is>
          <t>Shed cat whisker</t>
        </is>
      </c>
      <c r="E657" s="22" t="inlineStr">
        <is>
          <t>shed cat whisker</t>
        </is>
      </c>
    </row>
    <row r="658" ht="15" customHeight="1" s="18">
      <c r="A658" s="22" t="n">
        <v>126</v>
      </c>
      <c r="B658" s="22" t="inlineStr">
        <is>
          <t>The Cosmic Thread</t>
        </is>
      </c>
      <c r="C658" s="22" t="inlineStr">
        <is>
          <t>Talisman</t>
        </is>
      </c>
      <c r="D658" s="22" t="inlineStr">
        <is>
          <t>Wooden disc</t>
        </is>
      </c>
      <c r="E658" s="22" t="inlineStr">
        <is>
          <t>Wooden disc</t>
        </is>
      </c>
    </row>
    <row r="659" ht="15" customHeight="1" s="18">
      <c r="A659" s="22" t="n">
        <v>126</v>
      </c>
      <c r="B659" s="22" t="inlineStr">
        <is>
          <t>The Cosmic Thread</t>
        </is>
      </c>
      <c r="C659" s="22" t="inlineStr">
        <is>
          <t>Talisman</t>
        </is>
      </c>
      <c r="D659" s="22" t="inlineStr">
        <is>
          <t>Silver thread</t>
        </is>
      </c>
      <c r="E659" s="22" t="inlineStr">
        <is>
          <t>silver thread</t>
        </is>
      </c>
    </row>
    <row r="660" ht="15" customHeight="1" s="18">
      <c r="A660" s="22" t="n">
        <v>126</v>
      </c>
      <c r="B660" s="22" t="inlineStr">
        <is>
          <t>The Cosmic Thread</t>
        </is>
      </c>
      <c r="C660" s="22" t="inlineStr">
        <is>
          <t>Talisman</t>
        </is>
      </c>
      <c r="D660" s="22" t="inlineStr">
        <is>
          <t>Glass bead</t>
        </is>
      </c>
      <c r="E660" s="22" t="inlineStr">
        <is>
          <t>glass bead</t>
        </is>
      </c>
    </row>
    <row r="661" ht="15" customHeight="1" s="18">
      <c r="A661" s="22" t="n">
        <v>126</v>
      </c>
      <c r="B661" s="22" t="inlineStr">
        <is>
          <t>The Cosmic Thread</t>
        </is>
      </c>
      <c r="C661" s="22" t="inlineStr">
        <is>
          <t>Talisman</t>
        </is>
      </c>
      <c r="D661" s="22" t="inlineStr">
        <is>
          <t>Labradorite</t>
        </is>
      </c>
      <c r="E661" s="22" t="inlineStr">
        <is>
          <t>labradorite</t>
        </is>
      </c>
    </row>
    <row r="662" ht="15" customHeight="1" s="18">
      <c r="A662" s="22" t="n">
        <v>126</v>
      </c>
      <c r="B662" s="22" t="inlineStr">
        <is>
          <t>The Cosmic Thread</t>
        </is>
      </c>
      <c r="C662" s="22" t="inlineStr">
        <is>
          <t>Talisman</t>
        </is>
      </c>
      <c r="D662" s="22" t="inlineStr">
        <is>
          <t>Star-shaped button</t>
        </is>
      </c>
      <c r="E662" s="22" t="inlineStr">
        <is>
          <t>star-shaped button</t>
        </is>
      </c>
    </row>
    <row r="663" ht="15" customHeight="1" s="18">
      <c r="A663" s="22" t="n">
        <v>127</v>
      </c>
      <c r="B663" s="22" t="inlineStr">
        <is>
          <t>The Growing Silver</t>
        </is>
      </c>
      <c r="C663" s="22" t="inlineStr">
        <is>
          <t>Oil</t>
        </is>
      </c>
      <c r="D663" s="22" t="inlineStr">
        <is>
          <t>Almond oil</t>
        </is>
      </c>
      <c r="E663" s="22" t="inlineStr">
        <is>
          <t>Almond oil</t>
        </is>
      </c>
    </row>
    <row r="664" ht="15" customHeight="1" s="18">
      <c r="A664" s="22" t="n">
        <v>127</v>
      </c>
      <c r="B664" s="22" t="inlineStr">
        <is>
          <t>The Growing Silver</t>
        </is>
      </c>
      <c r="C664" s="22" t="inlineStr">
        <is>
          <t>Oil</t>
        </is>
      </c>
      <c r="D664" s="22" t="inlineStr">
        <is>
          <t>Jasmine</t>
        </is>
      </c>
      <c r="E664" s="22" t="inlineStr">
        <is>
          <t>jasmine</t>
        </is>
      </c>
    </row>
    <row r="665" ht="15" customHeight="1" s="18">
      <c r="A665" s="22" t="n">
        <v>127</v>
      </c>
      <c r="B665" s="22" t="inlineStr">
        <is>
          <t>The Growing Silver</t>
        </is>
      </c>
      <c r="C665" s="22" t="inlineStr">
        <is>
          <t>Oil</t>
        </is>
      </c>
      <c r="D665" s="22" t="inlineStr">
        <is>
          <t>Rosebud</t>
        </is>
      </c>
      <c r="E665" s="22" t="inlineStr">
        <is>
          <t>rosebud</t>
        </is>
      </c>
    </row>
    <row r="666" ht="15" customHeight="1" s="18">
      <c r="A666" s="22" t="n">
        <v>127</v>
      </c>
      <c r="B666" s="22" t="inlineStr">
        <is>
          <t>The Growing Silver</t>
        </is>
      </c>
      <c r="C666" s="22" t="inlineStr">
        <is>
          <t>Oil</t>
        </is>
      </c>
      <c r="D666" s="22" t="inlineStr">
        <is>
          <t>Moonstone</t>
        </is>
      </c>
      <c r="E666" s="22" t="inlineStr">
        <is>
          <t>moonstone</t>
        </is>
      </c>
    </row>
    <row r="667" ht="15" customHeight="1" s="18">
      <c r="A667" s="22" t="n">
        <v>128</v>
      </c>
      <c r="B667" s="22" t="inlineStr">
        <is>
          <t>The Gentle Dimming</t>
        </is>
      </c>
      <c r="C667" s="22" t="inlineStr">
        <is>
          <t>Incense</t>
        </is>
      </c>
      <c r="D667" s="22" t="inlineStr">
        <is>
          <t>Myrrh</t>
        </is>
      </c>
      <c r="E667" s="22" t="inlineStr">
        <is>
          <t>Myrrh</t>
        </is>
      </c>
    </row>
    <row r="668" ht="15" customHeight="1" s="18">
      <c r="A668" s="22" t="n">
        <v>128</v>
      </c>
      <c r="B668" s="22" t="inlineStr">
        <is>
          <t>The Gentle Dimming</t>
        </is>
      </c>
      <c r="C668" s="22" t="inlineStr">
        <is>
          <t>Incense</t>
        </is>
      </c>
      <c r="D668" s="22" t="inlineStr">
        <is>
          <t>Lavender</t>
        </is>
      </c>
      <c r="E668" s="22" t="inlineStr">
        <is>
          <t>lavender</t>
        </is>
      </c>
    </row>
    <row r="669" ht="15" customHeight="1" s="18">
      <c r="A669" s="22" t="n">
        <v>128</v>
      </c>
      <c r="B669" s="22" t="inlineStr">
        <is>
          <t>The Gentle Dimming</t>
        </is>
      </c>
      <c r="C669" s="22" t="inlineStr">
        <is>
          <t>Incense</t>
        </is>
      </c>
      <c r="D669" s="22" t="inlineStr">
        <is>
          <t>Cypress</t>
        </is>
      </c>
      <c r="E669" s="22" t="inlineStr">
        <is>
          <t>cypress</t>
        </is>
      </c>
    </row>
    <row r="670" ht="15" customHeight="1" s="18">
      <c r="A670" s="22" t="n">
        <v>129</v>
      </c>
      <c r="B670" s="22" t="inlineStr">
        <is>
          <t>Sunrise in a Teacup</t>
        </is>
      </c>
      <c r="C670" s="22" t="inlineStr">
        <is>
          <t>Potion</t>
        </is>
      </c>
      <c r="D670" s="22" t="inlineStr">
        <is>
          <t>Sunwater</t>
        </is>
      </c>
      <c r="E670" s="22" t="inlineStr">
        <is>
          <t>Sunwater</t>
        </is>
      </c>
    </row>
    <row r="671" ht="15" customHeight="1" s="18">
      <c r="A671" s="22" t="n">
        <v>129</v>
      </c>
      <c r="B671" s="22" t="inlineStr">
        <is>
          <t>Sunrise in a Teacup</t>
        </is>
      </c>
      <c r="C671" s="22" t="inlineStr">
        <is>
          <t>Potion</t>
        </is>
      </c>
      <c r="D671" s="22" t="inlineStr">
        <is>
          <t>Dawn dew</t>
        </is>
      </c>
      <c r="E671" s="22" t="inlineStr">
        <is>
          <t>Dawn Dew</t>
        </is>
      </c>
    </row>
    <row r="672" ht="15" customHeight="1" s="18">
      <c r="A672" s="22" t="n">
        <v>129</v>
      </c>
      <c r="B672" s="22" t="inlineStr">
        <is>
          <t>Sunrise in a Teacup</t>
        </is>
      </c>
      <c r="C672" s="22" t="inlineStr">
        <is>
          <t>Potion</t>
        </is>
      </c>
      <c r="D672" s="22" t="inlineStr">
        <is>
          <t>Orange</t>
        </is>
      </c>
      <c r="E672" s="22" t="inlineStr">
        <is>
          <t>orange</t>
        </is>
      </c>
    </row>
    <row r="673" ht="15" customHeight="1" s="18">
      <c r="A673" s="22" t="n">
        <v>129</v>
      </c>
      <c r="B673" s="22" t="inlineStr">
        <is>
          <t>Sunrise in a Teacup</t>
        </is>
      </c>
      <c r="C673" s="22" t="inlineStr">
        <is>
          <t>Potion</t>
        </is>
      </c>
      <c r="D673" s="22" t="inlineStr">
        <is>
          <t>Dandelion</t>
        </is>
      </c>
      <c r="E673" s="22" t="inlineStr">
        <is>
          <t>dandelion</t>
        </is>
      </c>
    </row>
    <row r="674" ht="15" customHeight="1" s="18">
      <c r="A674" s="22" t="n">
        <v>129</v>
      </c>
      <c r="B674" s="22" t="inlineStr">
        <is>
          <t>Sunrise in a Teacup</t>
        </is>
      </c>
      <c r="C674" s="22" t="inlineStr">
        <is>
          <t>Potion</t>
        </is>
      </c>
      <c r="D674" s="22" t="inlineStr">
        <is>
          <t>Honey</t>
        </is>
      </c>
      <c r="E674" s="22" t="inlineStr">
        <is>
          <t>honey</t>
        </is>
      </c>
    </row>
    <row r="675" ht="15" customHeight="1" s="18">
      <c r="A675" s="22" t="n">
        <v>129</v>
      </c>
      <c r="B675" s="22" t="inlineStr">
        <is>
          <t>Sunrise in a Teacup</t>
        </is>
      </c>
      <c r="C675" s="22" t="inlineStr">
        <is>
          <t>Potion</t>
        </is>
      </c>
      <c r="D675" s="22" t="inlineStr">
        <is>
          <t>Sunstone</t>
        </is>
      </c>
      <c r="E675" s="22" t="inlineStr">
        <is>
          <t>sunstone</t>
        </is>
      </c>
    </row>
    <row r="676" ht="15" customHeight="1" s="18">
      <c r="A676" s="22" t="n">
        <v>130</v>
      </c>
      <c r="B676" s="22" t="inlineStr">
        <is>
          <t>The Amber Hour</t>
        </is>
      </c>
      <c r="C676" s="22" t="inlineStr">
        <is>
          <t>Incense</t>
        </is>
      </c>
      <c r="D676" s="22" t="inlineStr">
        <is>
          <t>Amber resin</t>
        </is>
      </c>
      <c r="E676" s="22" t="inlineStr">
        <is>
          <t>Amber resin</t>
        </is>
      </c>
    </row>
    <row r="677" ht="15" customHeight="1" s="18">
      <c r="A677" s="22" t="n">
        <v>130</v>
      </c>
      <c r="B677" s="22" t="inlineStr">
        <is>
          <t>The Amber Hour</t>
        </is>
      </c>
      <c r="C677" s="22" t="inlineStr">
        <is>
          <t>Incense</t>
        </is>
      </c>
      <c r="D677" s="22" t="inlineStr">
        <is>
          <t>Cinnamon</t>
        </is>
      </c>
      <c r="E677" s="22" t="inlineStr">
        <is>
          <t>cinnamon</t>
        </is>
      </c>
    </row>
    <row r="678" ht="15" customHeight="1" s="18">
      <c r="A678" s="22" t="n">
        <v>130</v>
      </c>
      <c r="B678" s="22" t="inlineStr">
        <is>
          <t>The Amber Hour</t>
        </is>
      </c>
      <c r="C678" s="22" t="inlineStr">
        <is>
          <t>Incense</t>
        </is>
      </c>
      <c r="D678" s="22" t="inlineStr">
        <is>
          <t>Vanilla</t>
        </is>
      </c>
      <c r="E678" s="22" t="inlineStr">
        <is>
          <t>vanilla</t>
        </is>
      </c>
    </row>
    <row r="679" ht="15" customHeight="1" s="18">
      <c r="A679" s="22" t="n">
        <v>130</v>
      </c>
      <c r="B679" s="22" t="inlineStr">
        <is>
          <t>The Amber Hour</t>
        </is>
      </c>
      <c r="C679" s="22" t="inlineStr">
        <is>
          <t>Incense</t>
        </is>
      </c>
      <c r="D679" s="22" t="inlineStr">
        <is>
          <t>Orange peel</t>
        </is>
      </c>
      <c r="E679" s="22" t="inlineStr">
        <is>
          <t>orange peel</t>
        </is>
      </c>
    </row>
    <row r="680" ht="15" customHeight="1" s="18">
      <c r="A680" s="22" t="n">
        <v>131</v>
      </c>
      <c r="B680" s="22" t="inlineStr">
        <is>
          <t>The Starbound Self</t>
        </is>
      </c>
      <c r="C680" s="22" t="inlineStr">
        <is>
          <t>Hand Mirror</t>
        </is>
      </c>
      <c r="D680" s="22" t="inlineStr">
        <is>
          <t>Clamshell compact</t>
        </is>
      </c>
      <c r="E680" s="22" t="inlineStr">
        <is>
          <t>Clamshell compact</t>
        </is>
      </c>
    </row>
    <row r="681" ht="15" customHeight="1" s="18">
      <c r="A681" s="22" t="n">
        <v>131</v>
      </c>
      <c r="B681" s="22" t="inlineStr">
        <is>
          <t>The Starbound Self</t>
        </is>
      </c>
      <c r="C681" s="22" t="inlineStr">
        <is>
          <t>Hand Mirror</t>
        </is>
      </c>
      <c r="D681" s="22" t="inlineStr">
        <is>
          <t>Birthstone (customer's)</t>
        </is>
      </c>
      <c r="E681" s="22" t="inlineStr">
        <is>
          <t>the customer's birthstone</t>
        </is>
      </c>
    </row>
    <row r="682" ht="15" customHeight="1" s="18">
      <c r="A682" s="22" t="n">
        <v>131</v>
      </c>
      <c r="B682" s="22" t="inlineStr">
        <is>
          <t>The Starbound Self</t>
        </is>
      </c>
      <c r="C682" s="22" t="inlineStr">
        <is>
          <t>Hand Mirror</t>
        </is>
      </c>
      <c r="D682" s="22" t="inlineStr">
        <is>
          <t>Star anise</t>
        </is>
      </c>
      <c r="E682" s="22" t="inlineStr">
        <is>
          <t>star anise</t>
        </is>
      </c>
    </row>
    <row r="683" ht="15" customHeight="1" s="18">
      <c r="A683" s="22" t="n">
        <v>131</v>
      </c>
      <c r="B683" s="22" t="inlineStr">
        <is>
          <t>The Starbound Self</t>
        </is>
      </c>
      <c r="C683" s="22" t="inlineStr">
        <is>
          <t>Hand Mirror</t>
        </is>
      </c>
      <c r="D683" s="22" t="inlineStr">
        <is>
          <t>Silver mica</t>
        </is>
      </c>
      <c r="E683" s="22" t="inlineStr">
        <is>
          <t>silver mica</t>
        </is>
      </c>
    </row>
    <row r="684" ht="15" customHeight="1" s="18">
      <c r="A684" s="22" t="n">
        <v>132</v>
      </c>
      <c r="B684" s="22" t="inlineStr">
        <is>
          <t>Another Orbit Around the Sun</t>
        </is>
      </c>
      <c r="C684" s="22" t="inlineStr">
        <is>
          <t>Cookies</t>
        </is>
      </c>
      <c r="D684" s="22" t="inlineStr">
        <is>
          <t>Flour</t>
        </is>
      </c>
      <c r="E684" s="22" t="inlineStr">
        <is>
          <t>Flour</t>
        </is>
      </c>
    </row>
    <row r="685" ht="15" customHeight="1" s="18">
      <c r="A685" s="22" t="n">
        <v>132</v>
      </c>
      <c r="B685" s="22" t="inlineStr">
        <is>
          <t>Another Orbit Around the Sun</t>
        </is>
      </c>
      <c r="C685" s="22" t="inlineStr">
        <is>
          <t>Cookies</t>
        </is>
      </c>
      <c r="D685" s="22" t="inlineStr">
        <is>
          <t>Butter</t>
        </is>
      </c>
      <c r="E685" s="22" t="inlineStr">
        <is>
          <t>butter</t>
        </is>
      </c>
    </row>
    <row r="686" ht="15" customHeight="1" s="18">
      <c r="A686" s="22" t="n">
        <v>132</v>
      </c>
      <c r="B686" s="22" t="inlineStr">
        <is>
          <t>Another Orbit Around the Sun</t>
        </is>
      </c>
      <c r="C686" s="22" t="inlineStr">
        <is>
          <t>Cookies</t>
        </is>
      </c>
      <c r="D686" s="22" t="inlineStr">
        <is>
          <t>Sugar</t>
        </is>
      </c>
      <c r="E686" s="22" t="inlineStr">
        <is>
          <t>sugar</t>
        </is>
      </c>
    </row>
    <row r="687" ht="15" customHeight="1" s="18">
      <c r="A687" s="22" t="n">
        <v>132</v>
      </c>
      <c r="B687" s="22" t="inlineStr">
        <is>
          <t>Another Orbit Around the Sun</t>
        </is>
      </c>
      <c r="C687" s="22" t="inlineStr">
        <is>
          <t>Cookies</t>
        </is>
      </c>
      <c r="D687" s="22" t="inlineStr">
        <is>
          <t>Orange peel</t>
        </is>
      </c>
      <c r="E687" s="22" t="inlineStr">
        <is>
          <t>orange zest</t>
        </is>
      </c>
    </row>
    <row r="688" ht="15" customHeight="1" s="18">
      <c r="A688" s="22" t="n">
        <v>132</v>
      </c>
      <c r="B688" s="22" t="inlineStr">
        <is>
          <t>Another Orbit Around the Sun</t>
        </is>
      </c>
      <c r="C688" s="22" t="inlineStr">
        <is>
          <t>Cookies</t>
        </is>
      </c>
      <c r="D688" s="22" t="inlineStr">
        <is>
          <t>Vanilla</t>
        </is>
      </c>
      <c r="E688" s="22" t="inlineStr">
        <is>
          <t>vanilla</t>
        </is>
      </c>
    </row>
    <row r="689" ht="15" customHeight="1" s="18">
      <c r="A689" s="22" t="n">
        <v>132</v>
      </c>
      <c r="B689" s="22" t="inlineStr">
        <is>
          <t>Another Orbit Around the Sun</t>
        </is>
      </c>
      <c r="C689" s="22" t="inlineStr">
        <is>
          <t>Cookies</t>
        </is>
      </c>
      <c r="D689" s="22" t="inlineStr">
        <is>
          <t>Gold sprinkles</t>
        </is>
      </c>
      <c r="E689" s="22" t="inlineStr">
        <is>
          <t>gold sprinkles</t>
        </is>
      </c>
    </row>
    <row r="690" ht="15" customHeight="1" s="18">
      <c r="A690" s="22" t="n">
        <v>133</v>
      </c>
      <c r="B690" s="22" t="inlineStr">
        <is>
          <t>The Celestial Mapmaker</t>
        </is>
      </c>
      <c r="C690" s="22" t="inlineStr">
        <is>
          <t>Wand</t>
        </is>
      </c>
      <c r="D690" s="22" t="inlineStr">
        <is>
          <t>Ash branch</t>
        </is>
      </c>
      <c r="E690" s="22" t="inlineStr">
        <is>
          <t>Fallen ash branch</t>
        </is>
      </c>
    </row>
    <row r="691" ht="15" customHeight="1" s="18">
      <c r="A691" s="22" t="n">
        <v>133</v>
      </c>
      <c r="B691" s="22" t="inlineStr">
        <is>
          <t>The Celestial Mapmaker</t>
        </is>
      </c>
      <c r="C691" s="22" t="inlineStr">
        <is>
          <t>Wand</t>
        </is>
      </c>
      <c r="D691" s="22" t="inlineStr">
        <is>
          <t>Labradorite</t>
        </is>
      </c>
      <c r="E691" s="22" t="inlineStr">
        <is>
          <t>labradorite</t>
        </is>
      </c>
    </row>
    <row r="692" ht="15" customHeight="1" s="18">
      <c r="A692" s="22" t="n">
        <v>133</v>
      </c>
      <c r="B692" s="22" t="inlineStr">
        <is>
          <t>The Celestial Mapmaker</t>
        </is>
      </c>
      <c r="C692" s="22" t="inlineStr">
        <is>
          <t>Wand</t>
        </is>
      </c>
      <c r="D692" s="22" t="inlineStr">
        <is>
          <t>Star anise</t>
        </is>
      </c>
      <c r="E692" s="22" t="inlineStr">
        <is>
          <t>star anise</t>
        </is>
      </c>
    </row>
    <row r="693" ht="15" customHeight="1" s="18">
      <c r="A693" s="22" t="n">
        <v>133</v>
      </c>
      <c r="B693" s="22" t="inlineStr">
        <is>
          <t>The Celestial Mapmaker</t>
        </is>
      </c>
      <c r="C693" s="22" t="inlineStr">
        <is>
          <t>Wand</t>
        </is>
      </c>
      <c r="D693" s="22" t="inlineStr">
        <is>
          <t>Silver thread</t>
        </is>
      </c>
      <c r="E693" s="22" t="inlineStr">
        <is>
          <t>silver thread</t>
        </is>
      </c>
    </row>
    <row r="694" ht="15" customHeight="1" s="18">
      <c r="A694" s="22" t="n">
        <v>134</v>
      </c>
      <c r="B694" s="22" t="inlineStr">
        <is>
          <t>The Turning Leaf</t>
        </is>
      </c>
      <c r="C694" s="22" t="inlineStr">
        <is>
          <t>Rune</t>
        </is>
      </c>
      <c r="D694" s="22" t="inlineStr">
        <is>
          <t>Birch branch</t>
        </is>
      </c>
      <c r="E694" s="22" t="inlineStr">
        <is>
          <t>Birch branch</t>
        </is>
      </c>
    </row>
    <row r="695" ht="15" customHeight="1" s="18">
      <c r="A695" s="22" t="n">
        <v>134</v>
      </c>
      <c r="B695" s="22" t="inlineStr">
        <is>
          <t>The Turning Leaf</t>
        </is>
      </c>
      <c r="C695" s="22" t="inlineStr">
        <is>
          <t>Rune</t>
        </is>
      </c>
      <c r="D695" s="22" t="inlineStr">
        <is>
          <t>Autumn leaf</t>
        </is>
      </c>
      <c r="E695" s="22" t="inlineStr">
        <is>
          <t>an autumn leaf</t>
        </is>
      </c>
    </row>
    <row r="696" ht="15" customHeight="1" s="18">
      <c r="A696" s="22" t="n">
        <v>134</v>
      </c>
      <c r="B696" s="22" t="inlineStr">
        <is>
          <t>The Turning Leaf</t>
        </is>
      </c>
      <c r="C696" s="22" t="inlineStr">
        <is>
          <t>Rune</t>
        </is>
      </c>
      <c r="D696" s="22" t="inlineStr">
        <is>
          <t>Birch wood</t>
        </is>
      </c>
      <c r="E696" s="22" t="inlineStr">
        <is>
          <t>birch wood</t>
        </is>
      </c>
    </row>
    <row r="697" ht="15" customHeight="1" s="18">
      <c r="A697" s="22" t="n">
        <v>135</v>
      </c>
      <c r="B697" s="22" t="inlineStr">
        <is>
          <t>The Green Comet</t>
        </is>
      </c>
      <c r="C697" s="22" t="inlineStr">
        <is>
          <t>Sachet</t>
        </is>
      </c>
      <c r="D697" s="22" t="inlineStr">
        <is>
          <t>Snowdrop</t>
        </is>
      </c>
      <c r="E697" s="22" t="inlineStr">
        <is>
          <t>Snowdrop</t>
        </is>
      </c>
    </row>
    <row r="698" ht="15" customHeight="1" s="18">
      <c r="A698" s="22" t="n">
        <v>135</v>
      </c>
      <c r="B698" s="22" t="inlineStr">
        <is>
          <t>The Green Comet</t>
        </is>
      </c>
      <c r="C698" s="22" t="inlineStr">
        <is>
          <t>Sachet</t>
        </is>
      </c>
      <c r="D698" s="22" t="inlineStr">
        <is>
          <t>Daisy</t>
        </is>
      </c>
      <c r="E698" s="22" t="inlineStr">
        <is>
          <t>daisy</t>
        </is>
      </c>
    </row>
    <row r="699" ht="15" customHeight="1" s="18">
      <c r="A699" s="22" t="n">
        <v>135</v>
      </c>
      <c r="B699" s="22" t="inlineStr">
        <is>
          <t>The Green Comet</t>
        </is>
      </c>
      <c r="C699" s="22" t="inlineStr">
        <is>
          <t>Sachet</t>
        </is>
      </c>
      <c r="D699" s="22" t="inlineStr">
        <is>
          <t>Dandelion</t>
        </is>
      </c>
      <c r="E699" s="22" t="inlineStr">
        <is>
          <t>dandelion</t>
        </is>
      </c>
    </row>
    <row r="700" ht="15" customHeight="1" s="18">
      <c r="A700" s="22" t="n">
        <v>135</v>
      </c>
      <c r="B700" s="22" t="inlineStr">
        <is>
          <t>The Green Comet</t>
        </is>
      </c>
      <c r="C700" s="22" t="inlineStr">
        <is>
          <t>Sachet</t>
        </is>
      </c>
      <c r="D700" s="22" t="inlineStr">
        <is>
          <t>Peridot</t>
        </is>
      </c>
      <c r="E700" s="22" t="inlineStr">
        <is>
          <t>peridot</t>
        </is>
      </c>
    </row>
    <row r="701" ht="15" customHeight="1" s="18">
      <c r="A701" s="22" t="n">
        <v>135</v>
      </c>
      <c r="B701" s="22" t="inlineStr">
        <is>
          <t>The Green Comet</t>
        </is>
      </c>
      <c r="C701" s="22" t="inlineStr">
        <is>
          <t>Sachet</t>
        </is>
      </c>
      <c r="D701" s="22" t="inlineStr">
        <is>
          <t>Green thread</t>
        </is>
      </c>
      <c r="E701" s="22" t="inlineStr">
        <is>
          <t>green thread</t>
        </is>
      </c>
    </row>
    <row r="702" ht="15" customHeight="1" s="18">
      <c r="A702" s="22" t="n">
        <v>136</v>
      </c>
      <c r="B702" s="22" t="inlineStr">
        <is>
          <t>The Wintering Star</t>
        </is>
      </c>
      <c r="C702" s="22" t="inlineStr">
        <is>
          <t>Butter</t>
        </is>
      </c>
      <c r="D702" s="22" t="inlineStr">
        <is>
          <t>Butter</t>
        </is>
      </c>
      <c r="E702" s="22" t="inlineStr">
        <is>
          <t>Butter</t>
        </is>
      </c>
    </row>
    <row r="703" ht="15" customHeight="1" s="18">
      <c r="A703" s="22" t="n">
        <v>136</v>
      </c>
      <c r="B703" s="22" t="inlineStr">
        <is>
          <t>The Wintering Star</t>
        </is>
      </c>
      <c r="C703" s="22" t="inlineStr">
        <is>
          <t>Butter</t>
        </is>
      </c>
      <c r="D703" s="22" t="inlineStr">
        <is>
          <t>Clove</t>
        </is>
      </c>
      <c r="E703" s="22" t="inlineStr">
        <is>
          <t>clove</t>
        </is>
      </c>
    </row>
    <row r="704" ht="15" customHeight="1" s="18">
      <c r="A704" s="22" t="n">
        <v>136</v>
      </c>
      <c r="B704" s="22" t="inlineStr">
        <is>
          <t>The Wintering Star</t>
        </is>
      </c>
      <c r="C704" s="22" t="inlineStr">
        <is>
          <t>Butter</t>
        </is>
      </c>
      <c r="D704" s="22" t="inlineStr">
        <is>
          <t>Nutmeg</t>
        </is>
      </c>
      <c r="E704" s="22" t="inlineStr">
        <is>
          <t>nutmeg</t>
        </is>
      </c>
    </row>
    <row r="705" ht="15" customHeight="1" s="18">
      <c r="A705" s="22" t="n">
        <v>136</v>
      </c>
      <c r="B705" s="22" t="inlineStr">
        <is>
          <t>The Wintering Star</t>
        </is>
      </c>
      <c r="C705" s="22" t="inlineStr">
        <is>
          <t>Butter</t>
        </is>
      </c>
      <c r="D705" s="22" t="inlineStr">
        <is>
          <t>Orange peel</t>
        </is>
      </c>
      <c r="E705" s="22" t="inlineStr">
        <is>
          <t>orange zest</t>
        </is>
      </c>
    </row>
    <row r="706" ht="15" customHeight="1" s="18">
      <c r="A706" s="22" t="n">
        <v>136</v>
      </c>
      <c r="B706" s="22" t="inlineStr">
        <is>
          <t>The Wintering Star</t>
        </is>
      </c>
      <c r="C706" s="22" t="inlineStr">
        <is>
          <t>Butter</t>
        </is>
      </c>
      <c r="D706" s="22" t="inlineStr">
        <is>
          <t>Honey</t>
        </is>
      </c>
      <c r="E706" s="22" t="inlineStr">
        <is>
          <t>honey</t>
        </is>
      </c>
    </row>
    <row r="707" ht="15" customHeight="1" s="18">
      <c r="A707" s="22" t="n">
        <v>137</v>
      </c>
      <c r="B707" s="22" t="inlineStr">
        <is>
          <t>Solstice Honey</t>
        </is>
      </c>
      <c r="C707" s="22" t="inlineStr">
        <is>
          <t>Glamour</t>
        </is>
      </c>
      <c r="D707" s="22" t="inlineStr">
        <is>
          <t>Sunflower oil</t>
        </is>
      </c>
      <c r="E707" s="22" t="inlineStr">
        <is>
          <t>Sunflower oil</t>
        </is>
      </c>
    </row>
    <row r="708" ht="15" customHeight="1" s="18">
      <c r="A708" s="22" t="n">
        <v>137</v>
      </c>
      <c r="B708" s="22" t="inlineStr">
        <is>
          <t>Solstice Honey</t>
        </is>
      </c>
      <c r="C708" s="22" t="inlineStr">
        <is>
          <t>Glamour</t>
        </is>
      </c>
      <c r="D708" s="22" t="inlineStr">
        <is>
          <t>Honey</t>
        </is>
      </c>
      <c r="E708" s="22" t="inlineStr">
        <is>
          <t>honey</t>
        </is>
      </c>
    </row>
    <row r="709" ht="15" customHeight="1" s="18">
      <c r="A709" s="22" t="n">
        <v>137</v>
      </c>
      <c r="B709" s="22" t="inlineStr">
        <is>
          <t>Solstice Honey</t>
        </is>
      </c>
      <c r="C709" s="22" t="inlineStr">
        <is>
          <t>Glamour</t>
        </is>
      </c>
      <c r="D709" s="22" t="inlineStr">
        <is>
          <t>Calendula</t>
        </is>
      </c>
      <c r="E709" s="22" t="inlineStr">
        <is>
          <t>calendula</t>
        </is>
      </c>
    </row>
    <row r="710" ht="15" customHeight="1" s="18">
      <c r="A710" s="22" t="n">
        <v>137</v>
      </c>
      <c r="B710" s="22" t="inlineStr">
        <is>
          <t>Solstice Honey</t>
        </is>
      </c>
      <c r="C710" s="22" t="inlineStr">
        <is>
          <t>Glamour</t>
        </is>
      </c>
      <c r="D710" s="22" t="inlineStr">
        <is>
          <t>Gold mica</t>
        </is>
      </c>
      <c r="E710" s="22" t="inlineStr">
        <is>
          <t>gold mica</t>
        </is>
      </c>
    </row>
    <row r="711" ht="15" customHeight="1" s="18">
      <c r="A711" s="22" t="n">
        <v>137</v>
      </c>
      <c r="B711" s="22" t="inlineStr">
        <is>
          <t>Solstice Honey</t>
        </is>
      </c>
      <c r="C711" s="22" t="inlineStr">
        <is>
          <t>Glamour</t>
        </is>
      </c>
      <c r="D711" s="22" t="inlineStr">
        <is>
          <t>Sunstone</t>
        </is>
      </c>
      <c r="E711" s="22" t="inlineStr">
        <is>
          <t>sunstone</t>
        </is>
      </c>
    </row>
    <row r="712" ht="15" customHeight="1" s="18">
      <c r="A712" s="22" t="n">
        <v>138</v>
      </c>
      <c r="B712" s="22" t="inlineStr">
        <is>
          <t>The Copper Moon</t>
        </is>
      </c>
      <c r="C712" s="22" t="inlineStr">
        <is>
          <t>Witch Salt</t>
        </is>
      </c>
      <c r="D712" s="22" t="inlineStr">
        <is>
          <t>Sea salt</t>
        </is>
      </c>
      <c r="E712" s="22" t="inlineStr">
        <is>
          <t>Sea salt</t>
        </is>
      </c>
    </row>
    <row r="713" ht="15" customHeight="1" s="18">
      <c r="A713" s="22" t="n">
        <v>138</v>
      </c>
      <c r="B713" s="22" t="inlineStr">
        <is>
          <t>The Copper Moon</t>
        </is>
      </c>
      <c r="C713" s="22" t="inlineStr">
        <is>
          <t>Witch Salt</t>
        </is>
      </c>
      <c r="D713" s="22" t="inlineStr">
        <is>
          <t>Apple peel</t>
        </is>
      </c>
      <c r="E713" s="22" t="inlineStr">
        <is>
          <t>apple peel</t>
        </is>
      </c>
    </row>
    <row r="714" ht="15" customHeight="1" s="18">
      <c r="A714" s="22" t="n">
        <v>138</v>
      </c>
      <c r="B714" s="22" t="inlineStr">
        <is>
          <t>The Copper Moon</t>
        </is>
      </c>
      <c r="C714" s="22" t="inlineStr">
        <is>
          <t>Witch Salt</t>
        </is>
      </c>
      <c r="D714" s="22" t="inlineStr">
        <is>
          <t>Fennel seed</t>
        </is>
      </c>
      <c r="E714" s="22" t="inlineStr">
        <is>
          <t>fennel seed</t>
        </is>
      </c>
    </row>
    <row r="715" ht="15" customHeight="1" s="18">
      <c r="A715" s="22" t="n">
        <v>138</v>
      </c>
      <c r="B715" s="22" t="inlineStr">
        <is>
          <t>The Copper Moon</t>
        </is>
      </c>
      <c r="C715" s="22" t="inlineStr">
        <is>
          <t>Witch Salt</t>
        </is>
      </c>
      <c r="D715" s="22" t="inlineStr">
        <is>
          <t>Autumn leaf</t>
        </is>
      </c>
      <c r="E715" s="22" t="inlineStr">
        <is>
          <t>dried oak leaf</t>
        </is>
      </c>
    </row>
    <row r="716" ht="15" customHeight="1" s="18">
      <c r="A716" s="22" t="n">
        <v>138</v>
      </c>
      <c r="B716" s="22" t="inlineStr">
        <is>
          <t>The Copper Moon</t>
        </is>
      </c>
      <c r="C716" s="22" t="inlineStr">
        <is>
          <t>Witch Salt</t>
        </is>
      </c>
      <c r="D716" s="22" t="inlineStr">
        <is>
          <t>Malachite</t>
        </is>
      </c>
      <c r="E716" s="22" t="inlineStr">
        <is>
          <t>malachite</t>
        </is>
      </c>
    </row>
    <row r="717" ht="15" customHeight="1" s="18">
      <c r="A717" s="22" t="n">
        <v>139</v>
      </c>
      <c r="B717" s="22" t="inlineStr">
        <is>
          <t>The North Star Within</t>
        </is>
      </c>
      <c r="C717" s="22" t="inlineStr">
        <is>
          <t>Amulet</t>
        </is>
      </c>
      <c r="D717" s="22" t="inlineStr">
        <is>
          <t>Hematite</t>
        </is>
      </c>
      <c r="E717" s="22" t="inlineStr">
        <is>
          <t>Hematite</t>
        </is>
      </c>
    </row>
    <row r="718" ht="15" customHeight="1" s="18">
      <c r="A718" s="22" t="n">
        <v>139</v>
      </c>
      <c r="B718" s="22" t="inlineStr">
        <is>
          <t>The North Star Within</t>
        </is>
      </c>
      <c r="C718" s="22" t="inlineStr">
        <is>
          <t>Amulet</t>
        </is>
      </c>
      <c r="D718" s="22" t="inlineStr">
        <is>
          <t>Clear quartz</t>
        </is>
      </c>
      <c r="E718" s="22" t="inlineStr">
        <is>
          <t>clear quartz</t>
        </is>
      </c>
    </row>
    <row r="719" ht="15" customHeight="1" s="18">
      <c r="A719" s="22" t="n">
        <v>139</v>
      </c>
      <c r="B719" s="22" t="inlineStr">
        <is>
          <t>The North Star Within</t>
        </is>
      </c>
      <c r="C719" s="22" t="inlineStr">
        <is>
          <t>Amulet</t>
        </is>
      </c>
      <c r="D719" s="22" t="inlineStr">
        <is>
          <t>Silver thread</t>
        </is>
      </c>
      <c r="E719" s="22" t="inlineStr">
        <is>
          <t>silver thread</t>
        </is>
      </c>
    </row>
    <row r="720" ht="15" customHeight="1" s="18">
      <c r="A720" s="22" t="n">
        <v>140</v>
      </c>
      <c r="B720" s="22" t="inlineStr">
        <is>
          <t>The Moonlit Appointment</t>
        </is>
      </c>
      <c r="C720" s="22" t="inlineStr">
        <is>
          <t>Witch's Ladder</t>
        </is>
      </c>
      <c r="D720" s="22" t="inlineStr">
        <is>
          <t>Silver thread</t>
        </is>
      </c>
      <c r="E720" s="22" t="inlineStr">
        <is>
          <t>Silver, white and blue thread (thirteen knots)</t>
        </is>
      </c>
    </row>
    <row r="721" ht="15" customHeight="1" s="18">
      <c r="A721" s="22" t="n">
        <v>140</v>
      </c>
      <c r="B721" s="22" t="inlineStr">
        <is>
          <t>The Moonlit Appointment</t>
        </is>
      </c>
      <c r="C721" s="22" t="inlineStr">
        <is>
          <t>Witch's Ladder</t>
        </is>
      </c>
      <c r="D721" s="22" t="inlineStr">
        <is>
          <t>White thread</t>
        </is>
      </c>
      <c r="E721" s="22" t="inlineStr">
        <is>
          <t>Silver, white and blue thread (thirteen knots)</t>
        </is>
      </c>
    </row>
    <row r="722" ht="15" customHeight="1" s="18">
      <c r="A722" s="22" t="n">
        <v>140</v>
      </c>
      <c r="B722" s="22" t="inlineStr">
        <is>
          <t>The Moonlit Appointment</t>
        </is>
      </c>
      <c r="C722" s="22" t="inlineStr">
        <is>
          <t>Witch's Ladder</t>
        </is>
      </c>
      <c r="D722" s="22" t="inlineStr">
        <is>
          <t>Blue thread</t>
        </is>
      </c>
      <c r="E722" s="22" t="inlineStr">
        <is>
          <t>Silver, white and blue thread (thirteen knots)</t>
        </is>
      </c>
    </row>
    <row r="723" ht="15" customHeight="1" s="18">
      <c r="A723" s="22" t="n">
        <v>140</v>
      </c>
      <c r="B723" s="22" t="inlineStr">
        <is>
          <t>The Moonlit Appointment</t>
        </is>
      </c>
      <c r="C723" s="22" t="inlineStr">
        <is>
          <t>Witch's Ladder</t>
        </is>
      </c>
      <c r="D723" s="22" t="inlineStr">
        <is>
          <t>Moonstone</t>
        </is>
      </c>
      <c r="E723" s="22" t="inlineStr">
        <is>
          <t>moonstone</t>
        </is>
      </c>
    </row>
    <row r="724" ht="15" customHeight="1" s="18">
      <c r="A724" s="22" t="n">
        <v>140</v>
      </c>
      <c r="B724" s="22" t="inlineStr">
        <is>
          <t>The Moonlit Appointment</t>
        </is>
      </c>
      <c r="C724" s="22" t="inlineStr">
        <is>
          <t>Witch's Ladder</t>
        </is>
      </c>
      <c r="D724" s="22" t="inlineStr">
        <is>
          <t>Owl feather</t>
        </is>
      </c>
      <c r="E724" s="22" t="inlineStr">
        <is>
          <t>owl feather</t>
        </is>
      </c>
    </row>
    <row r="725" ht="15" customHeight="1" s="18">
      <c r="A725" s="22" t="n">
        <v>141</v>
      </c>
      <c r="B725" s="22" t="inlineStr">
        <is>
          <t>Orbit of Becoming</t>
        </is>
      </c>
      <c r="C725" s="22" t="inlineStr">
        <is>
          <t>Poppet</t>
        </is>
      </c>
      <c r="D725" s="22" t="inlineStr">
        <is>
          <t>Muslin</t>
        </is>
      </c>
      <c r="E725" s="22" t="inlineStr">
        <is>
          <t>Muslin</t>
        </is>
      </c>
    </row>
    <row r="726" ht="15" customHeight="1" s="18">
      <c r="A726" s="22" t="n">
        <v>141</v>
      </c>
      <c r="B726" s="22" t="inlineStr">
        <is>
          <t>Orbit of Becoming</t>
        </is>
      </c>
      <c r="C726" s="22" t="inlineStr">
        <is>
          <t>Poppet</t>
        </is>
      </c>
      <c r="D726" s="22" t="inlineStr">
        <is>
          <t>Snail shell</t>
        </is>
      </c>
      <c r="E726" s="22" t="inlineStr">
        <is>
          <t>snail shell</t>
        </is>
      </c>
    </row>
    <row r="727" ht="15" customHeight="1" s="18">
      <c r="A727" s="22" t="n">
        <v>141</v>
      </c>
      <c r="B727" s="22" t="inlineStr">
        <is>
          <t>Orbit of Becoming</t>
        </is>
      </c>
      <c r="C727" s="22" t="inlineStr">
        <is>
          <t>Poppet</t>
        </is>
      </c>
      <c r="D727" s="22" t="inlineStr">
        <is>
          <t>Rosebud</t>
        </is>
      </c>
      <c r="E727" s="22" t="inlineStr">
        <is>
          <t>rosebud</t>
        </is>
      </c>
    </row>
    <row r="728" ht="15" customHeight="1" s="18">
      <c r="A728" s="22" t="n">
        <v>141</v>
      </c>
      <c r="B728" s="22" t="inlineStr">
        <is>
          <t>Orbit of Becoming</t>
        </is>
      </c>
      <c r="C728" s="22" t="inlineStr">
        <is>
          <t>Poppet</t>
        </is>
      </c>
      <c r="D728" s="22" t="inlineStr">
        <is>
          <t>Labradorite</t>
        </is>
      </c>
      <c r="E728" s="22" t="inlineStr">
        <is>
          <t>labradorite</t>
        </is>
      </c>
    </row>
    <row r="729" ht="15" customHeight="1" s="18">
      <c r="A729" s="22" t="n">
        <v>142</v>
      </c>
      <c r="B729" s="22" t="inlineStr">
        <is>
          <t>Velvet Firmament</t>
        </is>
      </c>
      <c r="C729" s="22" t="inlineStr">
        <is>
          <t>Soap</t>
        </is>
      </c>
      <c r="D729" s="22" t="inlineStr">
        <is>
          <t>Soap base (charcoal)</t>
        </is>
      </c>
      <c r="E729" s="22" t="inlineStr">
        <is>
          <t>Charcoal soap base</t>
        </is>
      </c>
    </row>
    <row r="730" ht="15" customHeight="1" s="18">
      <c r="A730" s="22" t="n">
        <v>142</v>
      </c>
      <c r="B730" s="22" t="inlineStr">
        <is>
          <t>Velvet Firmament</t>
        </is>
      </c>
      <c r="C730" s="22" t="inlineStr">
        <is>
          <t>Soap</t>
        </is>
      </c>
      <c r="D730" s="22" t="inlineStr">
        <is>
          <t>Silver mica</t>
        </is>
      </c>
      <c r="E730" s="22" t="inlineStr">
        <is>
          <t>silver mica</t>
        </is>
      </c>
    </row>
    <row r="731" ht="15" customHeight="1" s="18">
      <c r="A731" s="22" t="n">
        <v>142</v>
      </c>
      <c r="B731" s="22" t="inlineStr">
        <is>
          <t>Velvet Firmament</t>
        </is>
      </c>
      <c r="C731" s="22" t="inlineStr">
        <is>
          <t>Soap</t>
        </is>
      </c>
      <c r="D731" s="22" t="inlineStr">
        <is>
          <t>Lavender</t>
        </is>
      </c>
      <c r="E731" s="22" t="inlineStr">
        <is>
          <t>lavender</t>
        </is>
      </c>
    </row>
    <row r="732" ht="15" customHeight="1" s="18">
      <c r="A732" s="22" t="n">
        <v>142</v>
      </c>
      <c r="B732" s="22" t="inlineStr">
        <is>
          <t>Velvet Firmament</t>
        </is>
      </c>
      <c r="C732" s="22" t="inlineStr">
        <is>
          <t>Soap</t>
        </is>
      </c>
      <c r="D732" s="22" t="inlineStr">
        <is>
          <t>Star anise</t>
        </is>
      </c>
      <c r="E732" s="22" t="inlineStr">
        <is>
          <t>star anise</t>
        </is>
      </c>
    </row>
    <row r="733" ht="15" customHeight="1" s="18">
      <c r="A733" s="22" t="n">
        <v>143</v>
      </c>
      <c r="B733" s="22" t="inlineStr">
        <is>
          <t>The Planetary Muse</t>
        </is>
      </c>
      <c r="C733" s="22" t="inlineStr">
        <is>
          <t>Powder</t>
        </is>
      </c>
      <c r="D733" s="22" t="inlineStr">
        <is>
          <t>Violet</t>
        </is>
      </c>
      <c r="E733" s="22" t="inlineStr">
        <is>
          <t>Violet</t>
        </is>
      </c>
    </row>
    <row r="734" ht="15" customHeight="1" s="18">
      <c r="A734" s="22" t="n">
        <v>143</v>
      </c>
      <c r="B734" s="22" t="inlineStr">
        <is>
          <t>The Planetary Muse</t>
        </is>
      </c>
      <c r="C734" s="22" t="inlineStr">
        <is>
          <t>Powder</t>
        </is>
      </c>
      <c r="D734" s="22" t="inlineStr">
        <is>
          <t>Saffron</t>
        </is>
      </c>
      <c r="E734" s="22" t="inlineStr">
        <is>
          <t>saffron</t>
        </is>
      </c>
    </row>
    <row r="735" ht="15" customHeight="1" s="18">
      <c r="A735" s="22" t="n">
        <v>143</v>
      </c>
      <c r="B735" s="22" t="inlineStr">
        <is>
          <t>The Planetary Muse</t>
        </is>
      </c>
      <c r="C735" s="22" t="inlineStr">
        <is>
          <t>Powder</t>
        </is>
      </c>
      <c r="D735" s="22" t="inlineStr">
        <is>
          <t>Elderflower</t>
        </is>
      </c>
      <c r="E735" s="22" t="inlineStr">
        <is>
          <t>elderflower</t>
        </is>
      </c>
    </row>
    <row r="736" ht="15" customHeight="1" s="18">
      <c r="A736" s="22" t="n">
        <v>143</v>
      </c>
      <c r="B736" s="22" t="inlineStr">
        <is>
          <t>The Planetary Muse</t>
        </is>
      </c>
      <c r="C736" s="22" t="inlineStr">
        <is>
          <t>Powder</t>
        </is>
      </c>
      <c r="D736" s="22" t="inlineStr">
        <is>
          <t>Star anise</t>
        </is>
      </c>
      <c r="E736" s="22" t="inlineStr">
        <is>
          <t>star anise</t>
        </is>
      </c>
    </row>
    <row r="737" ht="15" customHeight="1" s="18">
      <c r="A737" s="22" t="n">
        <v>143</v>
      </c>
      <c r="B737" s="22" t="inlineStr">
        <is>
          <t>The Planetary Muse</t>
        </is>
      </c>
      <c r="C737" s="22" t="inlineStr">
        <is>
          <t>Powder</t>
        </is>
      </c>
      <c r="D737" s="22" t="inlineStr">
        <is>
          <t>Pine</t>
        </is>
      </c>
      <c r="E737" s="22" t="inlineStr">
        <is>
          <t>pine</t>
        </is>
      </c>
    </row>
    <row r="738" ht="15" customHeight="1" s="18">
      <c r="A738" s="22" t="n">
        <v>143</v>
      </c>
      <c r="B738" s="22" t="inlineStr">
        <is>
          <t>The Planetary Muse</t>
        </is>
      </c>
      <c r="C738" s="22" t="inlineStr">
        <is>
          <t>Powder</t>
        </is>
      </c>
      <c r="D738" s="22" t="inlineStr">
        <is>
          <t>Copal</t>
        </is>
      </c>
      <c r="E738" s="22" t="inlineStr">
        <is>
          <t>copal</t>
        </is>
      </c>
    </row>
    <row r="739" ht="15" customHeight="1" s="18">
      <c r="A739" s="22" t="n">
        <v>143</v>
      </c>
      <c r="B739" s="22" t="inlineStr">
        <is>
          <t>The Planetary Muse</t>
        </is>
      </c>
      <c r="C739" s="22" t="inlineStr">
        <is>
          <t>Powder</t>
        </is>
      </c>
      <c r="D739" s="22" t="inlineStr">
        <is>
          <t>Pressed moon petals</t>
        </is>
      </c>
      <c r="E739" s="22" t="inlineStr">
        <is>
          <t>pressed moon petals</t>
        </is>
      </c>
    </row>
    <row r="740" ht="15" customHeight="1" s="18">
      <c r="A740" s="22" t="n">
        <v>144</v>
      </c>
      <c r="B740" s="22" t="inlineStr">
        <is>
          <t>The Sun's Little Promise</t>
        </is>
      </c>
      <c r="C740" s="22" t="inlineStr">
        <is>
          <t>Charm</t>
        </is>
      </c>
      <c r="D740" s="22" t="inlineStr">
        <is>
          <t>Orange</t>
        </is>
      </c>
      <c r="E740" s="22" t="inlineStr">
        <is>
          <t>Dried orange slice</t>
        </is>
      </c>
    </row>
    <row r="741" ht="15" customHeight="1" s="18">
      <c r="A741" s="22" t="n">
        <v>144</v>
      </c>
      <c r="B741" s="22" t="inlineStr">
        <is>
          <t>The Sun's Little Promise</t>
        </is>
      </c>
      <c r="C741" s="22" t="inlineStr">
        <is>
          <t>Charm</t>
        </is>
      </c>
      <c r="D741" s="22" t="inlineStr">
        <is>
          <t>Vanilla</t>
        </is>
      </c>
      <c r="E741" s="22" t="inlineStr">
        <is>
          <t>vanilla</t>
        </is>
      </c>
    </row>
    <row r="742" ht="15" customHeight="1" s="18">
      <c r="A742" s="22" t="n">
        <v>144</v>
      </c>
      <c r="B742" s="22" t="inlineStr">
        <is>
          <t>The Sun's Little Promise</t>
        </is>
      </c>
      <c r="C742" s="22" t="inlineStr">
        <is>
          <t>Charm</t>
        </is>
      </c>
      <c r="D742" s="22" t="inlineStr">
        <is>
          <t>Sunstone</t>
        </is>
      </c>
      <c r="E742" s="22" t="inlineStr">
        <is>
          <t>sunstone</t>
        </is>
      </c>
    </row>
    <row r="743" ht="15" customHeight="1" s="18">
      <c r="A743" s="22" t="n">
        <v>144</v>
      </c>
      <c r="B743" s="22" t="inlineStr">
        <is>
          <t>The Sun's Little Promise</t>
        </is>
      </c>
      <c r="C743" s="22" t="inlineStr">
        <is>
          <t>Charm</t>
        </is>
      </c>
      <c r="D743" s="22" t="inlineStr">
        <is>
          <t>Patchwork scraps</t>
        </is>
      </c>
      <c r="E743" s="22" t="inlineStr">
        <is>
          <t>patchwork scraps</t>
        </is>
      </c>
    </row>
    <row r="744" ht="15" customHeight="1" s="18">
      <c r="A744" s="22" t="n">
        <v>145</v>
      </c>
      <c r="B744" s="22" t="inlineStr">
        <is>
          <t>The Tidal Heart</t>
        </is>
      </c>
      <c r="C744" s="22" t="inlineStr">
        <is>
          <t>Tonic</t>
        </is>
      </c>
      <c r="D744" s="22" t="inlineStr">
        <is>
          <t>Sea Water</t>
        </is>
      </c>
      <c r="E744" s="22" t="inlineStr">
        <is>
          <t>Sea Water (a few drops)</t>
        </is>
      </c>
    </row>
    <row r="745" ht="15" customHeight="1" s="18">
      <c r="A745" s="22" t="n">
        <v>145</v>
      </c>
      <c r="B745" s="22" t="inlineStr">
        <is>
          <t>The Tidal Heart</t>
        </is>
      </c>
      <c r="C745" s="22" t="inlineStr">
        <is>
          <t>Tonic</t>
        </is>
      </c>
      <c r="D745" s="22" t="inlineStr">
        <is>
          <t>Moonwater</t>
        </is>
      </c>
      <c r="E745" s="22" t="inlineStr">
        <is>
          <t>Moonwater</t>
        </is>
      </c>
    </row>
    <row r="746" ht="15" customHeight="1" s="18">
      <c r="A746" s="22" t="n">
        <v>145</v>
      </c>
      <c r="B746" s="22" t="inlineStr">
        <is>
          <t>The Tidal Heart</t>
        </is>
      </c>
      <c r="C746" s="22" t="inlineStr">
        <is>
          <t>Tonic</t>
        </is>
      </c>
      <c r="D746" s="22" t="inlineStr">
        <is>
          <t>Lime peel</t>
        </is>
      </c>
      <c r="E746" s="22" t="inlineStr">
        <is>
          <t>lime peel</t>
        </is>
      </c>
    </row>
    <row r="747" ht="15" customHeight="1" s="18">
      <c r="A747" s="22" t="n">
        <v>145</v>
      </c>
      <c r="B747" s="22" t="inlineStr">
        <is>
          <t>The Tidal Heart</t>
        </is>
      </c>
      <c r="C747" s="22" t="inlineStr">
        <is>
          <t>Tonic</t>
        </is>
      </c>
      <c r="D747" s="22" t="inlineStr">
        <is>
          <t>Aquamarine</t>
        </is>
      </c>
      <c r="E747" s="22" t="inlineStr">
        <is>
          <t>aquamarine set beside the cup</t>
        </is>
      </c>
    </row>
    <row r="748" ht="15" customHeight="1" s="18">
      <c r="A748" s="22" t="n">
        <v>146</v>
      </c>
      <c r="B748" s="22" t="inlineStr">
        <is>
          <t>The Uncharted Sky</t>
        </is>
      </c>
      <c r="C748" s="22" t="inlineStr">
        <is>
          <t>Balm</t>
        </is>
      </c>
      <c r="D748" s="22" t="inlineStr">
        <is>
          <t>Shea butter</t>
        </is>
      </c>
      <c r="E748" s="22" t="inlineStr">
        <is>
          <t>Shea butter</t>
        </is>
      </c>
    </row>
    <row r="749" ht="15" customHeight="1" s="18">
      <c r="A749" s="22" t="n">
        <v>146</v>
      </c>
      <c r="B749" s="22" t="inlineStr">
        <is>
          <t>The Uncharted Sky</t>
        </is>
      </c>
      <c r="C749" s="22" t="inlineStr">
        <is>
          <t>Balm</t>
        </is>
      </c>
      <c r="D749" s="22" t="inlineStr">
        <is>
          <t>Lavender</t>
        </is>
      </c>
      <c r="E749" s="22" t="inlineStr">
        <is>
          <t>lavender</t>
        </is>
      </c>
    </row>
    <row r="750" ht="15" customHeight="1" s="18">
      <c r="A750" s="22" t="n">
        <v>146</v>
      </c>
      <c r="B750" s="22" t="inlineStr">
        <is>
          <t>The Uncharted Sky</t>
        </is>
      </c>
      <c r="C750" s="22" t="inlineStr">
        <is>
          <t>Balm</t>
        </is>
      </c>
      <c r="D750" s="22" t="inlineStr">
        <is>
          <t>Chamomile</t>
        </is>
      </c>
      <c r="E750" s="22" t="inlineStr">
        <is>
          <t>chamomile</t>
        </is>
      </c>
    </row>
    <row r="751" ht="15" customHeight="1" s="18">
      <c r="A751" s="22" t="n">
        <v>146</v>
      </c>
      <c r="B751" s="22" t="inlineStr">
        <is>
          <t>The Uncharted Sky</t>
        </is>
      </c>
      <c r="C751" s="22" t="inlineStr">
        <is>
          <t>Balm</t>
        </is>
      </c>
      <c r="D751" s="22" t="inlineStr">
        <is>
          <t>Cornflower</t>
        </is>
      </c>
      <c r="E751" s="22" t="inlineStr">
        <is>
          <t>blue cornflower</t>
        </is>
      </c>
    </row>
    <row r="752" ht="15" customHeight="1" s="18">
      <c r="A752" s="22" t="n">
        <v>147</v>
      </c>
      <c r="B752" s="22" t="inlineStr">
        <is>
          <t>Stardust Permission Slip</t>
        </is>
      </c>
      <c r="C752" s="22" t="inlineStr">
        <is>
          <t>Charm</t>
        </is>
      </c>
      <c r="D752" s="22" t="inlineStr">
        <is>
          <t>Paper</t>
        </is>
      </c>
      <c r="E752" s="22" t="inlineStr">
        <is>
          <t>Paper slip</t>
        </is>
      </c>
    </row>
    <row r="753" ht="15" customHeight="1" s="18">
      <c r="A753" s="22" t="n">
        <v>147</v>
      </c>
      <c r="B753" s="22" t="inlineStr">
        <is>
          <t>Stardust Permission Slip</t>
        </is>
      </c>
      <c r="C753" s="22" t="inlineStr">
        <is>
          <t>Charm</t>
        </is>
      </c>
      <c r="D753" s="22" t="inlineStr">
        <is>
          <t>Silver glitter</t>
        </is>
      </c>
      <c r="E753" s="22" t="inlineStr">
        <is>
          <t>silver glitter</t>
        </is>
      </c>
    </row>
    <row r="754" ht="15" customHeight="1" s="18">
      <c r="A754" s="22" t="n">
        <v>147</v>
      </c>
      <c r="B754" s="22" t="inlineStr">
        <is>
          <t>Stardust Permission Slip</t>
        </is>
      </c>
      <c r="C754" s="22" t="inlineStr">
        <is>
          <t>Charm</t>
        </is>
      </c>
      <c r="D754" s="22" t="inlineStr">
        <is>
          <t>Vanilla</t>
        </is>
      </c>
      <c r="E754" s="22" t="inlineStr">
        <is>
          <t>vanilla</t>
        </is>
      </c>
    </row>
    <row r="755" ht="15" customHeight="1" s="18">
      <c r="A755" s="22" t="n">
        <v>147</v>
      </c>
      <c r="B755" s="22" t="inlineStr">
        <is>
          <t>Stardust Permission Slip</t>
        </is>
      </c>
      <c r="C755" s="22" t="inlineStr">
        <is>
          <t>Charm</t>
        </is>
      </c>
      <c r="D755" s="22" t="inlineStr">
        <is>
          <t>Star-shaped button</t>
        </is>
      </c>
      <c r="E755" s="22" t="inlineStr">
        <is>
          <t>star-shaped button</t>
        </is>
      </c>
    </row>
    <row r="756" ht="15" customHeight="1" s="18">
      <c r="A756" s="22" t="n">
        <v>148</v>
      </c>
      <c r="B756" s="22" t="inlineStr">
        <is>
          <t>The Lunar Keepsake</t>
        </is>
      </c>
      <c r="C756" s="22" t="inlineStr">
        <is>
          <t>Amulet</t>
        </is>
      </c>
      <c r="D756" s="22" t="inlineStr">
        <is>
          <t>Moonstone</t>
        </is>
      </c>
      <c r="E756" s="22" t="inlineStr">
        <is>
          <t>Moonstone</t>
        </is>
      </c>
    </row>
    <row r="757" ht="15" customHeight="1" s="18">
      <c r="A757" s="22" t="n">
        <v>148</v>
      </c>
      <c r="B757" s="22" t="inlineStr">
        <is>
          <t>The Lunar Keepsake</t>
        </is>
      </c>
      <c r="C757" s="22" t="inlineStr">
        <is>
          <t>Amulet</t>
        </is>
      </c>
      <c r="D757" s="22" t="inlineStr">
        <is>
          <t>Mugwort</t>
        </is>
      </c>
      <c r="E757" s="22" t="inlineStr">
        <is>
          <t>mugwort</t>
        </is>
      </c>
    </row>
    <row r="758" ht="15" customHeight="1" s="18">
      <c r="A758" s="22" t="n">
        <v>148</v>
      </c>
      <c r="B758" s="22" t="inlineStr">
        <is>
          <t>The Lunar Keepsake</t>
        </is>
      </c>
      <c r="C758" s="22" t="inlineStr">
        <is>
          <t>Amulet</t>
        </is>
      </c>
      <c r="D758" s="22" t="inlineStr">
        <is>
          <t>Moonwater</t>
        </is>
      </c>
      <c r="E758" s="22" t="inlineStr">
        <is>
          <t>Moonwater</t>
        </is>
      </c>
    </row>
    <row r="759" ht="15" customHeight="1" s="18">
      <c r="A759" s="22" t="n">
        <v>148</v>
      </c>
      <c r="B759" s="22" t="inlineStr">
        <is>
          <t>The Lunar Keepsake</t>
        </is>
      </c>
      <c r="C759" s="22" t="inlineStr">
        <is>
          <t>Amulet</t>
        </is>
      </c>
      <c r="D759" s="22" t="inlineStr">
        <is>
          <t>Silver thread</t>
        </is>
      </c>
      <c r="E759" s="22" t="inlineStr">
        <is>
          <t>silver thread</t>
        </is>
      </c>
    </row>
    <row r="760" ht="15" customHeight="1" s="18">
      <c r="A760" s="22" t="n">
        <v>149</v>
      </c>
      <c r="B760" s="22" t="inlineStr">
        <is>
          <t>The Orbit Marker</t>
        </is>
      </c>
      <c r="C760" s="22" t="inlineStr">
        <is>
          <t>Powder</t>
        </is>
      </c>
      <c r="D760" s="22" t="inlineStr">
        <is>
          <t>Gold mica</t>
        </is>
      </c>
      <c r="E760" s="22" t="inlineStr">
        <is>
          <t>Gold mica</t>
        </is>
      </c>
    </row>
    <row r="761" ht="15" customHeight="1" s="18">
      <c r="A761" s="22" t="n">
        <v>149</v>
      </c>
      <c r="B761" s="22" t="inlineStr">
        <is>
          <t>The Orbit Marker</t>
        </is>
      </c>
      <c r="C761" s="22" t="inlineStr">
        <is>
          <t>Powder</t>
        </is>
      </c>
      <c r="D761" s="22" t="inlineStr">
        <is>
          <t>Cinnamon</t>
        </is>
      </c>
      <c r="E761" s="22" t="inlineStr">
        <is>
          <t>cinnamon</t>
        </is>
      </c>
    </row>
    <row r="762" ht="15" customHeight="1" s="18">
      <c r="A762" s="22" t="n">
        <v>149</v>
      </c>
      <c r="B762" s="22" t="inlineStr">
        <is>
          <t>The Orbit Marker</t>
        </is>
      </c>
      <c r="C762" s="22" t="inlineStr">
        <is>
          <t>Powder</t>
        </is>
      </c>
      <c r="D762" s="22" t="inlineStr">
        <is>
          <t>Bay leaf</t>
        </is>
      </c>
      <c r="E762" s="22" t="inlineStr">
        <is>
          <t>bay leaf</t>
        </is>
      </c>
    </row>
    <row r="763" ht="15" customHeight="1" s="18">
      <c r="A763" s="22" t="n">
        <v>149</v>
      </c>
      <c r="B763" s="22" t="inlineStr">
        <is>
          <t>The Orbit Marker</t>
        </is>
      </c>
      <c r="C763" s="22" t="inlineStr">
        <is>
          <t>Powder</t>
        </is>
      </c>
      <c r="D763" s="22" t="inlineStr">
        <is>
          <t>Sunstone</t>
        </is>
      </c>
      <c r="E763" s="22" t="inlineStr">
        <is>
          <t>sunstone</t>
        </is>
      </c>
    </row>
    <row r="764" ht="15" customHeight="1" s="18">
      <c r="A764" s="22" t="n">
        <v>150</v>
      </c>
      <c r="B764" s="22" t="inlineStr">
        <is>
          <t>The Promise of Blue Hour</t>
        </is>
      </c>
      <c r="C764" s="22" t="inlineStr">
        <is>
          <t>Oil</t>
        </is>
      </c>
      <c r="D764" s="22" t="inlineStr">
        <is>
          <t>Jojoba oil</t>
        </is>
      </c>
      <c r="E764" s="22" t="inlineStr">
        <is>
          <t>Jojoba oil</t>
        </is>
      </c>
    </row>
    <row r="765" ht="15" customHeight="1" s="18">
      <c r="A765" s="22" t="n">
        <v>150</v>
      </c>
      <c r="B765" s="22" t="inlineStr">
        <is>
          <t>The Promise of Blue Hour</t>
        </is>
      </c>
      <c r="C765" s="22" t="inlineStr">
        <is>
          <t>Oil</t>
        </is>
      </c>
      <c r="D765" s="22" t="inlineStr">
        <is>
          <t>Snowdrop</t>
        </is>
      </c>
      <c r="E765" s="22" t="inlineStr">
        <is>
          <t>snowdrop</t>
        </is>
      </c>
    </row>
    <row r="766" ht="15" customHeight="1" s="18">
      <c r="A766" s="22" t="n">
        <v>150</v>
      </c>
      <c r="B766" s="22" t="inlineStr">
        <is>
          <t>The Promise of Blue Hour</t>
        </is>
      </c>
      <c r="C766" s="22" t="inlineStr">
        <is>
          <t>Oil</t>
        </is>
      </c>
      <c r="D766" s="22" t="inlineStr">
        <is>
          <t>Lavender</t>
        </is>
      </c>
      <c r="E766" s="22" t="inlineStr">
        <is>
          <t>lavender</t>
        </is>
      </c>
    </row>
    <row r="767" ht="15" customHeight="1" s="18">
      <c r="A767" s="22" t="n">
        <v>150</v>
      </c>
      <c r="B767" s="22" t="inlineStr">
        <is>
          <t>The Promise of Blue Hour</t>
        </is>
      </c>
      <c r="C767" s="22" t="inlineStr">
        <is>
          <t>Oil</t>
        </is>
      </c>
      <c r="D767" s="22" t="inlineStr">
        <is>
          <t>Bergamot</t>
        </is>
      </c>
      <c r="E767" s="22" t="inlineStr">
        <is>
          <t>bergamot</t>
        </is>
      </c>
    </row>
    <row r="768" ht="15" customHeight="1" s="18">
      <c r="A768" s="22" t="n">
        <v>150</v>
      </c>
      <c r="B768" s="22" t="inlineStr">
        <is>
          <t>The Promise of Blue Hour</t>
        </is>
      </c>
      <c r="C768" s="22" t="inlineStr">
        <is>
          <t>Oil</t>
        </is>
      </c>
      <c r="D768" s="22" t="inlineStr">
        <is>
          <t>Aquamarine</t>
        </is>
      </c>
      <c r="E768" s="22" t="inlineStr">
        <is>
          <t>aquamarine</t>
        </is>
      </c>
    </row>
    <row r="769" ht="15" customHeight="1" s="18">
      <c r="A769" s="22" t="n">
        <v>151</v>
      </c>
      <c r="B769" s="22" t="inlineStr">
        <is>
          <t>Rise, Little Flame</t>
        </is>
      </c>
      <c r="C769" s="22" t="inlineStr">
        <is>
          <t>Tonic</t>
        </is>
      </c>
      <c r="D769" s="22" t="inlineStr">
        <is>
          <t>Sunwater</t>
        </is>
      </c>
      <c r="E769" s="22" t="inlineStr">
        <is>
          <t>Sunwater</t>
        </is>
      </c>
    </row>
    <row r="770" ht="15" customHeight="1" s="18">
      <c r="A770" s="22" t="n">
        <v>151</v>
      </c>
      <c r="B770" s="22" t="inlineStr">
        <is>
          <t>Rise, Little Flame</t>
        </is>
      </c>
      <c r="C770" s="22" t="inlineStr">
        <is>
          <t>Tonic</t>
        </is>
      </c>
      <c r="D770" s="22" t="inlineStr">
        <is>
          <t>Ginger</t>
        </is>
      </c>
      <c r="E770" s="22" t="inlineStr">
        <is>
          <t>ginger</t>
        </is>
      </c>
    </row>
    <row r="771" ht="15" customHeight="1" s="18">
      <c r="A771" s="22" t="n">
        <v>151</v>
      </c>
      <c r="B771" s="22" t="inlineStr">
        <is>
          <t>Rise, Little Flame</t>
        </is>
      </c>
      <c r="C771" s="22" t="inlineStr">
        <is>
          <t>Tonic</t>
        </is>
      </c>
      <c r="D771" s="22" t="inlineStr">
        <is>
          <t>Orange peel</t>
        </is>
      </c>
      <c r="E771" s="22" t="inlineStr">
        <is>
          <t>orange peel</t>
        </is>
      </c>
    </row>
    <row r="772" ht="15" customHeight="1" s="18">
      <c r="A772" s="22" t="n">
        <v>151</v>
      </c>
      <c r="B772" s="22" t="inlineStr">
        <is>
          <t>Rise, Little Flame</t>
        </is>
      </c>
      <c r="C772" s="22" t="inlineStr">
        <is>
          <t>Tonic</t>
        </is>
      </c>
      <c r="D772" s="22" t="inlineStr">
        <is>
          <t>Dawn dew</t>
        </is>
      </c>
      <c r="E772" s="22" t="inlineStr">
        <is>
          <t>Dawn Dew</t>
        </is>
      </c>
    </row>
    <row r="773" ht="15" customHeight="1" s="18">
      <c r="A773" s="22" t="n">
        <v>151</v>
      </c>
      <c r="B773" s="22" t="inlineStr">
        <is>
          <t>Rise, Little Flame</t>
        </is>
      </c>
      <c r="C773" s="22" t="inlineStr">
        <is>
          <t>Tonic</t>
        </is>
      </c>
      <c r="D773" s="22" t="inlineStr">
        <is>
          <t>Mint</t>
        </is>
      </c>
      <c r="E773" s="22" t="inlineStr">
        <is>
          <t>mint</t>
        </is>
      </c>
    </row>
    <row r="774" ht="15" customHeight="1" s="18">
      <c r="A774" s="22" t="n">
        <v>152</v>
      </c>
      <c r="B774" s="22" t="inlineStr">
        <is>
          <t>The Traveling Teacup</t>
        </is>
      </c>
      <c r="C774" s="22" t="inlineStr">
        <is>
          <t>Amulet</t>
        </is>
      </c>
      <c r="D774" s="22" t="inlineStr">
        <is>
          <t>Teacup charm</t>
        </is>
      </c>
      <c r="E774" s="22" t="inlineStr">
        <is>
          <t>Tiny teacup charm</t>
        </is>
      </c>
    </row>
    <row r="775" ht="15" customHeight="1" s="18">
      <c r="A775" s="22" t="n">
        <v>152</v>
      </c>
      <c r="B775" s="22" t="inlineStr">
        <is>
          <t>The Traveling Teacup</t>
        </is>
      </c>
      <c r="C775" s="22" t="inlineStr">
        <is>
          <t>Amulet</t>
        </is>
      </c>
      <c r="D775" s="22" t="inlineStr">
        <is>
          <t>Chamomile</t>
        </is>
      </c>
      <c r="E775" s="22" t="inlineStr">
        <is>
          <t>chamomile</t>
        </is>
      </c>
    </row>
    <row r="776" ht="15" customHeight="1" s="18">
      <c r="A776" s="22" t="n">
        <v>152</v>
      </c>
      <c r="B776" s="22" t="inlineStr">
        <is>
          <t>The Traveling Teacup</t>
        </is>
      </c>
      <c r="C776" s="22" t="inlineStr">
        <is>
          <t>Amulet</t>
        </is>
      </c>
      <c r="D776" s="22" t="inlineStr">
        <is>
          <t>Amethyst</t>
        </is>
      </c>
      <c r="E776" s="22" t="inlineStr">
        <is>
          <t>amethyst</t>
        </is>
      </c>
    </row>
    <row r="777" ht="15" customHeight="1" s="18">
      <c r="A777" s="22" t="n">
        <v>152</v>
      </c>
      <c r="B777" s="22" t="inlineStr">
        <is>
          <t>The Traveling Teacup</t>
        </is>
      </c>
      <c r="C777" s="22" t="inlineStr">
        <is>
          <t>Amulet</t>
        </is>
      </c>
      <c r="D777" s="22" t="inlineStr">
        <is>
          <t>Snail shell</t>
        </is>
      </c>
      <c r="E777" s="22" t="inlineStr">
        <is>
          <t>snail shell</t>
        </is>
      </c>
    </row>
    <row r="778" ht="15" customHeight="1" s="18">
      <c r="A778" s="22" t="n">
        <v>153</v>
      </c>
      <c r="B778" s="22" t="inlineStr">
        <is>
          <t>The Order of Little Things</t>
        </is>
      </c>
      <c r="C778" s="22" t="inlineStr">
        <is>
          <t>Powder</t>
        </is>
      </c>
      <c r="D778" s="22" t="inlineStr">
        <is>
          <t>Lemon peel</t>
        </is>
      </c>
      <c r="E778" s="22" t="inlineStr">
        <is>
          <t>Lemon zest</t>
        </is>
      </c>
    </row>
    <row r="779" ht="15" customHeight="1" s="18">
      <c r="A779" s="22" t="n">
        <v>153</v>
      </c>
      <c r="B779" s="22" t="inlineStr">
        <is>
          <t>The Order of Little Things</t>
        </is>
      </c>
      <c r="C779" s="22" t="inlineStr">
        <is>
          <t>Powder</t>
        </is>
      </c>
      <c r="D779" s="22" t="inlineStr">
        <is>
          <t>Rosemary</t>
        </is>
      </c>
      <c r="E779" s="22" t="inlineStr">
        <is>
          <t>rosemary</t>
        </is>
      </c>
    </row>
    <row r="780" ht="15" customHeight="1" s="18">
      <c r="A780" s="22" t="n">
        <v>153</v>
      </c>
      <c r="B780" s="22" t="inlineStr">
        <is>
          <t>The Order of Little Things</t>
        </is>
      </c>
      <c r="C780" s="22" t="inlineStr">
        <is>
          <t>Powder</t>
        </is>
      </c>
      <c r="D780" s="22" t="inlineStr">
        <is>
          <t>Sea salt</t>
        </is>
      </c>
      <c r="E780" s="22" t="inlineStr">
        <is>
          <t>sea salt</t>
        </is>
      </c>
    </row>
    <row r="781" ht="15" customHeight="1" s="18">
      <c r="A781" s="22" t="n">
        <v>153</v>
      </c>
      <c r="B781" s="22" t="inlineStr">
        <is>
          <t>The Order of Little Things</t>
        </is>
      </c>
      <c r="C781" s="22" t="inlineStr">
        <is>
          <t>Powder</t>
        </is>
      </c>
      <c r="D781" s="22" t="inlineStr">
        <is>
          <t>Baking soda</t>
        </is>
      </c>
      <c r="E781" s="22" t="inlineStr">
        <is>
          <t>baking soda</t>
        </is>
      </c>
    </row>
    <row r="782" ht="15" customHeight="1" s="18">
      <c r="A782" s="22" t="n">
        <v>154</v>
      </c>
      <c r="B782" s="22" t="inlineStr">
        <is>
          <t>The Silver Shopping Star</t>
        </is>
      </c>
      <c r="C782" s="22" t="inlineStr">
        <is>
          <t>Charm</t>
        </is>
      </c>
      <c r="D782" s="22" t="inlineStr">
        <is>
          <t>Coin</t>
        </is>
      </c>
      <c r="E782" s="22" t="inlineStr">
        <is>
          <t>Silver coin</t>
        </is>
      </c>
    </row>
    <row r="783" ht="15" customHeight="1" s="18">
      <c r="A783" s="22" t="n">
        <v>154</v>
      </c>
      <c r="B783" s="22" t="inlineStr">
        <is>
          <t>The Silver Shopping Star</t>
        </is>
      </c>
      <c r="C783" s="22" t="inlineStr">
        <is>
          <t>Charm</t>
        </is>
      </c>
      <c r="D783" s="22" t="inlineStr">
        <is>
          <t>Star-shaped button</t>
        </is>
      </c>
      <c r="E783" s="22" t="inlineStr">
        <is>
          <t>star-shaped button</t>
        </is>
      </c>
    </row>
    <row r="784" ht="15" customHeight="1" s="18">
      <c r="A784" s="22" t="n">
        <v>154</v>
      </c>
      <c r="B784" s="22" t="inlineStr">
        <is>
          <t>The Silver Shopping Star</t>
        </is>
      </c>
      <c r="C784" s="22" t="inlineStr">
        <is>
          <t>Charm</t>
        </is>
      </c>
      <c r="D784" s="22" t="inlineStr">
        <is>
          <t>Basil</t>
        </is>
      </c>
      <c r="E784" s="22" t="inlineStr">
        <is>
          <t>basil</t>
        </is>
      </c>
    </row>
    <row r="785" ht="15" customHeight="1" s="18">
      <c r="A785" s="22" t="n">
        <v>154</v>
      </c>
      <c r="B785" s="22" t="inlineStr">
        <is>
          <t>The Silver Shopping Star</t>
        </is>
      </c>
      <c r="C785" s="22" t="inlineStr">
        <is>
          <t>Charm</t>
        </is>
      </c>
      <c r="D785" s="22" t="inlineStr">
        <is>
          <t>Pyrite</t>
        </is>
      </c>
      <c r="E785" s="22" t="inlineStr">
        <is>
          <t>pyrite</t>
        </is>
      </c>
    </row>
    <row r="786" ht="15" customHeight="1" s="18">
      <c r="A786" s="22" t="n">
        <v>154</v>
      </c>
      <c r="B786" s="22" t="inlineStr">
        <is>
          <t>The Silver Shopping Star</t>
        </is>
      </c>
      <c r="C786" s="22" t="inlineStr">
        <is>
          <t>Charm</t>
        </is>
      </c>
      <c r="D786" s="22" t="inlineStr">
        <is>
          <t>Green thread</t>
        </is>
      </c>
      <c r="E786" s="22" t="inlineStr">
        <is>
          <t>green thread</t>
        </is>
      </c>
    </row>
    <row r="787" ht="15" customHeight="1" s="18">
      <c r="A787" s="22" t="n">
        <v>155</v>
      </c>
      <c r="B787" s="22" t="inlineStr">
        <is>
          <t>The Blanket Fort Blessing</t>
        </is>
      </c>
      <c r="C787" s="22" t="inlineStr">
        <is>
          <t>Butter</t>
        </is>
      </c>
      <c r="D787" s="22" t="inlineStr">
        <is>
          <t>Butter</t>
        </is>
      </c>
      <c r="E787" s="22" t="inlineStr">
        <is>
          <t>Butter</t>
        </is>
      </c>
    </row>
    <row r="788" ht="15" customHeight="1" s="18">
      <c r="A788" s="22" t="n">
        <v>155</v>
      </c>
      <c r="B788" s="22" t="inlineStr">
        <is>
          <t>The Blanket Fort Blessing</t>
        </is>
      </c>
      <c r="C788" s="22" t="inlineStr">
        <is>
          <t>Butter</t>
        </is>
      </c>
      <c r="D788" s="22" t="inlineStr">
        <is>
          <t>Cinnamon</t>
        </is>
      </c>
      <c r="E788" s="22" t="inlineStr">
        <is>
          <t>cinnamon</t>
        </is>
      </c>
    </row>
    <row r="789" ht="15" customHeight="1" s="18">
      <c r="A789" s="22" t="n">
        <v>155</v>
      </c>
      <c r="B789" s="22" t="inlineStr">
        <is>
          <t>The Blanket Fort Blessing</t>
        </is>
      </c>
      <c r="C789" s="22" t="inlineStr">
        <is>
          <t>Butter</t>
        </is>
      </c>
      <c r="D789" s="22" t="inlineStr">
        <is>
          <t>Vanilla</t>
        </is>
      </c>
      <c r="E789" s="22" t="inlineStr">
        <is>
          <t>vanilla</t>
        </is>
      </c>
    </row>
    <row r="790" ht="15" customHeight="1" s="18">
      <c r="A790" s="22" t="n">
        <v>155</v>
      </c>
      <c r="B790" s="22" t="inlineStr">
        <is>
          <t>The Blanket Fort Blessing</t>
        </is>
      </c>
      <c r="C790" s="22" t="inlineStr">
        <is>
          <t>Butter</t>
        </is>
      </c>
      <c r="D790" s="22" t="inlineStr">
        <is>
          <t>Honey</t>
        </is>
      </c>
      <c r="E790" s="22" t="inlineStr">
        <is>
          <t>honey</t>
        </is>
      </c>
    </row>
    <row r="791" ht="15" customHeight="1" s="18">
      <c r="A791" s="22" t="n">
        <v>155</v>
      </c>
      <c r="B791" s="22" t="inlineStr">
        <is>
          <t>The Blanket Fort Blessing</t>
        </is>
      </c>
      <c r="C791" s="22" t="inlineStr">
        <is>
          <t>Butter</t>
        </is>
      </c>
      <c r="D791" s="22" t="inlineStr">
        <is>
          <t>Nutmeg</t>
        </is>
      </c>
      <c r="E791" s="22" t="inlineStr">
        <is>
          <t>a pinch of nutmeg</t>
        </is>
      </c>
    </row>
    <row r="792" ht="15" customHeight="1" s="18">
      <c r="A792" s="22" t="n">
        <v>156</v>
      </c>
      <c r="B792" s="22" t="inlineStr">
        <is>
          <t>The Supper of Small Wonders</t>
        </is>
      </c>
      <c r="C792" s="22" t="inlineStr">
        <is>
          <t>Tea</t>
        </is>
      </c>
      <c r="D792" s="22" t="inlineStr">
        <is>
          <t>Chamomile</t>
        </is>
      </c>
      <c r="E792" s="22" t="inlineStr">
        <is>
          <t>Chamomile</t>
        </is>
      </c>
    </row>
    <row r="793" ht="15" customHeight="1" s="18">
      <c r="A793" s="22" t="n">
        <v>156</v>
      </c>
      <c r="B793" s="22" t="inlineStr">
        <is>
          <t>The Supper of Small Wonders</t>
        </is>
      </c>
      <c r="C793" s="22" t="inlineStr">
        <is>
          <t>Tea</t>
        </is>
      </c>
      <c r="D793" s="22" t="inlineStr">
        <is>
          <t>Fennel seed</t>
        </is>
      </c>
      <c r="E793" s="22" t="inlineStr">
        <is>
          <t>fennel seed</t>
        </is>
      </c>
    </row>
    <row r="794" ht="15" customHeight="1" s="18">
      <c r="A794" s="22" t="n">
        <v>156</v>
      </c>
      <c r="B794" s="22" t="inlineStr">
        <is>
          <t>The Supper of Small Wonders</t>
        </is>
      </c>
      <c r="C794" s="22" t="inlineStr">
        <is>
          <t>Tea</t>
        </is>
      </c>
      <c r="D794" s="22" t="inlineStr">
        <is>
          <t>Mint</t>
        </is>
      </c>
      <c r="E794" s="22" t="inlineStr">
        <is>
          <t>mint</t>
        </is>
      </c>
    </row>
    <row r="795" ht="15" customHeight="1" s="18">
      <c r="A795" s="22" t="n">
        <v>156</v>
      </c>
      <c r="B795" s="22" t="inlineStr">
        <is>
          <t>The Supper of Small Wonders</t>
        </is>
      </c>
      <c r="C795" s="22" t="inlineStr">
        <is>
          <t>Tea</t>
        </is>
      </c>
      <c r="D795" s="22" t="inlineStr">
        <is>
          <t>Rose hips</t>
        </is>
      </c>
      <c r="E795" s="22" t="inlineStr">
        <is>
          <t>rose hips</t>
        </is>
      </c>
    </row>
    <row r="796" ht="15" customHeight="1" s="18">
      <c r="A796" s="22" t="n">
        <v>157</v>
      </c>
      <c r="B796" s="22" t="inlineStr">
        <is>
          <t>The Honeyed Hello</t>
        </is>
      </c>
      <c r="C796" s="22" t="inlineStr">
        <is>
          <t>Cookies</t>
        </is>
      </c>
      <c r="D796" s="22" t="inlineStr">
        <is>
          <t>Flour</t>
        </is>
      </c>
      <c r="E796" s="22" t="inlineStr">
        <is>
          <t>Flour</t>
        </is>
      </c>
    </row>
    <row r="797" ht="15" customHeight="1" s="18">
      <c r="A797" s="22" t="n">
        <v>157</v>
      </c>
      <c r="B797" s="22" t="inlineStr">
        <is>
          <t>The Honeyed Hello</t>
        </is>
      </c>
      <c r="C797" s="22" t="inlineStr">
        <is>
          <t>Cookies</t>
        </is>
      </c>
      <c r="D797" s="22" t="inlineStr">
        <is>
          <t>Butter</t>
        </is>
      </c>
      <c r="E797" s="22" t="inlineStr">
        <is>
          <t>butter</t>
        </is>
      </c>
    </row>
    <row r="798" ht="15" customHeight="1" s="18">
      <c r="A798" s="22" t="n">
        <v>157</v>
      </c>
      <c r="B798" s="22" t="inlineStr">
        <is>
          <t>The Honeyed Hello</t>
        </is>
      </c>
      <c r="C798" s="22" t="inlineStr">
        <is>
          <t>Cookies</t>
        </is>
      </c>
      <c r="D798" s="22" t="inlineStr">
        <is>
          <t>Honey</t>
        </is>
      </c>
      <c r="E798" s="22" t="inlineStr">
        <is>
          <t>honey</t>
        </is>
      </c>
    </row>
    <row r="799" ht="15" customHeight="1" s="18">
      <c r="A799" s="22" t="n">
        <v>157</v>
      </c>
      <c r="B799" s="22" t="inlineStr">
        <is>
          <t>The Honeyed Hello</t>
        </is>
      </c>
      <c r="C799" s="22" t="inlineStr">
        <is>
          <t>Cookies</t>
        </is>
      </c>
      <c r="D799" s="22" t="inlineStr">
        <is>
          <t>Vanilla</t>
        </is>
      </c>
      <c r="E799" s="22" t="inlineStr">
        <is>
          <t>vanilla</t>
        </is>
      </c>
    </row>
    <row r="800" ht="15" customHeight="1" s="18">
      <c r="A800" s="22" t="n">
        <v>157</v>
      </c>
      <c r="B800" s="22" t="inlineStr">
        <is>
          <t>The Honeyed Hello</t>
        </is>
      </c>
      <c r="C800" s="22" t="inlineStr">
        <is>
          <t>Cookies</t>
        </is>
      </c>
      <c r="D800" s="22" t="inlineStr">
        <is>
          <t>Lavender</t>
        </is>
      </c>
      <c r="E800" s="22" t="inlineStr">
        <is>
          <t>lavender sugar</t>
        </is>
      </c>
    </row>
    <row r="801" ht="15" customHeight="1" s="18">
      <c r="A801" s="22" t="n">
        <v>157</v>
      </c>
      <c r="B801" s="22" t="inlineStr">
        <is>
          <t>The Honeyed Hello</t>
        </is>
      </c>
      <c r="C801" s="22" t="inlineStr">
        <is>
          <t>Cookies</t>
        </is>
      </c>
      <c r="D801" s="22" t="inlineStr">
        <is>
          <t>Sugar</t>
        </is>
      </c>
      <c r="E801" s="22" t="inlineStr">
        <is>
          <t>lavender sugar</t>
        </is>
      </c>
    </row>
    <row r="802" ht="15" customHeight="1" s="18">
      <c r="A802" s="22" t="n">
        <v>158</v>
      </c>
      <c r="B802" s="22" t="inlineStr">
        <is>
          <t>Pocketful of Sunbeams</t>
        </is>
      </c>
      <c r="C802" s="22" t="inlineStr">
        <is>
          <t>Sachet</t>
        </is>
      </c>
      <c r="D802" s="22" t="inlineStr">
        <is>
          <t>Sunflower petals</t>
        </is>
      </c>
      <c r="E802" s="22" t="inlineStr">
        <is>
          <t>Sunflower petals</t>
        </is>
      </c>
    </row>
    <row r="803" ht="15" customHeight="1" s="18">
      <c r="A803" s="22" t="n">
        <v>158</v>
      </c>
      <c r="B803" s="22" t="inlineStr">
        <is>
          <t>Pocketful of Sunbeams</t>
        </is>
      </c>
      <c r="C803" s="22" t="inlineStr">
        <is>
          <t>Sachet</t>
        </is>
      </c>
      <c r="D803" s="22" t="inlineStr">
        <is>
          <t>Calendula</t>
        </is>
      </c>
      <c r="E803" s="22" t="inlineStr">
        <is>
          <t>calendula</t>
        </is>
      </c>
    </row>
    <row r="804" ht="15" customHeight="1" s="18">
      <c r="A804" s="22" t="n">
        <v>158</v>
      </c>
      <c r="B804" s="22" t="inlineStr">
        <is>
          <t>Pocketful of Sunbeams</t>
        </is>
      </c>
      <c r="C804" s="22" t="inlineStr">
        <is>
          <t>Sachet</t>
        </is>
      </c>
      <c r="D804" s="22" t="inlineStr">
        <is>
          <t>Orange peel</t>
        </is>
      </c>
      <c r="E804" s="22" t="inlineStr">
        <is>
          <t>orange peel</t>
        </is>
      </c>
    </row>
    <row r="805" ht="15" customHeight="1" s="18">
      <c r="A805" s="22" t="n">
        <v>158</v>
      </c>
      <c r="B805" s="22" t="inlineStr">
        <is>
          <t>Pocketful of Sunbeams</t>
        </is>
      </c>
      <c r="C805" s="22" t="inlineStr">
        <is>
          <t>Sachet</t>
        </is>
      </c>
      <c r="D805" s="22" t="inlineStr">
        <is>
          <t>Citrine</t>
        </is>
      </c>
      <c r="E805" s="22" t="inlineStr">
        <is>
          <t>citrine</t>
        </is>
      </c>
    </row>
    <row r="806" ht="15" customHeight="1" s="18">
      <c r="A806" s="22" t="n">
        <v>158</v>
      </c>
      <c r="B806" s="22" t="inlineStr">
        <is>
          <t>Pocketful of Sunbeams</t>
        </is>
      </c>
      <c r="C806" s="22" t="inlineStr">
        <is>
          <t>Sachet</t>
        </is>
      </c>
      <c r="D806" s="22" t="inlineStr">
        <is>
          <t>Yellow thread</t>
        </is>
      </c>
      <c r="E806" s="22" t="inlineStr">
        <is>
          <t>yellow thread</t>
        </is>
      </c>
    </row>
    <row r="807" ht="15" customHeight="1" s="18">
      <c r="A807" s="22" t="n">
        <v>159</v>
      </c>
      <c r="B807" s="22" t="inlineStr">
        <is>
          <t>Rain on the Windowsill</t>
        </is>
      </c>
      <c r="C807" s="22" t="inlineStr">
        <is>
          <t>Bath Salt</t>
        </is>
      </c>
      <c r="D807" s="22" t="inlineStr">
        <is>
          <t>Epsom salt</t>
        </is>
      </c>
      <c r="E807" s="22" t="inlineStr">
        <is>
          <t>Epsom salt</t>
        </is>
      </c>
    </row>
    <row r="808" ht="15" customHeight="1" s="18">
      <c r="A808" s="22" t="n">
        <v>159</v>
      </c>
      <c r="B808" s="22" t="inlineStr">
        <is>
          <t>Rain on the Windowsill</t>
        </is>
      </c>
      <c r="C808" s="22" t="inlineStr">
        <is>
          <t>Bath Salt</t>
        </is>
      </c>
      <c r="D808" s="22" t="inlineStr">
        <is>
          <t>Rainwater</t>
        </is>
      </c>
      <c r="E808" s="22" t="inlineStr">
        <is>
          <t>Rainwater</t>
        </is>
      </c>
    </row>
    <row r="809" ht="15" customHeight="1" s="18">
      <c r="A809" s="22" t="n">
        <v>159</v>
      </c>
      <c r="B809" s="22" t="inlineStr">
        <is>
          <t>Rain on the Windowsill</t>
        </is>
      </c>
      <c r="C809" s="22" t="inlineStr">
        <is>
          <t>Bath Salt</t>
        </is>
      </c>
      <c r="D809" s="22" t="inlineStr">
        <is>
          <t>Rosemary</t>
        </is>
      </c>
      <c r="E809" s="22" t="inlineStr">
        <is>
          <t>rosemary</t>
        </is>
      </c>
    </row>
    <row r="810" ht="15" customHeight="1" s="18">
      <c r="A810" s="22" t="n">
        <v>159</v>
      </c>
      <c r="B810" s="22" t="inlineStr">
        <is>
          <t>Rain on the Windowsill</t>
        </is>
      </c>
      <c r="C810" s="22" t="inlineStr">
        <is>
          <t>Bath Salt</t>
        </is>
      </c>
      <c r="D810" s="22" t="inlineStr">
        <is>
          <t>Eucalyptus</t>
        </is>
      </c>
      <c r="E810" s="22" t="inlineStr">
        <is>
          <t>eucalyptus</t>
        </is>
      </c>
    </row>
    <row r="811" ht="15" customHeight="1" s="18">
      <c r="A811" s="22" t="n">
        <v>160</v>
      </c>
      <c r="B811" s="22" t="inlineStr">
        <is>
          <t>The Finder's Flicker</t>
        </is>
      </c>
      <c r="C811" s="22" t="inlineStr">
        <is>
          <t>Wand</t>
        </is>
      </c>
      <c r="D811" s="22" t="inlineStr">
        <is>
          <t>Hazel branch</t>
        </is>
      </c>
      <c r="E811" s="22" t="inlineStr">
        <is>
          <t>Fallen hazel twig</t>
        </is>
      </c>
    </row>
    <row r="812" ht="15" customHeight="1" s="18">
      <c r="A812" s="22" t="n">
        <v>160</v>
      </c>
      <c r="B812" s="22" t="inlineStr">
        <is>
          <t>The Finder's Flicker</t>
        </is>
      </c>
      <c r="C812" s="22" t="inlineStr">
        <is>
          <t>Wand</t>
        </is>
      </c>
      <c r="D812" s="22" t="inlineStr">
        <is>
          <t>Clear quartz</t>
        </is>
      </c>
      <c r="E812" s="22" t="inlineStr">
        <is>
          <t>clear quartz</t>
        </is>
      </c>
    </row>
    <row r="813" ht="15" customHeight="1" s="18">
      <c r="A813" s="22" t="n">
        <v>160</v>
      </c>
      <c r="B813" s="22" t="inlineStr">
        <is>
          <t>The Finder's Flicker</t>
        </is>
      </c>
      <c r="C813" s="22" t="inlineStr">
        <is>
          <t>Wand</t>
        </is>
      </c>
      <c r="D813" s="22" t="inlineStr">
        <is>
          <t>Magpie feather</t>
        </is>
      </c>
      <c r="E813" s="22" t="inlineStr">
        <is>
          <t>magpie feather</t>
        </is>
      </c>
    </row>
    <row r="814" ht="15" customHeight="1" s="18">
      <c r="A814" s="22" t="n">
        <v>160</v>
      </c>
      <c r="B814" s="22" t="inlineStr">
        <is>
          <t>The Finder's Flicker</t>
        </is>
      </c>
      <c r="C814" s="22" t="inlineStr">
        <is>
          <t>Wand</t>
        </is>
      </c>
      <c r="D814" s="22" t="inlineStr">
        <is>
          <t>Yellow thread</t>
        </is>
      </c>
      <c r="E814" s="22" t="inlineStr">
        <is>
          <t>yellow thread</t>
        </is>
      </c>
    </row>
    <row r="815" ht="15" customHeight="1" s="18">
      <c r="A815" s="22" t="n">
        <v>161</v>
      </c>
      <c r="B815" s="22" t="inlineStr">
        <is>
          <t>The Fresh Linen Familiar</t>
        </is>
      </c>
      <c r="C815" s="22" t="inlineStr">
        <is>
          <t>Soap</t>
        </is>
      </c>
      <c r="D815" s="22" t="inlineStr">
        <is>
          <t>Soap base</t>
        </is>
      </c>
      <c r="E815" s="22" t="inlineStr">
        <is>
          <t>Soap base</t>
        </is>
      </c>
    </row>
    <row r="816" ht="15" customHeight="1" s="18">
      <c r="A816" s="22" t="n">
        <v>161</v>
      </c>
      <c r="B816" s="22" t="inlineStr">
        <is>
          <t>The Fresh Linen Familiar</t>
        </is>
      </c>
      <c r="C816" s="22" t="inlineStr">
        <is>
          <t>Soap</t>
        </is>
      </c>
      <c r="D816" s="22" t="inlineStr">
        <is>
          <t>Lavender</t>
        </is>
      </c>
      <c r="E816" s="22" t="inlineStr">
        <is>
          <t>lavender</t>
        </is>
      </c>
    </row>
    <row r="817" ht="15" customHeight="1" s="18">
      <c r="A817" s="22" t="n">
        <v>161</v>
      </c>
      <c r="B817" s="22" t="inlineStr">
        <is>
          <t>The Fresh Linen Familiar</t>
        </is>
      </c>
      <c r="C817" s="22" t="inlineStr">
        <is>
          <t>Soap</t>
        </is>
      </c>
      <c r="D817" s="22" t="inlineStr">
        <is>
          <t>Lemon</t>
        </is>
      </c>
      <c r="E817" s="22" t="inlineStr">
        <is>
          <t>lemon</t>
        </is>
      </c>
    </row>
    <row r="818" ht="15" customHeight="1" s="18">
      <c r="A818" s="22" t="n">
        <v>161</v>
      </c>
      <c r="B818" s="22" t="inlineStr">
        <is>
          <t>The Fresh Linen Familiar</t>
        </is>
      </c>
      <c r="C818" s="22" t="inlineStr">
        <is>
          <t>Soap</t>
        </is>
      </c>
      <c r="D818" s="22" t="inlineStr">
        <is>
          <t>Epsom salt</t>
        </is>
      </c>
      <c r="E818" s="22" t="inlineStr">
        <is>
          <t>a pinch of Epsom salt</t>
        </is>
      </c>
    </row>
    <row r="819" ht="15" customHeight="1" s="18">
      <c r="A819" s="22" t="n">
        <v>162</v>
      </c>
      <c r="B819" s="22" t="inlineStr">
        <is>
          <t>The Errand Sprite</t>
        </is>
      </c>
      <c r="C819" s="22" t="inlineStr">
        <is>
          <t>Potion</t>
        </is>
      </c>
      <c r="D819" s="22" t="inlineStr">
        <is>
          <t>Sunwater</t>
        </is>
      </c>
      <c r="E819" s="22" t="inlineStr">
        <is>
          <t>Sunwater</t>
        </is>
      </c>
    </row>
    <row r="820" ht="15" customHeight="1" s="18">
      <c r="A820" s="22" t="n">
        <v>162</v>
      </c>
      <c r="B820" s="22" t="inlineStr">
        <is>
          <t>The Errand Sprite</t>
        </is>
      </c>
      <c r="C820" s="22" t="inlineStr">
        <is>
          <t>Potion</t>
        </is>
      </c>
      <c r="D820" s="22" t="inlineStr">
        <is>
          <t>Peppermint</t>
        </is>
      </c>
      <c r="E820" s="22" t="inlineStr">
        <is>
          <t>peppermint</t>
        </is>
      </c>
    </row>
    <row r="821" ht="15" customHeight="1" s="18">
      <c r="A821" s="22" t="n">
        <v>162</v>
      </c>
      <c r="B821" s="22" t="inlineStr">
        <is>
          <t>The Errand Sprite</t>
        </is>
      </c>
      <c r="C821" s="22" t="inlineStr">
        <is>
          <t>Potion</t>
        </is>
      </c>
      <c r="D821" s="22" t="inlineStr">
        <is>
          <t>Lemon</t>
        </is>
      </c>
      <c r="E821" s="22" t="inlineStr">
        <is>
          <t>lemon</t>
        </is>
      </c>
    </row>
    <row r="822" ht="15" customHeight="1" s="18">
      <c r="A822" s="22" t="n">
        <v>162</v>
      </c>
      <c r="B822" s="22" t="inlineStr">
        <is>
          <t>The Errand Sprite</t>
        </is>
      </c>
      <c r="C822" s="22" t="inlineStr">
        <is>
          <t>Potion</t>
        </is>
      </c>
      <c r="D822" s="22" t="inlineStr">
        <is>
          <t>Ginger</t>
        </is>
      </c>
      <c r="E822" s="22" t="inlineStr">
        <is>
          <t>ginger</t>
        </is>
      </c>
    </row>
    <row r="823" ht="15" customHeight="1" s="18">
      <c r="A823" s="22" t="n">
        <v>163</v>
      </c>
      <c r="B823" s="22" t="inlineStr">
        <is>
          <t>The Unhurried Hour</t>
        </is>
      </c>
      <c r="C823" s="22" t="inlineStr">
        <is>
          <t>Oil</t>
        </is>
      </c>
      <c r="D823" s="22" t="inlineStr">
        <is>
          <t>Jojoba oil</t>
        </is>
      </c>
      <c r="E823" s="22" t="inlineStr">
        <is>
          <t>Jojoba oil</t>
        </is>
      </c>
    </row>
    <row r="824" ht="15" customHeight="1" s="18">
      <c r="A824" s="22" t="n">
        <v>163</v>
      </c>
      <c r="B824" s="22" t="inlineStr">
        <is>
          <t>The Unhurried Hour</t>
        </is>
      </c>
      <c r="C824" s="22" t="inlineStr">
        <is>
          <t>Oil</t>
        </is>
      </c>
      <c r="D824" s="22" t="inlineStr">
        <is>
          <t>Lavender</t>
        </is>
      </c>
      <c r="E824" s="22" t="inlineStr">
        <is>
          <t>lavender</t>
        </is>
      </c>
    </row>
    <row r="825" ht="15" customHeight="1" s="18">
      <c r="A825" s="22" t="n">
        <v>163</v>
      </c>
      <c r="B825" s="22" t="inlineStr">
        <is>
          <t>The Unhurried Hour</t>
        </is>
      </c>
      <c r="C825" s="22" t="inlineStr">
        <is>
          <t>Oil</t>
        </is>
      </c>
      <c r="D825" s="22" t="inlineStr">
        <is>
          <t>Sandalwood</t>
        </is>
      </c>
      <c r="E825" s="22" t="inlineStr">
        <is>
          <t>sandalwood</t>
        </is>
      </c>
    </row>
    <row r="826" ht="15" customHeight="1" s="18">
      <c r="A826" s="22" t="n">
        <v>163</v>
      </c>
      <c r="B826" s="22" t="inlineStr">
        <is>
          <t>The Unhurried Hour</t>
        </is>
      </c>
      <c r="C826" s="22" t="inlineStr">
        <is>
          <t>Oil</t>
        </is>
      </c>
      <c r="D826" s="22" t="inlineStr">
        <is>
          <t>Blue lace agate</t>
        </is>
      </c>
      <c r="E826" s="22" t="inlineStr">
        <is>
          <t>blue lace agate</t>
        </is>
      </c>
    </row>
    <row r="827" ht="15" customHeight="1" s="18">
      <c r="A827" s="22" t="n">
        <v>164</v>
      </c>
      <c r="B827" s="22" t="inlineStr">
        <is>
          <t>The Desk of Possibilities</t>
        </is>
      </c>
      <c r="C827" s="22" t="inlineStr">
        <is>
          <t>Incense</t>
        </is>
      </c>
      <c r="D827" s="22" t="inlineStr">
        <is>
          <t>Rosemary</t>
        </is>
      </c>
      <c r="E827" s="22" t="inlineStr">
        <is>
          <t>Rosemary</t>
        </is>
      </c>
    </row>
    <row r="828" ht="15" customHeight="1" s="18">
      <c r="A828" s="22" t="n">
        <v>164</v>
      </c>
      <c r="B828" s="22" t="inlineStr">
        <is>
          <t>The Desk of Possibilities</t>
        </is>
      </c>
      <c r="C828" s="22" t="inlineStr">
        <is>
          <t>Incense</t>
        </is>
      </c>
      <c r="D828" s="22" t="inlineStr">
        <is>
          <t>Lemongrass</t>
        </is>
      </c>
      <c r="E828" s="22" t="inlineStr">
        <is>
          <t>lemongrass</t>
        </is>
      </c>
    </row>
    <row r="829" ht="15" customHeight="1" s="18">
      <c r="A829" s="22" t="n">
        <v>164</v>
      </c>
      <c r="B829" s="22" t="inlineStr">
        <is>
          <t>The Desk of Possibilities</t>
        </is>
      </c>
      <c r="C829" s="22" t="inlineStr">
        <is>
          <t>Incense</t>
        </is>
      </c>
      <c r="D829" s="22" t="inlineStr">
        <is>
          <t>Frankincense</t>
        </is>
      </c>
      <c r="E829" s="22" t="inlineStr">
        <is>
          <t>frankincense</t>
        </is>
      </c>
    </row>
    <row r="830" ht="15" customHeight="1" s="18">
      <c r="A830" s="22" t="n">
        <v>165</v>
      </c>
      <c r="B830" s="22" t="inlineStr">
        <is>
          <t>The Solitude Sweetspot</t>
        </is>
      </c>
      <c r="C830" s="22" t="inlineStr">
        <is>
          <t>Tea</t>
        </is>
      </c>
      <c r="D830" s="22" t="inlineStr">
        <is>
          <t>Black tea</t>
        </is>
      </c>
      <c r="E830" s="22" t="inlineStr">
        <is>
          <t>Black tea</t>
        </is>
      </c>
    </row>
    <row r="831" ht="15" customHeight="1" s="18">
      <c r="A831" s="22" t="n">
        <v>165</v>
      </c>
      <c r="B831" s="22" t="inlineStr">
        <is>
          <t>The Solitude Sweetspot</t>
        </is>
      </c>
      <c r="C831" s="22" t="inlineStr">
        <is>
          <t>Tea</t>
        </is>
      </c>
      <c r="D831" s="22" t="inlineStr">
        <is>
          <t>Bergamot</t>
        </is>
      </c>
      <c r="E831" s="22" t="inlineStr">
        <is>
          <t>bergamot</t>
        </is>
      </c>
    </row>
    <row r="832" ht="15" customHeight="1" s="18">
      <c r="A832" s="22" t="n">
        <v>165</v>
      </c>
      <c r="B832" s="22" t="inlineStr">
        <is>
          <t>The Solitude Sweetspot</t>
        </is>
      </c>
      <c r="C832" s="22" t="inlineStr">
        <is>
          <t>Tea</t>
        </is>
      </c>
      <c r="D832" s="22" t="inlineStr">
        <is>
          <t>Rose</t>
        </is>
      </c>
      <c r="E832" s="22" t="inlineStr">
        <is>
          <t>rose</t>
        </is>
      </c>
    </row>
    <row r="833" ht="15" customHeight="1" s="18">
      <c r="A833" s="22" t="n">
        <v>165</v>
      </c>
      <c r="B833" s="22" t="inlineStr">
        <is>
          <t>The Solitude Sweetspot</t>
        </is>
      </c>
      <c r="C833" s="22" t="inlineStr">
        <is>
          <t>Tea</t>
        </is>
      </c>
      <c r="D833" s="22" t="inlineStr">
        <is>
          <t>Vanilla</t>
        </is>
      </c>
      <c r="E833" s="22" t="inlineStr">
        <is>
          <t>vanilla</t>
        </is>
      </c>
    </row>
    <row r="834" ht="15" customHeight="1" s="18">
      <c r="A834" s="22" t="n">
        <v>166</v>
      </c>
      <c r="B834" s="22" t="inlineStr">
        <is>
          <t>The Pocket-Sized Hearth</t>
        </is>
      </c>
      <c r="C834" s="22" t="inlineStr">
        <is>
          <t>Witch Salt</t>
        </is>
      </c>
      <c r="D834" s="22" t="inlineStr">
        <is>
          <t>Sea salt</t>
        </is>
      </c>
      <c r="E834" s="22" t="inlineStr">
        <is>
          <t>Sea salt</t>
        </is>
      </c>
    </row>
    <row r="835" ht="15" customHeight="1" s="18">
      <c r="A835" s="22" t="n">
        <v>166</v>
      </c>
      <c r="B835" s="22" t="inlineStr">
        <is>
          <t>The Pocket-Sized Hearth</t>
        </is>
      </c>
      <c r="C835" s="22" t="inlineStr">
        <is>
          <t>Witch Salt</t>
        </is>
      </c>
      <c r="D835" s="22" t="inlineStr">
        <is>
          <t>Cinnamon</t>
        </is>
      </c>
      <c r="E835" s="22" t="inlineStr">
        <is>
          <t>cinnamon</t>
        </is>
      </c>
    </row>
    <row r="836" ht="15" customHeight="1" s="18">
      <c r="A836" s="22" t="n">
        <v>166</v>
      </c>
      <c r="B836" s="22" t="inlineStr">
        <is>
          <t>The Pocket-Sized Hearth</t>
        </is>
      </c>
      <c r="C836" s="22" t="inlineStr">
        <is>
          <t>Witch Salt</t>
        </is>
      </c>
      <c r="D836" s="22" t="inlineStr">
        <is>
          <t>Orange peel</t>
        </is>
      </c>
      <c r="E836" s="22" t="inlineStr">
        <is>
          <t>dried orange peel</t>
        </is>
      </c>
    </row>
    <row r="837" ht="15" customHeight="1" s="18">
      <c r="A837" s="22" t="n">
        <v>166</v>
      </c>
      <c r="B837" s="22" t="inlineStr">
        <is>
          <t>The Pocket-Sized Hearth</t>
        </is>
      </c>
      <c r="C837" s="22" t="inlineStr">
        <is>
          <t>Witch Salt</t>
        </is>
      </c>
      <c r="D837" s="22" t="inlineStr">
        <is>
          <t>Clove</t>
        </is>
      </c>
      <c r="E837" s="22" t="inlineStr">
        <is>
          <t>clove</t>
        </is>
      </c>
    </row>
    <row r="838" ht="15" customHeight="1" s="18">
      <c r="A838" s="22" t="n">
        <v>167</v>
      </c>
      <c r="B838" s="22" t="inlineStr">
        <is>
          <t>The Unexpected Ribbon</t>
        </is>
      </c>
      <c r="C838" s="22" t="inlineStr">
        <is>
          <t>Spell Bottle</t>
        </is>
      </c>
      <c r="D838" s="22" t="inlineStr">
        <is>
          <t>Glass vial</t>
        </is>
      </c>
      <c r="E838" s="22" t="inlineStr">
        <is>
          <t>Glass vial</t>
        </is>
      </c>
    </row>
    <row r="839" ht="15" customHeight="1" s="18">
      <c r="A839" s="22" t="n">
        <v>167</v>
      </c>
      <c r="B839" s="22" t="inlineStr">
        <is>
          <t>The Unexpected Ribbon</t>
        </is>
      </c>
      <c r="C839" s="22" t="inlineStr">
        <is>
          <t>Spell Bottle</t>
        </is>
      </c>
      <c r="D839" s="22" t="inlineStr">
        <is>
          <t>Satin ribbon</t>
        </is>
      </c>
      <c r="E839" s="22" t="inlineStr">
        <is>
          <t>ribbon scrap</t>
        </is>
      </c>
    </row>
    <row r="840" ht="15" customHeight="1" s="18">
      <c r="A840" s="22" t="n">
        <v>167</v>
      </c>
      <c r="B840" s="22" t="inlineStr">
        <is>
          <t>The Unexpected Ribbon</t>
        </is>
      </c>
      <c r="C840" s="22" t="inlineStr">
        <is>
          <t>Spell Bottle</t>
        </is>
      </c>
      <c r="D840" s="22" t="inlineStr">
        <is>
          <t>Star anise</t>
        </is>
      </c>
      <c r="E840" s="22" t="inlineStr">
        <is>
          <t>star anise</t>
        </is>
      </c>
    </row>
    <row r="841" ht="15" customHeight="1" s="18">
      <c r="A841" s="22" t="n">
        <v>167</v>
      </c>
      <c r="B841" s="22" t="inlineStr">
        <is>
          <t>The Unexpected Ribbon</t>
        </is>
      </c>
      <c r="C841" s="22" t="inlineStr">
        <is>
          <t>Spell Bottle</t>
        </is>
      </c>
      <c r="D841" s="22" t="inlineStr">
        <is>
          <t>Rose petals</t>
        </is>
      </c>
      <c r="E841" s="22" t="inlineStr">
        <is>
          <t>rose petal</t>
        </is>
      </c>
    </row>
    <row r="842" ht="15" customHeight="1" s="18">
      <c r="A842" s="22" t="n">
        <v>167</v>
      </c>
      <c r="B842" s="22" t="inlineStr">
        <is>
          <t>The Unexpected Ribbon</t>
        </is>
      </c>
      <c r="C842" s="22" t="inlineStr">
        <is>
          <t>Spell Bottle</t>
        </is>
      </c>
      <c r="D842" s="22" t="inlineStr">
        <is>
          <t>Star-shaped button</t>
        </is>
      </c>
      <c r="E842" s="22" t="inlineStr">
        <is>
          <t>star-shaped button</t>
        </is>
      </c>
    </row>
    <row r="843" ht="15" customHeight="1" s="18">
      <c r="A843" s="22" t="n">
        <v>167</v>
      </c>
      <c r="B843" s="22" t="inlineStr">
        <is>
          <t>The Unexpected Ribbon</t>
        </is>
      </c>
      <c r="C843" s="22" t="inlineStr">
        <is>
          <t>Spell Bottle</t>
        </is>
      </c>
      <c r="D843" s="22" t="inlineStr">
        <is>
          <t>Green aventurine</t>
        </is>
      </c>
      <c r="E843" s="22" t="inlineStr">
        <is>
          <t>green aventurine</t>
        </is>
      </c>
    </row>
    <row r="844" ht="15" customHeight="1" s="18">
      <c r="A844" s="22" t="n">
        <v>168</v>
      </c>
      <c r="B844" s="22" t="inlineStr">
        <is>
          <t>The Waiting Room Oracle</t>
        </is>
      </c>
      <c r="C844" s="22" t="inlineStr">
        <is>
          <t>Rune</t>
        </is>
      </c>
      <c r="D844" s="22" t="inlineStr">
        <is>
          <t>River stone</t>
        </is>
      </c>
      <c r="E844" s="22" t="inlineStr">
        <is>
          <t>Smooth pebble</t>
        </is>
      </c>
    </row>
    <row r="845" ht="15" customHeight="1" s="18">
      <c r="A845" s="22" t="n">
        <v>168</v>
      </c>
      <c r="B845" s="22" t="inlineStr">
        <is>
          <t>The Waiting Room Oracle</t>
        </is>
      </c>
      <c r="C845" s="22" t="inlineStr">
        <is>
          <t>Rune</t>
        </is>
      </c>
      <c r="D845" s="22" t="inlineStr">
        <is>
          <t>Howlite</t>
        </is>
      </c>
      <c r="E845" s="22" t="inlineStr">
        <is>
          <t>howlite</t>
        </is>
      </c>
    </row>
    <row r="846" ht="15" customHeight="1" s="18">
      <c r="A846" s="22" t="n">
        <v>168</v>
      </c>
      <c r="B846" s="22" t="inlineStr">
        <is>
          <t>The Waiting Room Oracle</t>
        </is>
      </c>
      <c r="C846" s="22" t="inlineStr">
        <is>
          <t>Rune</t>
        </is>
      </c>
      <c r="D846" s="22" t="inlineStr">
        <is>
          <t>Chamomile</t>
        </is>
      </c>
      <c r="E846" s="22" t="inlineStr">
        <is>
          <t>chamomile</t>
        </is>
      </c>
    </row>
    <row r="847" ht="15" customHeight="1" s="18">
      <c r="A847" s="22" t="n">
        <v>169</v>
      </c>
      <c r="B847" s="22" t="inlineStr">
        <is>
          <t>The Ritual of Ordinary Things</t>
        </is>
      </c>
      <c r="C847" s="22" t="inlineStr">
        <is>
          <t>Glamour</t>
        </is>
      </c>
      <c r="D847" s="22" t="inlineStr">
        <is>
          <t>Rosewater</t>
        </is>
      </c>
      <c r="E847" s="22" t="inlineStr">
        <is>
          <t>Rosewater</t>
        </is>
      </c>
    </row>
    <row r="848" ht="15" customHeight="1" s="18">
      <c r="A848" s="22" t="n">
        <v>169</v>
      </c>
      <c r="B848" s="22" t="inlineStr">
        <is>
          <t>The Ritual of Ordinary Things</t>
        </is>
      </c>
      <c r="C848" s="22" t="inlineStr">
        <is>
          <t>Glamour</t>
        </is>
      </c>
      <c r="D848" s="22" t="inlineStr">
        <is>
          <t>Jasmine</t>
        </is>
      </c>
      <c r="E848" s="22" t="inlineStr">
        <is>
          <t>jasmine</t>
        </is>
      </c>
    </row>
    <row r="849" ht="15" customHeight="1" s="18">
      <c r="A849" s="22" t="n">
        <v>169</v>
      </c>
      <c r="B849" s="22" t="inlineStr">
        <is>
          <t>The Ritual of Ordinary Things</t>
        </is>
      </c>
      <c r="C849" s="22" t="inlineStr">
        <is>
          <t>Glamour</t>
        </is>
      </c>
      <c r="D849" s="22" t="inlineStr">
        <is>
          <t>Pearl</t>
        </is>
      </c>
      <c r="E849" s="22" t="inlineStr">
        <is>
          <t>pearl</t>
        </is>
      </c>
    </row>
    <row r="850" ht="15" customHeight="1" s="18">
      <c r="A850" s="22" t="n">
        <v>170</v>
      </c>
      <c r="B850" s="22" t="inlineStr">
        <is>
          <t>The Doorstep Clover</t>
        </is>
      </c>
      <c r="C850" s="22" t="inlineStr">
        <is>
          <t>Talisman</t>
        </is>
      </c>
      <c r="D850" s="22" t="inlineStr">
        <is>
          <t>Wooden disc</t>
        </is>
      </c>
      <c r="E850" s="22" t="inlineStr">
        <is>
          <t>Wooden disc</t>
        </is>
      </c>
    </row>
    <row r="851" ht="15" customHeight="1" s="18">
      <c r="A851" s="22" t="n">
        <v>170</v>
      </c>
      <c r="B851" s="22" t="inlineStr">
        <is>
          <t>The Doorstep Clover</t>
        </is>
      </c>
      <c r="C851" s="22" t="inlineStr">
        <is>
          <t>Talisman</t>
        </is>
      </c>
      <c r="D851" s="22" t="inlineStr">
        <is>
          <t>Four-leaf clover</t>
        </is>
      </c>
      <c r="E851" s="22" t="inlineStr">
        <is>
          <t>four-leaf clover</t>
        </is>
      </c>
    </row>
    <row r="852" ht="15" customHeight="1" s="18">
      <c r="A852" s="22" t="n">
        <v>170</v>
      </c>
      <c r="B852" s="22" t="inlineStr">
        <is>
          <t>The Doorstep Clover</t>
        </is>
      </c>
      <c r="C852" s="22" t="inlineStr">
        <is>
          <t>Talisman</t>
        </is>
      </c>
      <c r="D852" s="22" t="inlineStr">
        <is>
          <t>Brass button</t>
        </is>
      </c>
      <c r="E852" s="22" t="inlineStr">
        <is>
          <t>brass button</t>
        </is>
      </c>
    </row>
    <row r="853" ht="15" customHeight="1" s="18">
      <c r="A853" s="22" t="n">
        <v>170</v>
      </c>
      <c r="B853" s="22" t="inlineStr">
        <is>
          <t>The Doorstep Clover</t>
        </is>
      </c>
      <c r="C853" s="22" t="inlineStr">
        <is>
          <t>Talisman</t>
        </is>
      </c>
      <c r="D853" s="22" t="inlineStr">
        <is>
          <t>Green aventurine</t>
        </is>
      </c>
      <c r="E853" s="22" t="inlineStr">
        <is>
          <t>green aventurine</t>
        </is>
      </c>
    </row>
    <row r="854" ht="15" customHeight="1" s="18">
      <c r="A854" s="22" t="n">
        <v>170</v>
      </c>
      <c r="B854" s="22" t="inlineStr">
        <is>
          <t>The Doorstep Clover</t>
        </is>
      </c>
      <c r="C854" s="22" t="inlineStr">
        <is>
          <t>Talisman</t>
        </is>
      </c>
      <c r="D854" s="22" t="inlineStr">
        <is>
          <t>Green thread</t>
        </is>
      </c>
      <c r="E854" s="22" t="inlineStr">
        <is>
          <t>green thread</t>
        </is>
      </c>
    </row>
    <row r="855" ht="15" customHeight="1" s="18">
      <c r="A855" s="22" t="n">
        <v>171</v>
      </c>
      <c r="B855" s="22" t="inlineStr">
        <is>
          <t>The Pillow Fort Moon</t>
        </is>
      </c>
      <c r="C855" s="22" t="inlineStr">
        <is>
          <t>Sachet</t>
        </is>
      </c>
      <c r="D855" s="22" t="inlineStr">
        <is>
          <t>Lavender</t>
        </is>
      </c>
      <c r="E855" s="22" t="inlineStr">
        <is>
          <t>Lavender</t>
        </is>
      </c>
    </row>
    <row r="856" ht="15" customHeight="1" s="18">
      <c r="A856" s="22" t="n">
        <v>171</v>
      </c>
      <c r="B856" s="22" t="inlineStr">
        <is>
          <t>The Pillow Fort Moon</t>
        </is>
      </c>
      <c r="C856" s="22" t="inlineStr">
        <is>
          <t>Sachet</t>
        </is>
      </c>
      <c r="D856" s="22" t="inlineStr">
        <is>
          <t>Chamomile</t>
        </is>
      </c>
      <c r="E856" s="22" t="inlineStr">
        <is>
          <t>chamomile</t>
        </is>
      </c>
    </row>
    <row r="857" ht="15" customHeight="1" s="18">
      <c r="A857" s="22" t="n">
        <v>171</v>
      </c>
      <c r="B857" s="22" t="inlineStr">
        <is>
          <t>The Pillow Fort Moon</t>
        </is>
      </c>
      <c r="C857" s="22" t="inlineStr">
        <is>
          <t>Sachet</t>
        </is>
      </c>
      <c r="D857" s="22" t="inlineStr">
        <is>
          <t>Hops</t>
        </is>
      </c>
      <c r="E857" s="22" t="inlineStr">
        <is>
          <t>hops</t>
        </is>
      </c>
    </row>
    <row r="858" ht="15" customHeight="1" s="18">
      <c r="A858" s="22" t="n">
        <v>171</v>
      </c>
      <c r="B858" s="22" t="inlineStr">
        <is>
          <t>The Pillow Fort Moon</t>
        </is>
      </c>
      <c r="C858" s="22" t="inlineStr">
        <is>
          <t>Sachet</t>
        </is>
      </c>
      <c r="D858" s="22" t="inlineStr">
        <is>
          <t>Blue lace agate</t>
        </is>
      </c>
      <c r="E858" s="22" t="inlineStr">
        <is>
          <t>blue lace agate</t>
        </is>
      </c>
    </row>
    <row r="859" ht="15" customHeight="1" s="18">
      <c r="A859" s="22" t="n">
        <v>172</v>
      </c>
      <c r="B859" s="22" t="inlineStr">
        <is>
          <t>The Sleepy Stardrop</t>
        </is>
      </c>
      <c r="C859" s="22" t="inlineStr">
        <is>
          <t>Balm</t>
        </is>
      </c>
      <c r="D859" s="22" t="inlineStr">
        <is>
          <t>Shea butter</t>
        </is>
      </c>
      <c r="E859" s="22" t="inlineStr">
        <is>
          <t>Shea butter</t>
        </is>
      </c>
    </row>
    <row r="860" ht="15" customHeight="1" s="18">
      <c r="A860" s="22" t="n">
        <v>172</v>
      </c>
      <c r="B860" s="22" t="inlineStr">
        <is>
          <t>The Sleepy Stardrop</t>
        </is>
      </c>
      <c r="C860" s="22" t="inlineStr">
        <is>
          <t>Balm</t>
        </is>
      </c>
      <c r="D860" s="22" t="inlineStr">
        <is>
          <t>Lavender</t>
        </is>
      </c>
      <c r="E860" s="22" t="inlineStr">
        <is>
          <t>lavender</t>
        </is>
      </c>
    </row>
    <row r="861" ht="15" customHeight="1" s="18">
      <c r="A861" s="22" t="n">
        <v>172</v>
      </c>
      <c r="B861" s="22" t="inlineStr">
        <is>
          <t>The Sleepy Stardrop</t>
        </is>
      </c>
      <c r="C861" s="22" t="inlineStr">
        <is>
          <t>Balm</t>
        </is>
      </c>
      <c r="D861" s="22" t="inlineStr">
        <is>
          <t>Chamomile</t>
        </is>
      </c>
      <c r="E861" s="22" t="inlineStr">
        <is>
          <t>chamomile</t>
        </is>
      </c>
    </row>
    <row r="862" ht="15" customHeight="1" s="18">
      <c r="A862" s="22" t="n">
        <v>172</v>
      </c>
      <c r="B862" s="22" t="inlineStr">
        <is>
          <t>The Sleepy Stardrop</t>
        </is>
      </c>
      <c r="C862" s="22" t="inlineStr">
        <is>
          <t>Balm</t>
        </is>
      </c>
      <c r="D862" s="22" t="inlineStr">
        <is>
          <t>Valerian</t>
        </is>
      </c>
      <c r="E862" s="22" t="inlineStr">
        <is>
          <t>valerian</t>
        </is>
      </c>
    </row>
    <row r="863" ht="15" customHeight="1" s="18">
      <c r="A863" s="22" t="n">
        <v>173</v>
      </c>
      <c r="B863" s="22" t="inlineStr">
        <is>
          <t>One Tiny Task at a Time</t>
        </is>
      </c>
      <c r="C863" s="22" t="inlineStr">
        <is>
          <t>Witch's Ladder</t>
        </is>
      </c>
      <c r="D863" s="22" t="inlineStr">
        <is>
          <t>Spool of thread</t>
        </is>
      </c>
      <c r="E863" s="22" t="inlineStr">
        <is>
          <t>Spool of thread</t>
        </is>
      </c>
    </row>
    <row r="864" ht="15" customHeight="1" s="18">
      <c r="A864" s="22" t="n">
        <v>173</v>
      </c>
      <c r="B864" s="22" t="inlineStr">
        <is>
          <t>One Tiny Task at a Time</t>
        </is>
      </c>
      <c r="C864" s="22" t="inlineStr">
        <is>
          <t>Witch's Ladder</t>
        </is>
      </c>
      <c r="D864" s="22" t="inlineStr">
        <is>
          <t>Brass button</t>
        </is>
      </c>
      <c r="E864" s="22" t="inlineStr">
        <is>
          <t>brass button</t>
        </is>
      </c>
    </row>
    <row r="865" ht="15" customHeight="1" s="18">
      <c r="A865" s="22" t="n">
        <v>174</v>
      </c>
      <c r="B865" s="22" t="inlineStr">
        <is>
          <t>The Offline Garden</t>
        </is>
      </c>
      <c r="C865" s="22" t="inlineStr">
        <is>
          <t>Water</t>
        </is>
      </c>
      <c r="D865" s="22" t="inlineStr">
        <is>
          <t>Snow Water</t>
        </is>
      </c>
      <c r="E865" s="22" t="inlineStr">
        <is>
          <t>Snow Water</t>
        </is>
      </c>
    </row>
    <row r="866" ht="15" customHeight="1" s="18">
      <c r="A866" s="22" t="n">
        <v>174</v>
      </c>
      <c r="B866" s="22" t="inlineStr">
        <is>
          <t>The Offline Garden</t>
        </is>
      </c>
      <c r="C866" s="22" t="inlineStr">
        <is>
          <t>Water</t>
        </is>
      </c>
      <c r="D866" s="22" t="inlineStr">
        <is>
          <t>Mint</t>
        </is>
      </c>
      <c r="E866" s="22" t="inlineStr">
        <is>
          <t>mint</t>
        </is>
      </c>
    </row>
    <row r="867" ht="15" customHeight="1" s="18">
      <c r="A867" s="22" t="n">
        <v>174</v>
      </c>
      <c r="B867" s="22" t="inlineStr">
        <is>
          <t>The Offline Garden</t>
        </is>
      </c>
      <c r="C867" s="22" t="inlineStr">
        <is>
          <t>Water</t>
        </is>
      </c>
      <c r="D867" s="22" t="inlineStr">
        <is>
          <t>Hops</t>
        </is>
      </c>
      <c r="E867" s="22" t="inlineStr">
        <is>
          <t>hops</t>
        </is>
      </c>
    </row>
    <row r="868" ht="15" customHeight="1" s="18">
      <c r="A868" s="22" t="n">
        <v>174</v>
      </c>
      <c r="B868" s="22" t="inlineStr">
        <is>
          <t>The Offline Garden</t>
        </is>
      </c>
      <c r="C868" s="22" t="inlineStr">
        <is>
          <t>Water</t>
        </is>
      </c>
      <c r="D868" s="22" t="inlineStr">
        <is>
          <t>Moss agate</t>
        </is>
      </c>
      <c r="E868" s="22" t="inlineStr">
        <is>
          <t>moss agate</t>
        </is>
      </c>
    </row>
    <row r="869" ht="15" customHeight="1" s="18">
      <c r="A869" s="22" t="n">
        <v>175</v>
      </c>
      <c r="B869" s="22" t="inlineStr">
        <is>
          <t>The Everyday Jester</t>
        </is>
      </c>
      <c r="C869" s="22" t="inlineStr">
        <is>
          <t>Poppet</t>
        </is>
      </c>
      <c r="D869" s="22" t="inlineStr">
        <is>
          <t>Patchwork scraps</t>
        </is>
      </c>
      <c r="E869" s="22" t="inlineStr">
        <is>
          <t>Patchwork scraps</t>
        </is>
      </c>
    </row>
    <row r="870" ht="15" customHeight="1" s="18">
      <c r="A870" s="22" t="n">
        <v>175</v>
      </c>
      <c r="B870" s="22" t="inlineStr">
        <is>
          <t>The Everyday Jester</t>
        </is>
      </c>
      <c r="C870" s="22" t="inlineStr">
        <is>
          <t>Poppet</t>
        </is>
      </c>
      <c r="D870" s="22" t="inlineStr">
        <is>
          <t>Bright buttons</t>
        </is>
      </c>
      <c r="E870" s="22" t="inlineStr">
        <is>
          <t>bright buttons</t>
        </is>
      </c>
    </row>
    <row r="871" ht="15" customHeight="1" s="18">
      <c r="A871" s="22" t="n">
        <v>175</v>
      </c>
      <c r="B871" s="22" t="inlineStr">
        <is>
          <t>The Everyday Jester</t>
        </is>
      </c>
      <c r="C871" s="22" t="inlineStr">
        <is>
          <t>Poppet</t>
        </is>
      </c>
      <c r="D871" s="22" t="inlineStr">
        <is>
          <t>Tiny bell</t>
        </is>
      </c>
      <c r="E871" s="22" t="inlineStr">
        <is>
          <t>a tiny bell</t>
        </is>
      </c>
    </row>
    <row r="872" ht="15" customHeight="1" s="18">
      <c r="A872" s="22" t="n">
        <v>175</v>
      </c>
      <c r="B872" s="22" t="inlineStr">
        <is>
          <t>The Everyday Jester</t>
        </is>
      </c>
      <c r="C872" s="22" t="inlineStr">
        <is>
          <t>Poppet</t>
        </is>
      </c>
      <c r="D872" s="22" t="inlineStr">
        <is>
          <t>Orange peel</t>
        </is>
      </c>
      <c r="E872" s="22" t="inlineStr">
        <is>
          <t>orange peel</t>
        </is>
      </c>
    </row>
    <row r="873" ht="15" customHeight="1" s="18">
      <c r="A873" s="22" t="n">
        <v>175</v>
      </c>
      <c r="B873" s="22" t="inlineStr">
        <is>
          <t>The Everyday Jester</t>
        </is>
      </c>
      <c r="C873" s="22" t="inlineStr">
        <is>
          <t>Poppet</t>
        </is>
      </c>
      <c r="D873" s="22" t="inlineStr">
        <is>
          <t>Orange thread</t>
        </is>
      </c>
      <c r="E873" s="22" t="inlineStr">
        <is>
          <t>orange thread</t>
        </is>
      </c>
    </row>
    <row r="874" ht="15" customHeight="1" s="18">
      <c r="A874" s="22" t="n">
        <v>176</v>
      </c>
      <c r="B874" s="22" t="inlineStr">
        <is>
          <t>The Sunday Softening</t>
        </is>
      </c>
      <c r="C874" s="22" t="inlineStr">
        <is>
          <t>Bath Salt</t>
        </is>
      </c>
      <c r="D874" s="22" t="inlineStr">
        <is>
          <t>Pink salt</t>
        </is>
      </c>
      <c r="E874" s="22" t="inlineStr">
        <is>
          <t>Pink salt</t>
        </is>
      </c>
    </row>
    <row r="875" ht="15" customHeight="1" s="18">
      <c r="A875" s="22" t="n">
        <v>176</v>
      </c>
      <c r="B875" s="22" t="inlineStr">
        <is>
          <t>The Sunday Softening</t>
        </is>
      </c>
      <c r="C875" s="22" t="inlineStr">
        <is>
          <t>Bath Salt</t>
        </is>
      </c>
      <c r="D875" s="22" t="inlineStr">
        <is>
          <t>Rose petals</t>
        </is>
      </c>
      <c r="E875" s="22" t="inlineStr">
        <is>
          <t>rose petals</t>
        </is>
      </c>
    </row>
    <row r="876" ht="15" customHeight="1" s="18">
      <c r="A876" s="22" t="n">
        <v>176</v>
      </c>
      <c r="B876" s="22" t="inlineStr">
        <is>
          <t>The Sunday Softening</t>
        </is>
      </c>
      <c r="C876" s="22" t="inlineStr">
        <is>
          <t>Bath Salt</t>
        </is>
      </c>
      <c r="D876" s="22" t="inlineStr">
        <is>
          <t>Lilac</t>
        </is>
      </c>
      <c r="E876" s="22" t="inlineStr">
        <is>
          <t>lilac</t>
        </is>
      </c>
    </row>
    <row r="877" ht="15" customHeight="1" s="18">
      <c r="A877" s="22" t="n">
        <v>176</v>
      </c>
      <c r="B877" s="22" t="inlineStr">
        <is>
          <t>The Sunday Softening</t>
        </is>
      </c>
      <c r="C877" s="22" t="inlineStr">
        <is>
          <t>Bath Salt</t>
        </is>
      </c>
      <c r="D877" s="22" t="inlineStr">
        <is>
          <t>Milk powder</t>
        </is>
      </c>
      <c r="E877" s="22" t="inlineStr">
        <is>
          <t>milk powder</t>
        </is>
      </c>
    </row>
    <row r="878" ht="15" customHeight="1" s="18">
      <c r="A878" s="22" t="n">
        <v>177</v>
      </c>
      <c r="B878" s="22" t="inlineStr">
        <is>
          <t>The Nesting Spell</t>
        </is>
      </c>
      <c r="C878" s="22" t="inlineStr">
        <is>
          <t>Hand Mirror</t>
        </is>
      </c>
      <c r="D878" s="22" t="inlineStr">
        <is>
          <t>Clamshell compact</t>
        </is>
      </c>
      <c r="E878" s="22" t="inlineStr">
        <is>
          <t>Clamshell compact</t>
        </is>
      </c>
    </row>
    <row r="879" ht="15" customHeight="1" s="18">
      <c r="A879" s="22" t="n">
        <v>177</v>
      </c>
      <c r="B879" s="22" t="inlineStr">
        <is>
          <t>The Nesting Spell</t>
        </is>
      </c>
      <c r="C879" s="22" t="inlineStr">
        <is>
          <t>Hand Mirror</t>
        </is>
      </c>
      <c r="D879" s="22" t="inlineStr">
        <is>
          <t>Nest twig</t>
        </is>
      </c>
      <c r="E879" s="22" t="inlineStr">
        <is>
          <t>a twig from a fallen nest</t>
        </is>
      </c>
    </row>
    <row r="880" ht="15" customHeight="1" s="18">
      <c r="A880" s="22" t="n">
        <v>177</v>
      </c>
      <c r="B880" s="22" t="inlineStr">
        <is>
          <t>The Nesting Spell</t>
        </is>
      </c>
      <c r="C880" s="22" t="inlineStr">
        <is>
          <t>Hand Mirror</t>
        </is>
      </c>
      <c r="D880" s="22" t="inlineStr">
        <is>
          <t>Rose quartz</t>
        </is>
      </c>
      <c r="E880" s="22" t="inlineStr">
        <is>
          <t>rose quartz</t>
        </is>
      </c>
    </row>
    <row r="881" ht="15" customHeight="1" s="18">
      <c r="A881" s="22" t="n">
        <v>178</v>
      </c>
      <c r="B881" s="22" t="inlineStr">
        <is>
          <t>The Rain-Rinse Ritual</t>
        </is>
      </c>
      <c r="C881" s="22" t="inlineStr">
        <is>
          <t>Soap</t>
        </is>
      </c>
      <c r="D881" s="22" t="inlineStr">
        <is>
          <t>Soap base</t>
        </is>
      </c>
      <c r="E881" s="22" t="inlineStr">
        <is>
          <t>Soap base</t>
        </is>
      </c>
    </row>
    <row r="882" ht="15" customHeight="1" s="18">
      <c r="A882" s="22" t="n">
        <v>178</v>
      </c>
      <c r="B882" s="22" t="inlineStr">
        <is>
          <t>The Rain-Rinse Ritual</t>
        </is>
      </c>
      <c r="C882" s="22" t="inlineStr">
        <is>
          <t>Soap</t>
        </is>
      </c>
      <c r="D882" s="22" t="inlineStr">
        <is>
          <t>Rainwater</t>
        </is>
      </c>
      <c r="E882" s="22" t="inlineStr">
        <is>
          <t>Rainwater</t>
        </is>
      </c>
    </row>
    <row r="883" ht="15" customHeight="1" s="18">
      <c r="A883" s="22" t="n">
        <v>178</v>
      </c>
      <c r="B883" s="22" t="inlineStr">
        <is>
          <t>The Rain-Rinse Ritual</t>
        </is>
      </c>
      <c r="C883" s="22" t="inlineStr">
        <is>
          <t>Soap</t>
        </is>
      </c>
      <c r="D883" s="22" t="inlineStr">
        <is>
          <t>Mint</t>
        </is>
      </c>
      <c r="E883" s="22" t="inlineStr">
        <is>
          <t>mint</t>
        </is>
      </c>
    </row>
    <row r="884" ht="15" customHeight="1" s="18">
      <c r="A884" s="22" t="n">
        <v>178</v>
      </c>
      <c r="B884" s="22" t="inlineStr">
        <is>
          <t>The Rain-Rinse Ritual</t>
        </is>
      </c>
      <c r="C884" s="22" t="inlineStr">
        <is>
          <t>Soap</t>
        </is>
      </c>
      <c r="D884" s="22" t="inlineStr">
        <is>
          <t>Eucalyptus</t>
        </is>
      </c>
      <c r="E884" s="22" t="inlineStr">
        <is>
          <t>eucalyptus</t>
        </is>
      </c>
    </row>
    <row r="885" ht="15" customHeight="1" s="18">
      <c r="A885" s="22" t="n">
        <v>179</v>
      </c>
      <c r="B885" s="22" t="inlineStr">
        <is>
          <t>The Path of Least Fuss</t>
        </is>
      </c>
      <c r="C885" s="22" t="inlineStr">
        <is>
          <t>Charm</t>
        </is>
      </c>
      <c r="D885" s="22" t="inlineStr">
        <is>
          <t>Chamomile</t>
        </is>
      </c>
      <c r="E885" s="22" t="inlineStr">
        <is>
          <t>Chamomile</t>
        </is>
      </c>
    </row>
    <row r="886" ht="15" customHeight="1" s="18">
      <c r="A886" s="22" t="n">
        <v>179</v>
      </c>
      <c r="B886" s="22" t="inlineStr">
        <is>
          <t>The Path of Least Fuss</t>
        </is>
      </c>
      <c r="C886" s="22" t="inlineStr">
        <is>
          <t>Charm</t>
        </is>
      </c>
      <c r="D886" s="22" t="inlineStr">
        <is>
          <t>Small key</t>
        </is>
      </c>
      <c r="E886" s="22" t="inlineStr">
        <is>
          <t>small key</t>
        </is>
      </c>
    </row>
    <row r="887" ht="15" customHeight="1" s="18">
      <c r="A887" s="22" t="n">
        <v>179</v>
      </c>
      <c r="B887" s="22" t="inlineStr">
        <is>
          <t>The Path of Least Fuss</t>
        </is>
      </c>
      <c r="C887" s="22" t="inlineStr">
        <is>
          <t>Charm</t>
        </is>
      </c>
      <c r="D887" s="22" t="inlineStr">
        <is>
          <t>Blue thread</t>
        </is>
      </c>
      <c r="E887" s="22" t="inlineStr">
        <is>
          <t>blue thread</t>
        </is>
      </c>
    </row>
    <row r="888" ht="15" customHeight="1" s="18">
      <c r="A888" s="22" t="n">
        <v>180</v>
      </c>
      <c r="B888" s="22" t="inlineStr">
        <is>
          <t>The Little Victory Bell</t>
        </is>
      </c>
      <c r="C888" s="22" t="inlineStr">
        <is>
          <t>Powder</t>
        </is>
      </c>
      <c r="D888" s="22" t="inlineStr">
        <is>
          <t>Gold mica</t>
        </is>
      </c>
      <c r="E888" s="22" t="inlineStr">
        <is>
          <t>Gold mica</t>
        </is>
      </c>
    </row>
    <row r="889" ht="15" customHeight="1" s="18">
      <c r="A889" s="22" t="n">
        <v>180</v>
      </c>
      <c r="B889" s="22" t="inlineStr">
        <is>
          <t>The Little Victory Bell</t>
        </is>
      </c>
      <c r="C889" s="22" t="inlineStr">
        <is>
          <t>Powder</t>
        </is>
      </c>
      <c r="D889" s="22" t="inlineStr">
        <is>
          <t>Cinnamon</t>
        </is>
      </c>
      <c r="E889" s="22" t="inlineStr">
        <is>
          <t>cinnamon</t>
        </is>
      </c>
    </row>
    <row r="890" ht="15" customHeight="1" s="18">
      <c r="A890" s="22" t="n">
        <v>180</v>
      </c>
      <c r="B890" s="22" t="inlineStr">
        <is>
          <t>The Little Victory Bell</t>
        </is>
      </c>
      <c r="C890" s="22" t="inlineStr">
        <is>
          <t>Powder</t>
        </is>
      </c>
      <c r="D890" s="22" t="inlineStr">
        <is>
          <t>Orange peel</t>
        </is>
      </c>
      <c r="E890" s="22" t="inlineStr">
        <is>
          <t>orange peel powder</t>
        </is>
      </c>
    </row>
    <row r="891" ht="15" customHeight="1" s="18">
      <c r="A891" s="22" t="n">
        <v>181</v>
      </c>
      <c r="B891" s="22" t="inlineStr">
        <is>
          <t>The Pattern Beneath</t>
        </is>
      </c>
      <c r="C891" s="22" t="inlineStr">
        <is>
          <t>Hand Mirror</t>
        </is>
      </c>
      <c r="D891" s="22" t="inlineStr">
        <is>
          <t>Clamshell compact</t>
        </is>
      </c>
      <c r="E891" s="22" t="inlineStr">
        <is>
          <t>Clamshell compact</t>
        </is>
      </c>
    </row>
    <row r="892" ht="15" customHeight="1" s="18">
      <c r="A892" s="22" t="n">
        <v>181</v>
      </c>
      <c r="B892" s="22" t="inlineStr">
        <is>
          <t>The Pattern Beneath</t>
        </is>
      </c>
      <c r="C892" s="22" t="inlineStr">
        <is>
          <t>Hand Mirror</t>
        </is>
      </c>
      <c r="D892" s="22" t="inlineStr">
        <is>
          <t>Obsidian</t>
        </is>
      </c>
      <c r="E892" s="22" t="inlineStr">
        <is>
          <t>obsidian</t>
        </is>
      </c>
    </row>
    <row r="893" ht="15" customHeight="1" s="18">
      <c r="A893" s="22" t="n">
        <v>181</v>
      </c>
      <c r="B893" s="22" t="inlineStr">
        <is>
          <t>The Pattern Beneath</t>
        </is>
      </c>
      <c r="C893" s="22" t="inlineStr">
        <is>
          <t>Hand Mirror</t>
        </is>
      </c>
      <c r="D893" s="22" t="inlineStr">
        <is>
          <t>Mugwort</t>
        </is>
      </c>
      <c r="E893" s="22" t="inlineStr">
        <is>
          <t>mugwort</t>
        </is>
      </c>
    </row>
    <row r="894" ht="15" customHeight="1" s="18">
      <c r="A894" s="22" t="n">
        <v>181</v>
      </c>
      <c r="B894" s="22" t="inlineStr">
        <is>
          <t>The Pattern Beneath</t>
        </is>
      </c>
      <c r="C894" s="22" t="inlineStr">
        <is>
          <t>Hand Mirror</t>
        </is>
      </c>
      <c r="D894" s="22" t="inlineStr">
        <is>
          <t>Moonwater</t>
        </is>
      </c>
      <c r="E894" s="22" t="inlineStr">
        <is>
          <t>Moonwater</t>
        </is>
      </c>
    </row>
    <row r="895" ht="15" customHeight="1" s="18">
      <c r="A895" s="22" t="n">
        <v>181</v>
      </c>
      <c r="B895" s="22" t="inlineStr">
        <is>
          <t>The Pattern Beneath</t>
        </is>
      </c>
      <c r="C895" s="22" t="inlineStr">
        <is>
          <t>Hand Mirror</t>
        </is>
      </c>
      <c r="D895" s="22" t="inlineStr">
        <is>
          <t>Moth wing dust</t>
        </is>
      </c>
      <c r="E895" s="22" t="inlineStr">
        <is>
          <t>moth wing dust</t>
        </is>
      </c>
    </row>
    <row r="896" ht="15" customHeight="1" s="18">
      <c r="A896" s="22" t="n">
        <v>182</v>
      </c>
      <c r="B896" s="22" t="inlineStr">
        <is>
          <t>The Door You Know</t>
        </is>
      </c>
      <c r="C896" s="22" t="inlineStr">
        <is>
          <t>Wand</t>
        </is>
      </c>
      <c r="D896" s="22" t="inlineStr">
        <is>
          <t>Blackthorn branch</t>
        </is>
      </c>
      <c r="E896" s="22" t="inlineStr">
        <is>
          <t>Fallen blackthorn branch</t>
        </is>
      </c>
    </row>
    <row r="897" ht="15" customHeight="1" s="18">
      <c r="A897" s="22" t="n">
        <v>182</v>
      </c>
      <c r="B897" s="22" t="inlineStr">
        <is>
          <t>The Door You Know</t>
        </is>
      </c>
      <c r="C897" s="22" t="inlineStr">
        <is>
          <t>Wand</t>
        </is>
      </c>
      <c r="D897" s="22" t="inlineStr">
        <is>
          <t>Small key</t>
        </is>
      </c>
      <c r="E897" s="22" t="inlineStr">
        <is>
          <t>small key</t>
        </is>
      </c>
    </row>
    <row r="898" ht="15" customHeight="1" s="18">
      <c r="A898" s="22" t="n">
        <v>182</v>
      </c>
      <c r="B898" s="22" t="inlineStr">
        <is>
          <t>The Door You Know</t>
        </is>
      </c>
      <c r="C898" s="22" t="inlineStr">
        <is>
          <t>Wand</t>
        </is>
      </c>
      <c r="D898" s="22" t="inlineStr">
        <is>
          <t>Blue thread</t>
        </is>
      </c>
      <c r="E898" s="22" t="inlineStr">
        <is>
          <t>blue thread</t>
        </is>
      </c>
    </row>
    <row r="899" ht="15" customHeight="1" s="18">
      <c r="A899" s="22" t="n">
        <v>182</v>
      </c>
      <c r="B899" s="22" t="inlineStr">
        <is>
          <t>The Door You Know</t>
        </is>
      </c>
      <c r="C899" s="22" t="inlineStr">
        <is>
          <t>Wand</t>
        </is>
      </c>
      <c r="D899" s="22" t="inlineStr">
        <is>
          <t>Red thread</t>
        </is>
      </c>
      <c r="E899" s="22" t="inlineStr">
        <is>
          <t>red thread</t>
        </is>
      </c>
    </row>
    <row r="900" ht="15" customHeight="1" s="18">
      <c r="A900" s="22" t="n">
        <v>182</v>
      </c>
      <c r="B900" s="22" t="inlineStr">
        <is>
          <t>The Door You Know</t>
        </is>
      </c>
      <c r="C900" s="22" t="inlineStr">
        <is>
          <t>Wand</t>
        </is>
      </c>
      <c r="D900" s="22" t="inlineStr">
        <is>
          <t>Garnet</t>
        </is>
      </c>
      <c r="E900" s="22" t="inlineStr">
        <is>
          <t>garnet</t>
        </is>
      </c>
    </row>
    <row r="901" ht="15" customHeight="1" s="18">
      <c r="A901" s="22" t="n">
        <v>183</v>
      </c>
      <c r="B901" s="22" t="inlineStr">
        <is>
          <t>The Hand on the Wheel</t>
        </is>
      </c>
      <c r="C901" s="22" t="inlineStr">
        <is>
          <t>Talisman</t>
        </is>
      </c>
      <c r="D901" s="22" t="inlineStr">
        <is>
          <t>Copper disc</t>
        </is>
      </c>
      <c r="E901" s="22" t="inlineStr">
        <is>
          <t>Copper disc</t>
        </is>
      </c>
    </row>
    <row r="902" ht="15" customHeight="1" s="18">
      <c r="A902" s="22" t="n">
        <v>183</v>
      </c>
      <c r="B902" s="22" t="inlineStr">
        <is>
          <t>The Hand on the Wheel</t>
        </is>
      </c>
      <c r="C902" s="22" t="inlineStr">
        <is>
          <t>Talisman</t>
        </is>
      </c>
      <c r="D902" s="22" t="inlineStr">
        <is>
          <t>Tiger's eye</t>
        </is>
      </c>
      <c r="E902" s="22" t="inlineStr">
        <is>
          <t>tiger's eye</t>
        </is>
      </c>
    </row>
    <row r="903" ht="15" customHeight="1" s="18">
      <c r="A903" s="22" t="n">
        <v>183</v>
      </c>
      <c r="B903" s="22" t="inlineStr">
        <is>
          <t>The Hand on the Wheel</t>
        </is>
      </c>
      <c r="C903" s="22" t="inlineStr">
        <is>
          <t>Talisman</t>
        </is>
      </c>
      <c r="D903" s="22" t="inlineStr">
        <is>
          <t>Cinnamon</t>
        </is>
      </c>
      <c r="E903" s="22" t="inlineStr">
        <is>
          <t>cinnamon</t>
        </is>
      </c>
    </row>
    <row r="904" ht="15" customHeight="1" s="18">
      <c r="A904" s="22" t="n">
        <v>184</v>
      </c>
      <c r="B904" s="22" t="inlineStr">
        <is>
          <t>The Guiltless Garden</t>
        </is>
      </c>
      <c r="C904" s="22" t="inlineStr">
        <is>
          <t>Water</t>
        </is>
      </c>
      <c r="D904" s="22" t="inlineStr">
        <is>
          <t>Rainwater</t>
        </is>
      </c>
      <c r="E904" s="22" t="inlineStr">
        <is>
          <t>Rainwater</t>
        </is>
      </c>
    </row>
    <row r="905" ht="15" customHeight="1" s="18">
      <c r="A905" s="22" t="n">
        <v>184</v>
      </c>
      <c r="B905" s="22" t="inlineStr">
        <is>
          <t>The Guiltless Garden</t>
        </is>
      </c>
      <c r="C905" s="22" t="inlineStr">
        <is>
          <t>Water</t>
        </is>
      </c>
      <c r="D905" s="22" t="inlineStr">
        <is>
          <t>Rose</t>
        </is>
      </c>
      <c r="E905" s="22" t="inlineStr">
        <is>
          <t>rose</t>
        </is>
      </c>
    </row>
    <row r="906" ht="15" customHeight="1" s="18">
      <c r="A906" s="22" t="n">
        <v>184</v>
      </c>
      <c r="B906" s="22" t="inlineStr">
        <is>
          <t>The Guiltless Garden</t>
        </is>
      </c>
      <c r="C906" s="22" t="inlineStr">
        <is>
          <t>Water</t>
        </is>
      </c>
      <c r="D906" s="22" t="inlineStr">
        <is>
          <t>Lemon balm</t>
        </is>
      </c>
      <c r="E906" s="22" t="inlineStr">
        <is>
          <t>lemon balm</t>
        </is>
      </c>
    </row>
    <row r="907" ht="15" customHeight="1" s="18">
      <c r="A907" s="22" t="n">
        <v>184</v>
      </c>
      <c r="B907" s="22" t="inlineStr">
        <is>
          <t>The Guiltless Garden</t>
        </is>
      </c>
      <c r="C907" s="22" t="inlineStr">
        <is>
          <t>Water</t>
        </is>
      </c>
      <c r="D907" s="22" t="inlineStr">
        <is>
          <t>Rose quartz</t>
        </is>
      </c>
      <c r="E907" s="22" t="inlineStr">
        <is>
          <t>rose quartz</t>
        </is>
      </c>
    </row>
    <row r="908" ht="15" customHeight="1" s="18">
      <c r="A908" s="22" t="n">
        <v>185</v>
      </c>
      <c r="B908" s="22" t="inlineStr">
        <is>
          <t>The Ember Keeper</t>
        </is>
      </c>
      <c r="C908" s="22" t="inlineStr">
        <is>
          <t>Oil</t>
        </is>
      </c>
      <c r="D908" s="22" t="inlineStr">
        <is>
          <t>Olive oil</t>
        </is>
      </c>
      <c r="E908" s="22" t="inlineStr">
        <is>
          <t>Olive oil</t>
        </is>
      </c>
    </row>
    <row r="909" ht="15" customHeight="1" s="18">
      <c r="A909" s="22" t="n">
        <v>185</v>
      </c>
      <c r="B909" s="22" t="inlineStr">
        <is>
          <t>The Ember Keeper</t>
        </is>
      </c>
      <c r="C909" s="22" t="inlineStr">
        <is>
          <t>Oil</t>
        </is>
      </c>
      <c r="D909" s="22" t="inlineStr">
        <is>
          <t>Bergamot</t>
        </is>
      </c>
      <c r="E909" s="22" t="inlineStr">
        <is>
          <t>bergamot</t>
        </is>
      </c>
    </row>
    <row r="910" ht="15" customHeight="1" s="18">
      <c r="A910" s="22" t="n">
        <v>185</v>
      </c>
      <c r="B910" s="22" t="inlineStr">
        <is>
          <t>The Ember Keeper</t>
        </is>
      </c>
      <c r="C910" s="22" t="inlineStr">
        <is>
          <t>Oil</t>
        </is>
      </c>
      <c r="D910" s="22" t="inlineStr">
        <is>
          <t>Chili</t>
        </is>
      </c>
      <c r="E910" s="22" t="inlineStr">
        <is>
          <t>a tiny pinch of chili</t>
        </is>
      </c>
    </row>
    <row r="911" ht="15" customHeight="1" s="18">
      <c r="A911" s="22" t="n">
        <v>185</v>
      </c>
      <c r="B911" s="22" t="inlineStr">
        <is>
          <t>The Ember Keeper</t>
        </is>
      </c>
      <c r="C911" s="22" t="inlineStr">
        <is>
          <t>Oil</t>
        </is>
      </c>
      <c r="D911" s="22" t="inlineStr">
        <is>
          <t>Lavender</t>
        </is>
      </c>
      <c r="E911" s="22" t="inlineStr">
        <is>
          <t>lavender</t>
        </is>
      </c>
    </row>
    <row r="912" ht="15" customHeight="1" s="18">
      <c r="A912" s="22" t="n">
        <v>185</v>
      </c>
      <c r="B912" s="22" t="inlineStr">
        <is>
          <t>The Ember Keeper</t>
        </is>
      </c>
      <c r="C912" s="22" t="inlineStr">
        <is>
          <t>Oil</t>
        </is>
      </c>
      <c r="D912" s="22" t="inlineStr">
        <is>
          <t>Aquamarine</t>
        </is>
      </c>
      <c r="E912" s="22" t="inlineStr">
        <is>
          <t>aquamarine</t>
        </is>
      </c>
    </row>
    <row r="913" ht="15" customHeight="1" s="18">
      <c r="A913" s="22" t="n">
        <v>186</v>
      </c>
      <c r="B913" s="22" t="inlineStr">
        <is>
          <t>The Unapologetic Gate</t>
        </is>
      </c>
      <c r="C913" s="22" t="inlineStr">
        <is>
          <t>Sigil</t>
        </is>
      </c>
      <c r="D913" s="22" t="inlineStr">
        <is>
          <t>Paper</t>
        </is>
      </c>
      <c r="E913" s="22" t="inlineStr">
        <is>
          <t>Paper</t>
        </is>
      </c>
    </row>
    <row r="914" ht="15" customHeight="1" s="18">
      <c r="A914" s="22" t="n">
        <v>186</v>
      </c>
      <c r="B914" s="22" t="inlineStr">
        <is>
          <t>The Unapologetic Gate</t>
        </is>
      </c>
      <c r="C914" s="22" t="inlineStr">
        <is>
          <t>Sigil</t>
        </is>
      </c>
      <c r="D914" s="22" t="inlineStr">
        <is>
          <t>Red ink</t>
        </is>
      </c>
      <c r="E914" s="22" t="inlineStr">
        <is>
          <t>red ink</t>
        </is>
      </c>
    </row>
    <row r="915" ht="15" customHeight="1" s="18">
      <c r="A915" s="22" t="n">
        <v>186</v>
      </c>
      <c r="B915" s="22" t="inlineStr">
        <is>
          <t>The Unapologetic Gate</t>
        </is>
      </c>
      <c r="C915" s="22" t="inlineStr">
        <is>
          <t>Sigil</t>
        </is>
      </c>
      <c r="D915" s="22" t="inlineStr">
        <is>
          <t>Lapis lazuli</t>
        </is>
      </c>
      <c r="E915" s="22" t="inlineStr">
        <is>
          <t>lapis lazuli</t>
        </is>
      </c>
    </row>
    <row r="916" ht="15" customHeight="1" s="18">
      <c r="A916" s="22" t="n">
        <v>187</v>
      </c>
      <c r="B916" s="22" t="inlineStr">
        <is>
          <t>The Unseated Guest</t>
        </is>
      </c>
      <c r="C916" s="22" t="inlineStr">
        <is>
          <t>Poppet</t>
        </is>
      </c>
      <c r="D916" s="22" t="inlineStr">
        <is>
          <t>Muslin</t>
        </is>
      </c>
      <c r="E916" s="22" t="inlineStr">
        <is>
          <t>Muslin</t>
        </is>
      </c>
    </row>
    <row r="917" ht="15" customHeight="1" s="18">
      <c r="A917" s="22" t="n">
        <v>187</v>
      </c>
      <c r="B917" s="22" t="inlineStr">
        <is>
          <t>The Unseated Guest</t>
        </is>
      </c>
      <c r="C917" s="22" t="inlineStr">
        <is>
          <t>Poppet</t>
        </is>
      </c>
      <c r="D917" s="22" t="inlineStr">
        <is>
          <t>Grey thread</t>
        </is>
      </c>
      <c r="E917" s="22" t="inlineStr">
        <is>
          <t>grey thread</t>
        </is>
      </c>
    </row>
    <row r="918" ht="15" customHeight="1" s="18">
      <c r="A918" s="22" t="n">
        <v>187</v>
      </c>
      <c r="B918" s="22" t="inlineStr">
        <is>
          <t>The Unseated Guest</t>
        </is>
      </c>
      <c r="C918" s="22" t="inlineStr">
        <is>
          <t>Poppet</t>
        </is>
      </c>
      <c r="D918" s="22" t="inlineStr">
        <is>
          <t>Rose</t>
        </is>
      </c>
      <c r="E918" s="22" t="inlineStr">
        <is>
          <t>rose</t>
        </is>
      </c>
    </row>
    <row r="919" ht="15" customHeight="1" s="18">
      <c r="A919" s="22" t="n">
        <v>187</v>
      </c>
      <c r="B919" s="22" t="inlineStr">
        <is>
          <t>The Unseated Guest</t>
        </is>
      </c>
      <c r="C919" s="22" t="inlineStr">
        <is>
          <t>Poppet</t>
        </is>
      </c>
      <c r="D919" s="22" t="inlineStr">
        <is>
          <t>Smoky quartz</t>
        </is>
      </c>
      <c r="E919" s="22" t="inlineStr">
        <is>
          <t>smoky quartz</t>
        </is>
      </c>
    </row>
    <row r="920" ht="15" customHeight="1" s="18">
      <c r="A920" s="22" t="n">
        <v>187</v>
      </c>
      <c r="B920" s="22" t="inlineStr">
        <is>
          <t>The Unseated Guest</t>
        </is>
      </c>
      <c r="C920" s="22" t="inlineStr">
        <is>
          <t>Poppet</t>
        </is>
      </c>
      <c r="D920" s="22" t="inlineStr">
        <is>
          <t>Ink</t>
        </is>
      </c>
      <c r="E920" s="22" t="inlineStr">
        <is>
          <t>an empty chair drawn in ink on the back</t>
        </is>
      </c>
    </row>
    <row r="921" ht="15" customHeight="1" s="18">
      <c r="A921" s="22" t="n">
        <v>188</v>
      </c>
      <c r="B921" s="22" t="inlineStr">
        <is>
          <t>The Green-Eyed Lantern</t>
        </is>
      </c>
      <c r="C921" s="22" t="inlineStr">
        <is>
          <t>Incense</t>
        </is>
      </c>
      <c r="D921" s="22" t="inlineStr">
        <is>
          <t>Dandelion root</t>
        </is>
      </c>
      <c r="E921" s="22" t="inlineStr">
        <is>
          <t>Dandelion root</t>
        </is>
      </c>
    </row>
    <row r="922" ht="15" customHeight="1" s="18">
      <c r="A922" s="22" t="n">
        <v>188</v>
      </c>
      <c r="B922" s="22" t="inlineStr">
        <is>
          <t>The Green-Eyed Lantern</t>
        </is>
      </c>
      <c r="C922" s="22" t="inlineStr">
        <is>
          <t>Incense</t>
        </is>
      </c>
      <c r="D922" s="22" t="inlineStr">
        <is>
          <t>Myrrh</t>
        </is>
      </c>
      <c r="E922" s="22" t="inlineStr">
        <is>
          <t>myrrh</t>
        </is>
      </c>
    </row>
    <row r="923" ht="15" customHeight="1" s="18">
      <c r="A923" s="22" t="n">
        <v>188</v>
      </c>
      <c r="B923" s="22" t="inlineStr">
        <is>
          <t>The Green-Eyed Lantern</t>
        </is>
      </c>
      <c r="C923" s="22" t="inlineStr">
        <is>
          <t>Incense</t>
        </is>
      </c>
      <c r="D923" s="22" t="inlineStr">
        <is>
          <t>Lime peel</t>
        </is>
      </c>
      <c r="E923" s="22" t="inlineStr">
        <is>
          <t>lime peel</t>
        </is>
      </c>
    </row>
    <row r="924" ht="15" customHeight="1" s="18">
      <c r="A924" s="22" t="n">
        <v>188</v>
      </c>
      <c r="B924" s="22" t="inlineStr">
        <is>
          <t>The Green-Eyed Lantern</t>
        </is>
      </c>
      <c r="C924" s="22" t="inlineStr">
        <is>
          <t>Incense</t>
        </is>
      </c>
      <c r="D924" s="22" t="inlineStr">
        <is>
          <t>Obsidian</t>
        </is>
      </c>
      <c r="E924" s="22" t="inlineStr">
        <is>
          <t>obsidian</t>
        </is>
      </c>
    </row>
    <row r="925" ht="15" customHeight="1" s="18">
      <c r="A925" s="22" t="n">
        <v>189</v>
      </c>
      <c r="B925" s="22" t="inlineStr">
        <is>
          <t>The Cracked Porcelain Crown</t>
        </is>
      </c>
      <c r="C925" s="22" t="inlineStr">
        <is>
          <t>Soap</t>
        </is>
      </c>
      <c r="D925" s="22" t="inlineStr">
        <is>
          <t>Soap base</t>
        </is>
      </c>
      <c r="E925" s="22" t="inlineStr">
        <is>
          <t>Soap base</t>
        </is>
      </c>
    </row>
    <row r="926" ht="15" customHeight="1" s="18">
      <c r="A926" s="22" t="n">
        <v>189</v>
      </c>
      <c r="B926" s="22" t="inlineStr">
        <is>
          <t>The Cracked Porcelain Crown</t>
        </is>
      </c>
      <c r="C926" s="22" t="inlineStr">
        <is>
          <t>Soap</t>
        </is>
      </c>
      <c r="D926" s="22" t="inlineStr">
        <is>
          <t>Rose clay</t>
        </is>
      </c>
      <c r="E926" s="22" t="inlineStr">
        <is>
          <t>rose clay</t>
        </is>
      </c>
    </row>
    <row r="927" ht="15" customHeight="1" s="18">
      <c r="A927" s="22" t="n">
        <v>189</v>
      </c>
      <c r="B927" s="22" t="inlineStr">
        <is>
          <t>The Cracked Porcelain Crown</t>
        </is>
      </c>
      <c r="C927" s="22" t="inlineStr">
        <is>
          <t>Soap</t>
        </is>
      </c>
      <c r="D927" s="22" t="inlineStr">
        <is>
          <t>Rose petals</t>
        </is>
      </c>
      <c r="E927" s="22" t="inlineStr">
        <is>
          <t>rose petals</t>
        </is>
      </c>
    </row>
    <row r="928" ht="15" customHeight="1" s="18">
      <c r="A928" s="22" t="n">
        <v>189</v>
      </c>
      <c r="B928" s="22" t="inlineStr">
        <is>
          <t>The Cracked Porcelain Crown</t>
        </is>
      </c>
      <c r="C928" s="22" t="inlineStr">
        <is>
          <t>Soap</t>
        </is>
      </c>
      <c r="D928" s="22" t="inlineStr">
        <is>
          <t>Pearl</t>
        </is>
      </c>
      <c r="E928" s="22" t="inlineStr">
        <is>
          <t>pearl</t>
        </is>
      </c>
    </row>
    <row r="929" ht="15" customHeight="1" s="18">
      <c r="A929" s="22" t="n">
        <v>190</v>
      </c>
      <c r="B929" s="22" t="inlineStr">
        <is>
          <t>The Unpinned Mask</t>
        </is>
      </c>
      <c r="C929" s="22" t="inlineStr">
        <is>
          <t>Glamour</t>
        </is>
      </c>
      <c r="D929" s="22" t="inlineStr">
        <is>
          <t>Rosewater</t>
        </is>
      </c>
      <c r="E929" s="22" t="inlineStr">
        <is>
          <t>Rosewater</t>
        </is>
      </c>
    </row>
    <row r="930" ht="15" customHeight="1" s="18">
      <c r="A930" s="22" t="n">
        <v>190</v>
      </c>
      <c r="B930" s="22" t="inlineStr">
        <is>
          <t>The Unpinned Mask</t>
        </is>
      </c>
      <c r="C930" s="22" t="inlineStr">
        <is>
          <t>Glamour</t>
        </is>
      </c>
      <c r="D930" s="22" t="inlineStr">
        <is>
          <t>White lily</t>
        </is>
      </c>
      <c r="E930" s="22" t="inlineStr">
        <is>
          <t>white lily</t>
        </is>
      </c>
    </row>
    <row r="931" ht="15" customHeight="1" s="18">
      <c r="A931" s="22" t="n">
        <v>190</v>
      </c>
      <c r="B931" s="22" t="inlineStr">
        <is>
          <t>The Unpinned Mask</t>
        </is>
      </c>
      <c r="C931" s="22" t="inlineStr">
        <is>
          <t>Glamour</t>
        </is>
      </c>
      <c r="D931" s="22" t="inlineStr">
        <is>
          <t>Labradorite</t>
        </is>
      </c>
      <c r="E931" s="22" t="inlineStr">
        <is>
          <t>labradorite</t>
        </is>
      </c>
    </row>
    <row r="932" ht="15" customHeight="1" s="18">
      <c r="A932" s="22" t="n">
        <v>191</v>
      </c>
      <c r="B932" s="22" t="inlineStr">
        <is>
          <t>The Forgotten Room</t>
        </is>
      </c>
      <c r="C932" s="22" t="inlineStr">
        <is>
          <t>Sachet</t>
        </is>
      </c>
      <c r="D932" s="22" t="inlineStr">
        <is>
          <t>Lilac</t>
        </is>
      </c>
      <c r="E932" s="22" t="inlineStr">
        <is>
          <t>Lilac</t>
        </is>
      </c>
    </row>
    <row r="933" ht="15" customHeight="1" s="18">
      <c r="A933" s="22" t="n">
        <v>191</v>
      </c>
      <c r="B933" s="22" t="inlineStr">
        <is>
          <t>The Forgotten Room</t>
        </is>
      </c>
      <c r="C933" s="22" t="inlineStr">
        <is>
          <t>Sachet</t>
        </is>
      </c>
      <c r="D933" s="22" t="inlineStr">
        <is>
          <t>Rose petals</t>
        </is>
      </c>
      <c r="E933" s="22" t="inlineStr">
        <is>
          <t>rose petals</t>
        </is>
      </c>
    </row>
    <row r="934" ht="15" customHeight="1" s="18">
      <c r="A934" s="22" t="n">
        <v>191</v>
      </c>
      <c r="B934" s="22" t="inlineStr">
        <is>
          <t>The Forgotten Room</t>
        </is>
      </c>
      <c r="C934" s="22" t="inlineStr">
        <is>
          <t>Sachet</t>
        </is>
      </c>
      <c r="D934" s="22" t="inlineStr">
        <is>
          <t>Locket</t>
        </is>
      </c>
      <c r="E934" s="22" t="inlineStr">
        <is>
          <t>locket</t>
        </is>
      </c>
    </row>
    <row r="935" ht="15" customHeight="1" s="18">
      <c r="A935" s="22" t="n">
        <v>191</v>
      </c>
      <c r="B935" s="22" t="inlineStr">
        <is>
          <t>The Forgotten Room</t>
        </is>
      </c>
      <c r="C935" s="22" t="inlineStr">
        <is>
          <t>Sachet</t>
        </is>
      </c>
      <c r="D935" s="22" t="inlineStr">
        <is>
          <t>Rose quartz</t>
        </is>
      </c>
      <c r="E935" s="22" t="inlineStr">
        <is>
          <t>rose quartz</t>
        </is>
      </c>
    </row>
    <row r="936" ht="15" customHeight="1" s="18">
      <c r="A936" s="22" t="n">
        <v>192</v>
      </c>
      <c r="B936" s="22" t="inlineStr">
        <is>
          <t>The Unwritten Rule</t>
        </is>
      </c>
      <c r="C936" s="22" t="inlineStr">
        <is>
          <t>Rune</t>
        </is>
      </c>
      <c r="D936" s="22" t="inlineStr">
        <is>
          <t>Willow wood</t>
        </is>
      </c>
      <c r="E936" s="22" t="inlineStr">
        <is>
          <t>Willow wood</t>
        </is>
      </c>
    </row>
    <row r="937" ht="15" customHeight="1" s="18">
      <c r="A937" s="22" t="n">
        <v>192</v>
      </c>
      <c r="B937" s="22" t="inlineStr">
        <is>
          <t>The Unwritten Rule</t>
        </is>
      </c>
      <c r="C937" s="22" t="inlineStr">
        <is>
          <t>Rune</t>
        </is>
      </c>
      <c r="D937" s="22" t="inlineStr">
        <is>
          <t>Clear quartz</t>
        </is>
      </c>
      <c r="E937" s="22" t="inlineStr">
        <is>
          <t>clear quartz</t>
        </is>
      </c>
    </row>
    <row r="938" ht="15" customHeight="1" s="18">
      <c r="A938" s="22" t="n">
        <v>193</v>
      </c>
      <c r="B938" s="22" t="inlineStr">
        <is>
          <t>The Full-Sized Flame</t>
        </is>
      </c>
      <c r="C938" s="22" t="inlineStr">
        <is>
          <t>Powder</t>
        </is>
      </c>
      <c r="D938" s="22" t="inlineStr">
        <is>
          <t>Ginger</t>
        </is>
      </c>
      <c r="E938" s="22" t="inlineStr">
        <is>
          <t>Ginger</t>
        </is>
      </c>
    </row>
    <row r="939" ht="15" customHeight="1" s="18">
      <c r="A939" s="22" t="n">
        <v>193</v>
      </c>
      <c r="B939" s="22" t="inlineStr">
        <is>
          <t>The Full-Sized Flame</t>
        </is>
      </c>
      <c r="C939" s="22" t="inlineStr">
        <is>
          <t>Powder</t>
        </is>
      </c>
      <c r="D939" s="22" t="inlineStr">
        <is>
          <t>Black pepper</t>
        </is>
      </c>
      <c r="E939" s="22" t="inlineStr">
        <is>
          <t>black pepper</t>
        </is>
      </c>
    </row>
    <row r="940" ht="15" customHeight="1" s="18">
      <c r="A940" s="22" t="n">
        <v>193</v>
      </c>
      <c r="B940" s="22" t="inlineStr">
        <is>
          <t>The Full-Sized Flame</t>
        </is>
      </c>
      <c r="C940" s="22" t="inlineStr">
        <is>
          <t>Powder</t>
        </is>
      </c>
      <c r="D940" s="22" t="inlineStr">
        <is>
          <t>Sunflower petals</t>
        </is>
      </c>
      <c r="E940" s="22" t="inlineStr">
        <is>
          <t>sunflower petals</t>
        </is>
      </c>
    </row>
    <row r="941" ht="15" customHeight="1" s="18">
      <c r="A941" s="22" t="n">
        <v>193</v>
      </c>
      <c r="B941" s="22" t="inlineStr">
        <is>
          <t>The Full-Sized Flame</t>
        </is>
      </c>
      <c r="C941" s="22" t="inlineStr">
        <is>
          <t>Powder</t>
        </is>
      </c>
      <c r="D941" s="22" t="inlineStr">
        <is>
          <t>Carnelian</t>
        </is>
      </c>
      <c r="E941" s="22" t="inlineStr">
        <is>
          <t>carnelian</t>
        </is>
      </c>
    </row>
    <row r="942" ht="15" customHeight="1" s="18">
      <c r="A942" s="22" t="n">
        <v>194</v>
      </c>
      <c r="B942" s="22" t="inlineStr">
        <is>
          <t>The Inner Housekeeper</t>
        </is>
      </c>
      <c r="C942" s="22" t="inlineStr">
        <is>
          <t>Tea</t>
        </is>
      </c>
      <c r="D942" s="22" t="inlineStr">
        <is>
          <t>Nettle</t>
        </is>
      </c>
      <c r="E942" s="22" t="inlineStr">
        <is>
          <t>Nettle</t>
        </is>
      </c>
    </row>
    <row r="943" ht="15" customHeight="1" s="18">
      <c r="A943" s="22" t="n">
        <v>194</v>
      </c>
      <c r="B943" s="22" t="inlineStr">
        <is>
          <t>The Inner Housekeeper</t>
        </is>
      </c>
      <c r="C943" s="22" t="inlineStr">
        <is>
          <t>Tea</t>
        </is>
      </c>
      <c r="D943" s="22" t="inlineStr">
        <is>
          <t>Milk powder</t>
        </is>
      </c>
      <c r="E943" s="22" t="inlineStr">
        <is>
          <t>milk powder</t>
        </is>
      </c>
    </row>
    <row r="944" ht="15" customHeight="1" s="18">
      <c r="A944" s="22" t="n">
        <v>194</v>
      </c>
      <c r="B944" s="22" t="inlineStr">
        <is>
          <t>The Inner Housekeeper</t>
        </is>
      </c>
      <c r="C944" s="22" t="inlineStr">
        <is>
          <t>Tea</t>
        </is>
      </c>
      <c r="D944" s="22" t="inlineStr">
        <is>
          <t>Chamomile</t>
        </is>
      </c>
      <c r="E944" s="22" t="inlineStr">
        <is>
          <t>chamomile</t>
        </is>
      </c>
    </row>
    <row r="945" ht="15" customHeight="1" s="18">
      <c r="A945" s="22" t="n">
        <v>195</v>
      </c>
      <c r="B945" s="22" t="inlineStr">
        <is>
          <t>The Younger Moon</t>
        </is>
      </c>
      <c r="C945" s="22" t="inlineStr">
        <is>
          <t>Balm</t>
        </is>
      </c>
      <c r="D945" s="22" t="inlineStr">
        <is>
          <t>Shea butter</t>
        </is>
      </c>
      <c r="E945" s="22" t="inlineStr">
        <is>
          <t>Shea butter</t>
        </is>
      </c>
    </row>
    <row r="946" ht="15" customHeight="1" s="18">
      <c r="A946" s="22" t="n">
        <v>195</v>
      </c>
      <c r="B946" s="22" t="inlineStr">
        <is>
          <t>The Younger Moon</t>
        </is>
      </c>
      <c r="C946" s="22" t="inlineStr">
        <is>
          <t>Balm</t>
        </is>
      </c>
      <c r="D946" s="22" t="inlineStr">
        <is>
          <t>Rose</t>
        </is>
      </c>
      <c r="E946" s="22" t="inlineStr">
        <is>
          <t>rose</t>
        </is>
      </c>
    </row>
    <row r="947" ht="15" customHeight="1" s="18">
      <c r="A947" s="22" t="n">
        <v>195</v>
      </c>
      <c r="B947" s="22" t="inlineStr">
        <is>
          <t>The Younger Moon</t>
        </is>
      </c>
      <c r="C947" s="22" t="inlineStr">
        <is>
          <t>Balm</t>
        </is>
      </c>
      <c r="D947" s="22" t="inlineStr">
        <is>
          <t>Rose hips</t>
        </is>
      </c>
      <c r="E947" s="22" t="inlineStr">
        <is>
          <t>rose hips</t>
        </is>
      </c>
    </row>
    <row r="948" ht="15" customHeight="1" s="18">
      <c r="A948" s="22" t="n">
        <v>195</v>
      </c>
      <c r="B948" s="22" t="inlineStr">
        <is>
          <t>The Younger Moon</t>
        </is>
      </c>
      <c r="C948" s="22" t="inlineStr">
        <is>
          <t>Balm</t>
        </is>
      </c>
      <c r="D948" s="22" t="inlineStr">
        <is>
          <t>Rose quartz</t>
        </is>
      </c>
      <c r="E948" s="22" t="inlineStr">
        <is>
          <t>rose quartz</t>
        </is>
      </c>
    </row>
    <row r="949" ht="15" customHeight="1" s="18">
      <c r="A949" s="22" t="n">
        <v>196</v>
      </c>
      <c r="B949" s="22" t="inlineStr">
        <is>
          <t>The Retired Myth</t>
        </is>
      </c>
      <c r="C949" s="22" t="inlineStr">
        <is>
          <t>Spell Bottle</t>
        </is>
      </c>
      <c r="D949" s="22" t="inlineStr">
        <is>
          <t>Glass vial</t>
        </is>
      </c>
      <c r="E949" s="22" t="inlineStr">
        <is>
          <t>Glass vial</t>
        </is>
      </c>
    </row>
    <row r="950" ht="15" customHeight="1" s="18">
      <c r="A950" s="22" t="n">
        <v>196</v>
      </c>
      <c r="B950" s="22" t="inlineStr">
        <is>
          <t>The Retired Myth</t>
        </is>
      </c>
      <c r="C950" s="22" t="inlineStr">
        <is>
          <t>Spell Bottle</t>
        </is>
      </c>
      <c r="D950" s="22" t="inlineStr">
        <is>
          <t>Hearth ash</t>
        </is>
      </c>
      <c r="E950" s="22" t="inlineStr">
        <is>
          <t>hearth ash</t>
        </is>
      </c>
    </row>
    <row r="951" ht="15" customHeight="1" s="18">
      <c r="A951" s="22" t="n">
        <v>196</v>
      </c>
      <c r="B951" s="22" t="inlineStr">
        <is>
          <t>The Retired Myth</t>
        </is>
      </c>
      <c r="C951" s="22" t="inlineStr">
        <is>
          <t>Spell Bottle</t>
        </is>
      </c>
      <c r="D951" s="22" t="inlineStr">
        <is>
          <t>Bay leaf</t>
        </is>
      </c>
      <c r="E951" s="22" t="inlineStr">
        <is>
          <t>bay leaf</t>
        </is>
      </c>
    </row>
    <row r="952" ht="15" customHeight="1" s="18">
      <c r="A952" s="22" t="n">
        <v>196</v>
      </c>
      <c r="B952" s="22" t="inlineStr">
        <is>
          <t>The Retired Myth</t>
        </is>
      </c>
      <c r="C952" s="22" t="inlineStr">
        <is>
          <t>Spell Bottle</t>
        </is>
      </c>
      <c r="D952" s="22" t="inlineStr">
        <is>
          <t>Black thread</t>
        </is>
      </c>
      <c r="E952" s="22" t="inlineStr">
        <is>
          <t>black thread</t>
        </is>
      </c>
    </row>
    <row r="953" ht="15" customHeight="1" s="18">
      <c r="A953" s="22" t="n">
        <v>196</v>
      </c>
      <c r="B953" s="22" t="inlineStr">
        <is>
          <t>The Retired Myth</t>
        </is>
      </c>
      <c r="C953" s="22" t="inlineStr">
        <is>
          <t>Spell Bottle</t>
        </is>
      </c>
      <c r="D953" s="22" t="inlineStr">
        <is>
          <t>Obsidian</t>
        </is>
      </c>
      <c r="E953" s="22" t="inlineStr">
        <is>
          <t>obsidian</t>
        </is>
      </c>
    </row>
    <row r="954" ht="15" customHeight="1" s="18">
      <c r="A954" s="22" t="n">
        <v>197</v>
      </c>
      <c r="B954" s="22" t="inlineStr">
        <is>
          <t>The Two-Sided Star</t>
        </is>
      </c>
      <c r="C954" s="22" t="inlineStr">
        <is>
          <t>Amulet</t>
        </is>
      </c>
      <c r="D954" s="22" t="inlineStr">
        <is>
          <t>Obsidian</t>
        </is>
      </c>
      <c r="E954" s="22" t="inlineStr">
        <is>
          <t>Obsidian</t>
        </is>
      </c>
    </row>
    <row r="955" ht="15" customHeight="1" s="18">
      <c r="A955" s="22" t="n">
        <v>197</v>
      </c>
      <c r="B955" s="22" t="inlineStr">
        <is>
          <t>The Two-Sided Star</t>
        </is>
      </c>
      <c r="C955" s="22" t="inlineStr">
        <is>
          <t>Amulet</t>
        </is>
      </c>
      <c r="D955" s="22" t="inlineStr">
        <is>
          <t>Rhodonite</t>
        </is>
      </c>
      <c r="E955" s="22" t="inlineStr">
        <is>
          <t>rhodonite</t>
        </is>
      </c>
    </row>
    <row r="956" ht="15" customHeight="1" s="18">
      <c r="A956" s="22" t="n">
        <v>197</v>
      </c>
      <c r="B956" s="22" t="inlineStr">
        <is>
          <t>The Two-Sided Star</t>
        </is>
      </c>
      <c r="C956" s="22" t="inlineStr">
        <is>
          <t>Amulet</t>
        </is>
      </c>
      <c r="D956" s="22" t="inlineStr">
        <is>
          <t>Heart-shaped button</t>
        </is>
      </c>
      <c r="E956" s="22" t="inlineStr">
        <is>
          <t>heart-shaped button</t>
        </is>
      </c>
    </row>
    <row r="957" ht="15" customHeight="1" s="18">
      <c r="A957" s="22" t="n">
        <v>197</v>
      </c>
      <c r="B957" s="22" t="inlineStr">
        <is>
          <t>The Two-Sided Star</t>
        </is>
      </c>
      <c r="C957" s="22" t="inlineStr">
        <is>
          <t>Amulet</t>
        </is>
      </c>
      <c r="D957" s="22" t="inlineStr">
        <is>
          <t>Grey thread</t>
        </is>
      </c>
      <c r="E957" s="22" t="inlineStr">
        <is>
          <t>grey thread</t>
        </is>
      </c>
    </row>
    <row r="958" ht="15" customHeight="1" s="18">
      <c r="A958" s="22" t="n">
        <v>197</v>
      </c>
      <c r="B958" s="22" t="inlineStr">
        <is>
          <t>The Two-Sided Star</t>
        </is>
      </c>
      <c r="C958" s="22" t="inlineStr">
        <is>
          <t>Amulet</t>
        </is>
      </c>
      <c r="D958" s="22" t="inlineStr">
        <is>
          <t>Pink thread</t>
        </is>
      </c>
      <c r="E958" s="22" t="inlineStr">
        <is>
          <t>pink thread</t>
        </is>
      </c>
    </row>
    <row r="959" ht="15" customHeight="1" s="18">
      <c r="A959" s="22" t="n">
        <v>198</v>
      </c>
      <c r="B959" s="22" t="inlineStr">
        <is>
          <t>The Forgiving Tide</t>
        </is>
      </c>
      <c r="C959" s="22" t="inlineStr">
        <is>
          <t>Bath Salt</t>
        </is>
      </c>
      <c r="D959" s="22" t="inlineStr">
        <is>
          <t>Pink glitter</t>
        </is>
      </c>
      <c r="E959" s="22" t="inlineStr">
        <is>
          <t>Pink glitter</t>
        </is>
      </c>
    </row>
    <row r="960" ht="15" customHeight="1" s="18">
      <c r="A960" s="22" t="n">
        <v>198</v>
      </c>
      <c r="B960" s="22" t="inlineStr">
        <is>
          <t>The Forgiving Tide</t>
        </is>
      </c>
      <c r="C960" s="22" t="inlineStr">
        <is>
          <t>Bath Salt</t>
        </is>
      </c>
      <c r="D960" s="22" t="inlineStr">
        <is>
          <t>Rose petals</t>
        </is>
      </c>
      <c r="E960" s="22" t="inlineStr">
        <is>
          <t>rose petals</t>
        </is>
      </c>
    </row>
    <row r="961" ht="15" customHeight="1" s="18">
      <c r="A961" s="22" t="n">
        <v>198</v>
      </c>
      <c r="B961" s="22" t="inlineStr">
        <is>
          <t>The Forgiving Tide</t>
        </is>
      </c>
      <c r="C961" s="22" t="inlineStr">
        <is>
          <t>Bath Salt</t>
        </is>
      </c>
      <c r="D961" s="22" t="inlineStr">
        <is>
          <t>Aquamarine</t>
        </is>
      </c>
      <c r="E961" s="22" t="inlineStr">
        <is>
          <t>aquamarine</t>
        </is>
      </c>
    </row>
    <row r="962" ht="15" customHeight="1" s="18">
      <c r="A962" s="22" t="n">
        <v>198</v>
      </c>
      <c r="B962" s="22" t="inlineStr">
        <is>
          <t>The Forgiving Tide</t>
        </is>
      </c>
      <c r="C962" s="22" t="inlineStr">
        <is>
          <t>Bath Salt</t>
        </is>
      </c>
      <c r="D962" s="22" t="inlineStr">
        <is>
          <t>Seaweed</t>
        </is>
      </c>
      <c r="E962" s="22" t="inlineStr">
        <is>
          <t>seaweed</t>
        </is>
      </c>
    </row>
    <row r="963" ht="15" customHeight="1" s="18">
      <c r="A963" s="22" t="n">
        <v>199</v>
      </c>
      <c r="B963" s="22" t="inlineStr">
        <is>
          <t>The Brave Little Lantern</t>
        </is>
      </c>
      <c r="C963" s="22" t="inlineStr">
        <is>
          <t>Potion</t>
        </is>
      </c>
      <c r="D963" s="22" t="inlineStr">
        <is>
          <t>Sunwater</t>
        </is>
      </c>
      <c r="E963" s="22" t="inlineStr">
        <is>
          <t>Sunwater</t>
        </is>
      </c>
    </row>
    <row r="964" ht="15" customHeight="1" s="18">
      <c r="A964" s="22" t="n">
        <v>199</v>
      </c>
      <c r="B964" s="22" t="inlineStr">
        <is>
          <t>The Brave Little Lantern</t>
        </is>
      </c>
      <c r="C964" s="22" t="inlineStr">
        <is>
          <t>Potion</t>
        </is>
      </c>
      <c r="D964" s="22" t="inlineStr">
        <is>
          <t>Ginger</t>
        </is>
      </c>
      <c r="E964" s="22" t="inlineStr">
        <is>
          <t>ginger</t>
        </is>
      </c>
    </row>
    <row r="965" ht="15" customHeight="1" s="18">
      <c r="A965" s="22" t="n">
        <v>199</v>
      </c>
      <c r="B965" s="22" t="inlineStr">
        <is>
          <t>The Brave Little Lantern</t>
        </is>
      </c>
      <c r="C965" s="22" t="inlineStr">
        <is>
          <t>Potion</t>
        </is>
      </c>
      <c r="D965" s="22" t="inlineStr">
        <is>
          <t>Thyme</t>
        </is>
      </c>
      <c r="E965" s="22" t="inlineStr">
        <is>
          <t>thyme</t>
        </is>
      </c>
    </row>
    <row r="966" ht="15" customHeight="1" s="18">
      <c r="A966" s="22" t="n">
        <v>199</v>
      </c>
      <c r="B966" s="22" t="inlineStr">
        <is>
          <t>The Brave Little Lantern</t>
        </is>
      </c>
      <c r="C966" s="22" t="inlineStr">
        <is>
          <t>Potion</t>
        </is>
      </c>
      <c r="D966" s="22" t="inlineStr">
        <is>
          <t>Black salt</t>
        </is>
      </c>
      <c r="E966" s="22" t="inlineStr">
        <is>
          <t>black salt</t>
        </is>
      </c>
    </row>
    <row r="967" ht="15" customHeight="1" s="18">
      <c r="A967" s="22" t="n">
        <v>199</v>
      </c>
      <c r="B967" s="22" t="inlineStr">
        <is>
          <t>The Brave Little Lantern</t>
        </is>
      </c>
      <c r="C967" s="22" t="inlineStr">
        <is>
          <t>Potion</t>
        </is>
      </c>
      <c r="D967" s="22" t="inlineStr">
        <is>
          <t>Carnelian</t>
        </is>
      </c>
      <c r="E967" s="22" t="inlineStr">
        <is>
          <t>carnelian</t>
        </is>
      </c>
    </row>
    <row r="968" ht="15" customHeight="1" s="18">
      <c r="A968" s="22" t="n">
        <v>200</v>
      </c>
      <c r="B968" s="22" t="inlineStr">
        <is>
          <t>The Broken Loop Key</t>
        </is>
      </c>
      <c r="C968" s="22" t="inlineStr">
        <is>
          <t>Witch's Ladder</t>
        </is>
      </c>
      <c r="D968" s="22" t="inlineStr">
        <is>
          <t>Small key</t>
        </is>
      </c>
      <c r="E968" s="22" t="inlineStr">
        <is>
          <t>Small key</t>
        </is>
      </c>
    </row>
    <row r="969" ht="15" customHeight="1" s="18">
      <c r="A969" s="22" t="n">
        <v>200</v>
      </c>
      <c r="B969" s="22" t="inlineStr">
        <is>
          <t>The Broken Loop Key</t>
        </is>
      </c>
      <c r="C969" s="22" t="inlineStr">
        <is>
          <t>Witch's Ladder</t>
        </is>
      </c>
      <c r="D969" s="22" t="inlineStr">
        <is>
          <t>Purple thread</t>
        </is>
      </c>
      <c r="E969" s="22" t="inlineStr">
        <is>
          <t>purple thread</t>
        </is>
      </c>
    </row>
    <row r="970" ht="15" customHeight="1" s="18">
      <c r="A970" s="22" t="n">
        <v>200</v>
      </c>
      <c r="B970" s="22" t="inlineStr">
        <is>
          <t>The Broken Loop Key</t>
        </is>
      </c>
      <c r="C970" s="22" t="inlineStr">
        <is>
          <t>Witch's Ladder</t>
        </is>
      </c>
      <c r="D970" s="22" t="inlineStr">
        <is>
          <t>Bay leaf</t>
        </is>
      </c>
      <c r="E970" s="22" t="inlineStr">
        <is>
          <t>bay leaf</t>
        </is>
      </c>
    </row>
    <row r="971" ht="15" customHeight="1" s="18">
      <c r="A971" s="22" t="n">
        <v>200</v>
      </c>
      <c r="B971" s="22" t="inlineStr">
        <is>
          <t>The Broken Loop Key</t>
        </is>
      </c>
      <c r="C971" s="22" t="inlineStr">
        <is>
          <t>Witch's Ladder</t>
        </is>
      </c>
      <c r="D971" s="22" t="inlineStr">
        <is>
          <t>Obsidian</t>
        </is>
      </c>
      <c r="E971" s="22" t="inlineStr">
        <is>
          <t>obsidian bead</t>
        </is>
      </c>
    </row>
    <row r="972" ht="15" customHeight="1" s="18">
      <c r="A972" s="22" t="n">
        <v>201</v>
      </c>
      <c r="B972" s="22" t="inlineStr">
        <is>
          <t>The Old Shield, Laid Down</t>
        </is>
      </c>
      <c r="C972" s="22" t="inlineStr">
        <is>
          <t>Witch Salt</t>
        </is>
      </c>
      <c r="D972" s="22" t="inlineStr">
        <is>
          <t>Sea salt</t>
        </is>
      </c>
      <c r="E972" s="22" t="inlineStr">
        <is>
          <t>Sea salt</t>
        </is>
      </c>
    </row>
    <row r="973" ht="15" customHeight="1" s="18">
      <c r="A973" s="22" t="n">
        <v>201</v>
      </c>
      <c r="B973" s="22" t="inlineStr">
        <is>
          <t>The Old Shield, Laid Down</t>
        </is>
      </c>
      <c r="C973" s="22" t="inlineStr">
        <is>
          <t>Witch Salt</t>
        </is>
      </c>
      <c r="D973" s="22" t="inlineStr">
        <is>
          <t>Lavender</t>
        </is>
      </c>
      <c r="E973" s="22" t="inlineStr">
        <is>
          <t>lavender</t>
        </is>
      </c>
    </row>
    <row r="974" ht="15" customHeight="1" s="18">
      <c r="A974" s="22" t="n">
        <v>201</v>
      </c>
      <c r="B974" s="22" t="inlineStr">
        <is>
          <t>The Old Shield, Laid Down</t>
        </is>
      </c>
      <c r="C974" s="22" t="inlineStr">
        <is>
          <t>Witch Salt</t>
        </is>
      </c>
      <c r="D974" s="22" t="inlineStr">
        <is>
          <t>Angelica root</t>
        </is>
      </c>
      <c r="E974" s="22" t="inlineStr">
        <is>
          <t>angelica root</t>
        </is>
      </c>
    </row>
    <row r="975" ht="15" customHeight="1" s="18">
      <c r="A975" s="22" t="n">
        <v>201</v>
      </c>
      <c r="B975" s="22" t="inlineStr">
        <is>
          <t>The Old Shield, Laid Down</t>
        </is>
      </c>
      <c r="C975" s="22" t="inlineStr">
        <is>
          <t>Witch Salt</t>
        </is>
      </c>
      <c r="D975" s="22" t="inlineStr">
        <is>
          <t>Hearth ash</t>
        </is>
      </c>
      <c r="E975" s="22" t="inlineStr">
        <is>
          <t>ash of a burned bay leaf</t>
        </is>
      </c>
    </row>
    <row r="976" ht="15" customHeight="1" s="18">
      <c r="A976" s="22" t="n">
        <v>201</v>
      </c>
      <c r="B976" s="22" t="inlineStr">
        <is>
          <t>The Old Shield, Laid Down</t>
        </is>
      </c>
      <c r="C976" s="22" t="inlineStr">
        <is>
          <t>Witch Salt</t>
        </is>
      </c>
      <c r="D976" s="22" t="inlineStr">
        <is>
          <t>Bay leaf</t>
        </is>
      </c>
      <c r="E976" s="22" t="inlineStr">
        <is>
          <t>ash of a burned bay leaf</t>
        </is>
      </c>
    </row>
    <row r="977" ht="15" customHeight="1" s="18">
      <c r="A977" s="22" t="n">
        <v>202</v>
      </c>
      <c r="B977" s="22" t="inlineStr">
        <is>
          <t>The Unconditional Pillow</t>
        </is>
      </c>
      <c r="C977" s="22" t="inlineStr">
        <is>
          <t>Butter</t>
        </is>
      </c>
      <c r="D977" s="22" t="inlineStr">
        <is>
          <t>Butter</t>
        </is>
      </c>
      <c r="E977" s="22" t="inlineStr">
        <is>
          <t>Butter</t>
        </is>
      </c>
    </row>
    <row r="978" ht="15" customHeight="1" s="18">
      <c r="A978" s="22" t="n">
        <v>202</v>
      </c>
      <c r="B978" s="22" t="inlineStr">
        <is>
          <t>The Unconditional Pillow</t>
        </is>
      </c>
      <c r="C978" s="22" t="inlineStr">
        <is>
          <t>Butter</t>
        </is>
      </c>
      <c r="D978" s="22" t="inlineStr">
        <is>
          <t>Honey</t>
        </is>
      </c>
      <c r="E978" s="22" t="inlineStr">
        <is>
          <t>honey</t>
        </is>
      </c>
    </row>
    <row r="979" ht="15" customHeight="1" s="18">
      <c r="A979" s="22" t="n">
        <v>202</v>
      </c>
      <c r="B979" s="22" t="inlineStr">
        <is>
          <t>The Unconditional Pillow</t>
        </is>
      </c>
      <c r="C979" s="22" t="inlineStr">
        <is>
          <t>Butter</t>
        </is>
      </c>
      <c r="D979" s="22" t="inlineStr">
        <is>
          <t>Rose petals</t>
        </is>
      </c>
      <c r="E979" s="22" t="inlineStr">
        <is>
          <t>rose petals</t>
        </is>
      </c>
    </row>
    <row r="980" ht="15" customHeight="1" s="18">
      <c r="A980" s="22" t="n">
        <v>203</v>
      </c>
      <c r="B980" s="22" t="inlineStr">
        <is>
          <t>The First-Draft Witch</t>
        </is>
      </c>
      <c r="C980" s="22" t="inlineStr">
        <is>
          <t>Cookies</t>
        </is>
      </c>
      <c r="D980" s="22" t="inlineStr">
        <is>
          <t>Flour</t>
        </is>
      </c>
      <c r="E980" s="22" t="inlineStr">
        <is>
          <t>Flour</t>
        </is>
      </c>
    </row>
    <row r="981" ht="15" customHeight="1" s="18">
      <c r="A981" s="22" t="n">
        <v>203</v>
      </c>
      <c r="B981" s="22" t="inlineStr">
        <is>
          <t>The First-Draft Witch</t>
        </is>
      </c>
      <c r="C981" s="22" t="inlineStr">
        <is>
          <t>Cookies</t>
        </is>
      </c>
      <c r="D981" s="22" t="inlineStr">
        <is>
          <t>Butter</t>
        </is>
      </c>
      <c r="E981" s="22" t="inlineStr">
        <is>
          <t>butter</t>
        </is>
      </c>
    </row>
    <row r="982" ht="15" customHeight="1" s="18">
      <c r="A982" s="22" t="n">
        <v>203</v>
      </c>
      <c r="B982" s="22" t="inlineStr">
        <is>
          <t>The First-Draft Witch</t>
        </is>
      </c>
      <c r="C982" s="22" t="inlineStr">
        <is>
          <t>Cookies</t>
        </is>
      </c>
      <c r="D982" s="22" t="inlineStr">
        <is>
          <t>Sugar</t>
        </is>
      </c>
      <c r="E982" s="22" t="inlineStr">
        <is>
          <t>sugar</t>
        </is>
      </c>
    </row>
    <row r="983" ht="15" customHeight="1" s="18">
      <c r="A983" s="22" t="n">
        <v>203</v>
      </c>
      <c r="B983" s="22" t="inlineStr">
        <is>
          <t>The First-Draft Witch</t>
        </is>
      </c>
      <c r="C983" s="22" t="inlineStr">
        <is>
          <t>Cookies</t>
        </is>
      </c>
      <c r="D983" s="22" t="inlineStr">
        <is>
          <t>Chocolate chips</t>
        </is>
      </c>
      <c r="E983" s="22" t="inlineStr">
        <is>
          <t>chocolate chips</t>
        </is>
      </c>
    </row>
    <row r="984" ht="15" customHeight="1" s="18">
      <c r="A984" s="22" t="n">
        <v>204</v>
      </c>
      <c r="B984" s="22" t="inlineStr">
        <is>
          <t>The Velvet Truth</t>
        </is>
      </c>
      <c r="C984" s="22" t="inlineStr">
        <is>
          <t>Hand Mirror</t>
        </is>
      </c>
      <c r="D984" s="22" t="inlineStr">
        <is>
          <t>Clamshell compact</t>
        </is>
      </c>
      <c r="E984" s="22" t="inlineStr">
        <is>
          <t>Clamshell compact</t>
        </is>
      </c>
    </row>
    <row r="985" ht="15" customHeight="1" s="18">
      <c r="A985" s="22" t="n">
        <v>204</v>
      </c>
      <c r="B985" s="22" t="inlineStr">
        <is>
          <t>The Velvet Truth</t>
        </is>
      </c>
      <c r="C985" s="22" t="inlineStr">
        <is>
          <t>Hand Mirror</t>
        </is>
      </c>
      <c r="D985" s="22" t="inlineStr">
        <is>
          <t>White lily</t>
        </is>
      </c>
      <c r="E985" s="22" t="inlineStr">
        <is>
          <t>white lily</t>
        </is>
      </c>
    </row>
    <row r="986" ht="15" customHeight="1" s="18">
      <c r="A986" s="22" t="n">
        <v>204</v>
      </c>
      <c r="B986" s="22" t="inlineStr">
        <is>
          <t>The Velvet Truth</t>
        </is>
      </c>
      <c r="C986" s="22" t="inlineStr">
        <is>
          <t>Hand Mirror</t>
        </is>
      </c>
      <c r="D986" s="22" t="inlineStr">
        <is>
          <t>Lapis lazuli</t>
        </is>
      </c>
      <c r="E986" s="22" t="inlineStr">
        <is>
          <t>lapis lazuli</t>
        </is>
      </c>
    </row>
    <row r="987" ht="15" customHeight="1" s="18">
      <c r="A987" s="22" t="n">
        <v>205</v>
      </c>
      <c r="B987" s="22" t="inlineStr">
        <is>
          <t>The Empty Frame</t>
        </is>
      </c>
      <c r="C987" s="22" t="inlineStr">
        <is>
          <t>Water</t>
        </is>
      </c>
      <c r="D987" s="22" t="inlineStr">
        <is>
          <t>Rainwater</t>
        </is>
      </c>
      <c r="E987" s="22" t="inlineStr">
        <is>
          <t>Rainwater</t>
        </is>
      </c>
    </row>
    <row r="988" ht="15" customHeight="1" s="18">
      <c r="A988" s="22" t="n">
        <v>205</v>
      </c>
      <c r="B988" s="22" t="inlineStr">
        <is>
          <t>The Empty Frame</t>
        </is>
      </c>
      <c r="C988" s="22" t="inlineStr">
        <is>
          <t>Water</t>
        </is>
      </c>
      <c r="D988" s="22" t="inlineStr">
        <is>
          <t>Lemon</t>
        </is>
      </c>
      <c r="E988" s="22" t="inlineStr">
        <is>
          <t>lemon</t>
        </is>
      </c>
    </row>
    <row r="989" ht="15" customHeight="1" s="18">
      <c r="A989" s="22" t="n">
        <v>205</v>
      </c>
      <c r="B989" s="22" t="inlineStr">
        <is>
          <t>The Empty Frame</t>
        </is>
      </c>
      <c r="C989" s="22" t="inlineStr">
        <is>
          <t>Water</t>
        </is>
      </c>
      <c r="D989" s="22" t="inlineStr">
        <is>
          <t>Garden sage</t>
        </is>
      </c>
      <c r="E989" s="22" t="inlineStr">
        <is>
          <t>garden sage</t>
        </is>
      </c>
    </row>
    <row r="990" ht="15" customHeight="1" s="18">
      <c r="A990" s="22" t="n">
        <v>206</v>
      </c>
      <c r="B990" s="22" t="inlineStr">
        <is>
          <t>The Clear Bell</t>
        </is>
      </c>
      <c r="C990" s="22" t="inlineStr">
        <is>
          <t>Tonic</t>
        </is>
      </c>
      <c r="D990" s="22" t="inlineStr">
        <is>
          <t>Moonwater</t>
        </is>
      </c>
      <c r="E990" s="22" t="inlineStr">
        <is>
          <t>Moonwater</t>
        </is>
      </c>
    </row>
    <row r="991" ht="15" customHeight="1" s="18">
      <c r="A991" s="22" t="n">
        <v>206</v>
      </c>
      <c r="B991" s="22" t="inlineStr">
        <is>
          <t>The Clear Bell</t>
        </is>
      </c>
      <c r="C991" s="22" t="inlineStr">
        <is>
          <t>Tonic</t>
        </is>
      </c>
      <c r="D991" s="22" t="inlineStr">
        <is>
          <t>Mint</t>
        </is>
      </c>
      <c r="E991" s="22" t="inlineStr">
        <is>
          <t>mint</t>
        </is>
      </c>
    </row>
    <row r="992" ht="15" customHeight="1" s="18">
      <c r="A992" s="22" t="n">
        <v>206</v>
      </c>
      <c r="B992" s="22" t="inlineStr">
        <is>
          <t>The Clear Bell</t>
        </is>
      </c>
      <c r="C992" s="22" t="inlineStr">
        <is>
          <t>Tonic</t>
        </is>
      </c>
      <c r="D992" s="22" t="inlineStr">
        <is>
          <t>Star anise</t>
        </is>
      </c>
      <c r="E992" s="22" t="inlineStr">
        <is>
          <t>star anise</t>
        </is>
      </c>
    </row>
    <row r="993" ht="15" customHeight="1" s="18">
      <c r="A993" s="22" t="n">
        <v>206</v>
      </c>
      <c r="B993" s="22" t="inlineStr">
        <is>
          <t>The Clear Bell</t>
        </is>
      </c>
      <c r="C993" s="22" t="inlineStr">
        <is>
          <t>Tonic</t>
        </is>
      </c>
      <c r="D993" s="22" t="inlineStr">
        <is>
          <t>Clear quartz</t>
        </is>
      </c>
      <c r="E993" s="22" t="inlineStr">
        <is>
          <t>clear quartz set beside the cup</t>
        </is>
      </c>
    </row>
    <row r="994" ht="15" customHeight="1" s="18">
      <c r="A994" s="22" t="n">
        <v>207</v>
      </c>
      <c r="B994" s="22" t="inlineStr">
        <is>
          <t>The Spiral Staircase</t>
        </is>
      </c>
      <c r="C994" s="22" t="inlineStr">
        <is>
          <t>Rune</t>
        </is>
      </c>
      <c r="D994" s="22" t="inlineStr">
        <is>
          <t>Clay</t>
        </is>
      </c>
      <c r="E994" s="22" t="inlineStr">
        <is>
          <t>Clay</t>
        </is>
      </c>
    </row>
    <row r="995" ht="15" customHeight="1" s="18">
      <c r="A995" s="22" t="n">
        <v>207</v>
      </c>
      <c r="B995" s="22" t="inlineStr">
        <is>
          <t>The Spiral Staircase</t>
        </is>
      </c>
      <c r="C995" s="22" t="inlineStr">
        <is>
          <t>Rune</t>
        </is>
      </c>
      <c r="D995" s="22" t="inlineStr">
        <is>
          <t>Snail shell</t>
        </is>
      </c>
      <c r="E995" s="22" t="inlineStr">
        <is>
          <t>snail shell spiral pressed in</t>
        </is>
      </c>
    </row>
    <row r="996" ht="15" customHeight="1" s="18">
      <c r="A996" s="22" t="n">
        <v>207</v>
      </c>
      <c r="B996" s="22" t="inlineStr">
        <is>
          <t>The Spiral Staircase</t>
        </is>
      </c>
      <c r="C996" s="22" t="inlineStr">
        <is>
          <t>Rune</t>
        </is>
      </c>
      <c r="D996" s="22" t="inlineStr">
        <is>
          <t>Peridot</t>
        </is>
      </c>
      <c r="E996" s="22" t="inlineStr">
        <is>
          <t>peridot</t>
        </is>
      </c>
    </row>
    <row r="997" ht="15" customHeight="1" s="18">
      <c r="A997" s="22" t="n">
        <v>208</v>
      </c>
      <c r="B997" s="22" t="inlineStr">
        <is>
          <t>The Rain-Rooted Heart</t>
        </is>
      </c>
      <c r="C997" s="22" t="inlineStr">
        <is>
          <t>Incense</t>
        </is>
      </c>
      <c r="D997" s="22" t="inlineStr">
        <is>
          <t>Myrrh</t>
        </is>
      </c>
      <c r="E997" s="22" t="inlineStr">
        <is>
          <t>Myrrh</t>
        </is>
      </c>
    </row>
    <row r="998" ht="15" customHeight="1" s="18">
      <c r="A998" s="22" t="n">
        <v>208</v>
      </c>
      <c r="B998" s="22" t="inlineStr">
        <is>
          <t>The Rain-Rooted Heart</t>
        </is>
      </c>
      <c r="C998" s="22" t="inlineStr">
        <is>
          <t>Incense</t>
        </is>
      </c>
      <c r="D998" s="22" t="inlineStr">
        <is>
          <t>Rose</t>
        </is>
      </c>
      <c r="E998" s="22" t="inlineStr">
        <is>
          <t>rose</t>
        </is>
      </c>
    </row>
    <row r="999" ht="15" customHeight="1" s="18">
      <c r="A999" s="22" t="n">
        <v>208</v>
      </c>
      <c r="B999" s="22" t="inlineStr">
        <is>
          <t>The Rain-Rooted Heart</t>
        </is>
      </c>
      <c r="C999" s="22" t="inlineStr">
        <is>
          <t>Incense</t>
        </is>
      </c>
      <c r="D999" s="22" t="inlineStr">
        <is>
          <t>Cypress</t>
        </is>
      </c>
      <c r="E999" s="22" t="inlineStr">
        <is>
          <t>cypress</t>
        </is>
      </c>
    </row>
    <row r="1000" ht="15" customHeight="1" s="18">
      <c r="A1000" s="22" t="n">
        <v>209</v>
      </c>
      <c r="B1000" s="22" t="inlineStr">
        <is>
          <t>The Worth Beyond Work</t>
        </is>
      </c>
      <c r="C1000" s="22" t="inlineStr">
        <is>
          <t>Charm</t>
        </is>
      </c>
      <c r="D1000" s="22" t="inlineStr">
        <is>
          <t>Rose quartz</t>
        </is>
      </c>
      <c r="E1000" s="22" t="inlineStr">
        <is>
          <t>Rose quartz</t>
        </is>
      </c>
    </row>
    <row r="1001" ht="15" customHeight="1" s="18">
      <c r="A1001" s="22" t="n">
        <v>209</v>
      </c>
      <c r="B1001" s="22" t="inlineStr">
        <is>
          <t>The Worth Beyond Work</t>
        </is>
      </c>
      <c r="C1001" s="22" t="inlineStr">
        <is>
          <t>Charm</t>
        </is>
      </c>
      <c r="D1001" s="22" t="inlineStr">
        <is>
          <t>Chamomile</t>
        </is>
      </c>
      <c r="E1001" s="22" t="inlineStr">
        <is>
          <t>chamomile</t>
        </is>
      </c>
    </row>
    <row r="1002" ht="15" customHeight="1" s="18">
      <c r="A1002" s="22" t="n">
        <v>209</v>
      </c>
      <c r="B1002" s="22" t="inlineStr">
        <is>
          <t>The Worth Beyond Work</t>
        </is>
      </c>
      <c r="C1002" s="22" t="inlineStr">
        <is>
          <t>Charm</t>
        </is>
      </c>
      <c r="D1002" s="22" t="inlineStr">
        <is>
          <t>Pink thread</t>
        </is>
      </c>
      <c r="E1002" s="22" t="inlineStr">
        <is>
          <t>pink thread</t>
        </is>
      </c>
    </row>
    <row r="1003" ht="15" customHeight="1" s="18">
      <c r="A1003" s="22" t="n">
        <v>210</v>
      </c>
      <c r="B1003" s="22" t="inlineStr">
        <is>
          <t>The Kind Voice Within</t>
        </is>
      </c>
      <c r="C1003" s="22" t="inlineStr">
        <is>
          <t>Tea</t>
        </is>
      </c>
      <c r="D1003" s="22" t="inlineStr">
        <is>
          <t>Rose</t>
        </is>
      </c>
      <c r="E1003" s="22" t="inlineStr">
        <is>
          <t>Rose</t>
        </is>
      </c>
    </row>
    <row r="1004" ht="15" customHeight="1" s="18">
      <c r="A1004" s="22" t="n">
        <v>210</v>
      </c>
      <c r="B1004" s="22" t="inlineStr">
        <is>
          <t>The Kind Voice Within</t>
        </is>
      </c>
      <c r="C1004" s="22" t="inlineStr">
        <is>
          <t>Tea</t>
        </is>
      </c>
      <c r="D1004" s="22" t="inlineStr">
        <is>
          <t>Lemon balm</t>
        </is>
      </c>
      <c r="E1004" s="22" t="inlineStr">
        <is>
          <t>lemon balm</t>
        </is>
      </c>
    </row>
    <row r="1005" ht="15" customHeight="1" s="18">
      <c r="A1005" s="22" t="n">
        <v>210</v>
      </c>
      <c r="B1005" s="22" t="inlineStr">
        <is>
          <t>The Kind Voice Within</t>
        </is>
      </c>
      <c r="C1005" s="22" t="inlineStr">
        <is>
          <t>Tea</t>
        </is>
      </c>
      <c r="D1005" s="22" t="inlineStr">
        <is>
          <t>Chamomile</t>
        </is>
      </c>
      <c r="E1005" s="22" t="inlineStr">
        <is>
          <t>chamomile</t>
        </is>
      </c>
    </row>
    <row r="1006" ht="15" customHeight="1" s="18">
      <c r="A1006" s="22" t="n">
        <v>210</v>
      </c>
      <c r="B1006" s="22" t="inlineStr">
        <is>
          <t>The Kind Voice Within</t>
        </is>
      </c>
      <c r="C1006" s="22" t="inlineStr">
        <is>
          <t>Tea</t>
        </is>
      </c>
      <c r="D1006" s="22" t="inlineStr">
        <is>
          <t>Honey</t>
        </is>
      </c>
      <c r="E1006" s="22" t="inlineStr">
        <is>
          <t>honey</t>
        </is>
      </c>
    </row>
    <row r="1007" ht="15" customHeight="1" s="18">
      <c r="A1007" s="22" t="n">
        <v>211</v>
      </c>
      <c r="B1007" s="22" t="inlineStr">
        <is>
          <t>The Glittering Entrance</t>
        </is>
      </c>
      <c r="C1007" s="22" t="inlineStr">
        <is>
          <t>Glamour</t>
        </is>
      </c>
      <c r="D1007" s="22" t="inlineStr">
        <is>
          <t>Gold mica</t>
        </is>
      </c>
      <c r="E1007" s="22" t="inlineStr">
        <is>
          <t>Gold mica</t>
        </is>
      </c>
    </row>
    <row r="1008" ht="15" customHeight="1" s="18">
      <c r="A1008" s="22" t="n">
        <v>211</v>
      </c>
      <c r="B1008" s="22" t="inlineStr">
        <is>
          <t>The Glittering Entrance</t>
        </is>
      </c>
      <c r="C1008" s="22" t="inlineStr">
        <is>
          <t>Glamour</t>
        </is>
      </c>
      <c r="D1008" s="22" t="inlineStr">
        <is>
          <t>Sunflower petals</t>
        </is>
      </c>
      <c r="E1008" s="22" t="inlineStr">
        <is>
          <t>sunflower petals</t>
        </is>
      </c>
    </row>
    <row r="1009" ht="15" customHeight="1" s="18">
      <c r="A1009" s="22" t="n">
        <v>211</v>
      </c>
      <c r="B1009" s="22" t="inlineStr">
        <is>
          <t>The Glittering Entrance</t>
        </is>
      </c>
      <c r="C1009" s="22" t="inlineStr">
        <is>
          <t>Glamour</t>
        </is>
      </c>
      <c r="D1009" s="22" t="inlineStr">
        <is>
          <t>Orange blossom</t>
        </is>
      </c>
      <c r="E1009" s="22" t="inlineStr">
        <is>
          <t>orange blossom</t>
        </is>
      </c>
    </row>
    <row r="1010" ht="15" customHeight="1" s="18">
      <c r="A1010" s="22" t="n">
        <v>211</v>
      </c>
      <c r="B1010" s="22" t="inlineStr">
        <is>
          <t>The Glittering Entrance</t>
        </is>
      </c>
      <c r="C1010" s="22" t="inlineStr">
        <is>
          <t>Glamour</t>
        </is>
      </c>
      <c r="D1010" s="22" t="inlineStr">
        <is>
          <t>Rosewater</t>
        </is>
      </c>
      <c r="E1010" s="22" t="inlineStr">
        <is>
          <t>Rosewater</t>
        </is>
      </c>
    </row>
    <row r="1011" ht="15" customHeight="1" s="18">
      <c r="A1011" s="22" t="n">
        <v>212</v>
      </c>
      <c r="B1011" s="22" t="inlineStr">
        <is>
          <t>The Silken Halo</t>
        </is>
      </c>
      <c r="C1011" s="22" t="inlineStr">
        <is>
          <t>Oil</t>
        </is>
      </c>
      <c r="D1011" s="22" t="inlineStr">
        <is>
          <t>Jojoba oil</t>
        </is>
      </c>
      <c r="E1011" s="22" t="inlineStr">
        <is>
          <t>Jojoba oil</t>
        </is>
      </c>
    </row>
    <row r="1012" ht="15" customHeight="1" s="18">
      <c r="A1012" s="22" t="n">
        <v>212</v>
      </c>
      <c r="B1012" s="22" t="inlineStr">
        <is>
          <t>The Silken Halo</t>
        </is>
      </c>
      <c r="C1012" s="22" t="inlineStr">
        <is>
          <t>Oil</t>
        </is>
      </c>
      <c r="D1012" s="22" t="inlineStr">
        <is>
          <t>Fern</t>
        </is>
      </c>
      <c r="E1012" s="22" t="inlineStr">
        <is>
          <t>fern</t>
        </is>
      </c>
    </row>
    <row r="1013" ht="15" customHeight="1" s="18">
      <c r="A1013" s="22" t="n">
        <v>212</v>
      </c>
      <c r="B1013" s="22" t="inlineStr">
        <is>
          <t>The Silken Halo</t>
        </is>
      </c>
      <c r="C1013" s="22" t="inlineStr">
        <is>
          <t>Oil</t>
        </is>
      </c>
      <c r="D1013" s="22" t="inlineStr">
        <is>
          <t>Hibiscus</t>
        </is>
      </c>
      <c r="E1013" s="22" t="inlineStr">
        <is>
          <t>hibiscus</t>
        </is>
      </c>
    </row>
    <row r="1014" ht="15" customHeight="1" s="18">
      <c r="A1014" s="22" t="n">
        <v>212</v>
      </c>
      <c r="B1014" s="22" t="inlineStr">
        <is>
          <t>The Silken Halo</t>
        </is>
      </c>
      <c r="C1014" s="22" t="inlineStr">
        <is>
          <t>Oil</t>
        </is>
      </c>
      <c r="D1014" s="22" t="inlineStr">
        <is>
          <t>Coconut milk powder</t>
        </is>
      </c>
      <c r="E1014" s="22" t="inlineStr">
        <is>
          <t>coconut milk powder</t>
        </is>
      </c>
    </row>
    <row r="1015" ht="15" customHeight="1" s="18">
      <c r="A1015" s="22" t="n">
        <v>213</v>
      </c>
      <c r="B1015" s="22" t="inlineStr">
        <is>
          <t>The Lost-and-Found Familiar</t>
        </is>
      </c>
      <c r="C1015" s="22" t="inlineStr">
        <is>
          <t>Wand</t>
        </is>
      </c>
      <c r="D1015" s="22" t="inlineStr">
        <is>
          <t>Hazel branch</t>
        </is>
      </c>
      <c r="E1015" s="22" t="inlineStr">
        <is>
          <t>Fallen hazel twig</t>
        </is>
      </c>
    </row>
    <row r="1016" ht="15" customHeight="1" s="18">
      <c r="A1016" s="22" t="n">
        <v>213</v>
      </c>
      <c r="B1016" s="22" t="inlineStr">
        <is>
          <t>The Lost-and-Found Familiar</t>
        </is>
      </c>
      <c r="C1016" s="22" t="inlineStr">
        <is>
          <t>Wand</t>
        </is>
      </c>
      <c r="D1016" s="22" t="inlineStr">
        <is>
          <t>Magpie feather</t>
        </is>
      </c>
      <c r="E1016" s="22" t="inlineStr">
        <is>
          <t>magpie feather</t>
        </is>
      </c>
    </row>
    <row r="1017" ht="15" customHeight="1" s="18">
      <c r="A1017" s="22" t="n">
        <v>213</v>
      </c>
      <c r="B1017" s="22" t="inlineStr">
        <is>
          <t>The Lost-and-Found Familiar</t>
        </is>
      </c>
      <c r="C1017" s="22" t="inlineStr">
        <is>
          <t>Wand</t>
        </is>
      </c>
      <c r="D1017" s="22" t="inlineStr">
        <is>
          <t>Clear quartz</t>
        </is>
      </c>
      <c r="E1017" s="22" t="inlineStr">
        <is>
          <t>clear quartz</t>
        </is>
      </c>
    </row>
    <row r="1018" ht="15" customHeight="1" s="18">
      <c r="A1018" s="22" t="n">
        <v>213</v>
      </c>
      <c r="B1018" s="22" t="inlineStr">
        <is>
          <t>The Lost-and-Found Familiar</t>
        </is>
      </c>
      <c r="C1018" s="22" t="inlineStr">
        <is>
          <t>Wand</t>
        </is>
      </c>
      <c r="D1018" s="22" t="inlineStr">
        <is>
          <t>Yellow thread</t>
        </is>
      </c>
      <c r="E1018" s="22" t="inlineStr">
        <is>
          <t>yellow thread</t>
        </is>
      </c>
    </row>
    <row r="1019" ht="15" customHeight="1" s="18">
      <c r="A1019" s="22" t="n">
        <v>214</v>
      </c>
      <c r="B1019" s="22" t="inlineStr">
        <is>
          <t>The Main-Character Morning</t>
        </is>
      </c>
      <c r="C1019" s="22" t="inlineStr">
        <is>
          <t>Potion</t>
        </is>
      </c>
      <c r="D1019" s="22" t="inlineStr">
        <is>
          <t>Sunwater</t>
        </is>
      </c>
      <c r="E1019" s="22" t="inlineStr">
        <is>
          <t>Sunwater</t>
        </is>
      </c>
    </row>
    <row r="1020" ht="15" customHeight="1" s="18">
      <c r="A1020" s="22" t="n">
        <v>214</v>
      </c>
      <c r="B1020" s="22" t="inlineStr">
        <is>
          <t>The Main-Character Morning</t>
        </is>
      </c>
      <c r="C1020" s="22" t="inlineStr">
        <is>
          <t>Potion</t>
        </is>
      </c>
      <c r="D1020" s="22" t="inlineStr">
        <is>
          <t>Strawberry</t>
        </is>
      </c>
      <c r="E1020" s="22" t="inlineStr">
        <is>
          <t>strawberry</t>
        </is>
      </c>
    </row>
    <row r="1021" ht="15" customHeight="1" s="18">
      <c r="A1021" s="22" t="n">
        <v>214</v>
      </c>
      <c r="B1021" s="22" t="inlineStr">
        <is>
          <t>The Main-Character Morning</t>
        </is>
      </c>
      <c r="C1021" s="22" t="inlineStr">
        <is>
          <t>Potion</t>
        </is>
      </c>
      <c r="D1021" s="22" t="inlineStr">
        <is>
          <t>Rose petals</t>
        </is>
      </c>
      <c r="E1021" s="22" t="inlineStr">
        <is>
          <t>rose petals</t>
        </is>
      </c>
    </row>
    <row r="1022" ht="15" customHeight="1" s="18">
      <c r="A1022" s="22" t="n">
        <v>214</v>
      </c>
      <c r="B1022" s="22" t="inlineStr">
        <is>
          <t>The Main-Character Morning</t>
        </is>
      </c>
      <c r="C1022" s="22" t="inlineStr">
        <is>
          <t>Potion</t>
        </is>
      </c>
      <c r="D1022" s="22" t="inlineStr">
        <is>
          <t>Honey</t>
        </is>
      </c>
      <c r="E1022" s="22" t="inlineStr">
        <is>
          <t>honey</t>
        </is>
      </c>
    </row>
    <row r="1023" ht="15" customHeight="1" s="18">
      <c r="A1023" s="22" t="n">
        <v>215</v>
      </c>
      <c r="B1023" s="22" t="inlineStr">
        <is>
          <t>The Lucky Pixel</t>
        </is>
      </c>
      <c r="C1023" s="22" t="inlineStr">
        <is>
          <t>Talisman</t>
        </is>
      </c>
      <c r="D1023" s="22" t="inlineStr">
        <is>
          <t>Square button</t>
        </is>
      </c>
      <c r="E1023" s="22" t="inlineStr">
        <is>
          <t>Square button</t>
        </is>
      </c>
    </row>
    <row r="1024" ht="15" customHeight="1" s="18">
      <c r="A1024" s="22" t="n">
        <v>215</v>
      </c>
      <c r="B1024" s="22" t="inlineStr">
        <is>
          <t>The Lucky Pixel</t>
        </is>
      </c>
      <c r="C1024" s="22" t="inlineStr">
        <is>
          <t>Talisman</t>
        </is>
      </c>
      <c r="D1024" s="22" t="inlineStr">
        <is>
          <t>Four-leaf clover</t>
        </is>
      </c>
      <c r="E1024" s="22" t="inlineStr">
        <is>
          <t>four-leaf clover</t>
        </is>
      </c>
    </row>
    <row r="1025" ht="15" customHeight="1" s="18">
      <c r="A1025" s="22" t="n">
        <v>215</v>
      </c>
      <c r="B1025" s="22" t="inlineStr">
        <is>
          <t>The Lucky Pixel</t>
        </is>
      </c>
      <c r="C1025" s="22" t="inlineStr">
        <is>
          <t>Talisman</t>
        </is>
      </c>
      <c r="D1025" s="22" t="inlineStr">
        <is>
          <t>Green aventurine</t>
        </is>
      </c>
      <c r="E1025" s="22" t="inlineStr">
        <is>
          <t>green aventurine</t>
        </is>
      </c>
    </row>
    <row r="1026" ht="15" customHeight="1" s="18">
      <c r="A1026" s="22" t="n">
        <v>215</v>
      </c>
      <c r="B1026" s="22" t="inlineStr">
        <is>
          <t>The Lucky Pixel</t>
        </is>
      </c>
      <c r="C1026" s="22" t="inlineStr">
        <is>
          <t>Talisman</t>
        </is>
      </c>
      <c r="D1026" s="22" t="inlineStr">
        <is>
          <t>Green thread</t>
        </is>
      </c>
      <c r="E1026" s="22" t="inlineStr">
        <is>
          <t>green thread</t>
        </is>
      </c>
    </row>
    <row r="1027" ht="15" customHeight="1" s="18">
      <c r="A1027" s="22" t="n">
        <v>216</v>
      </c>
      <c r="B1027" s="22" t="inlineStr">
        <is>
          <t>The Compliment Constellation</t>
        </is>
      </c>
      <c r="C1027" s="22" t="inlineStr">
        <is>
          <t>Charm</t>
        </is>
      </c>
      <c r="D1027" s="22" t="inlineStr">
        <is>
          <t>Star-shaped button</t>
        </is>
      </c>
      <c r="E1027" s="22" t="inlineStr">
        <is>
          <t>Star-shaped buttons</t>
        </is>
      </c>
    </row>
    <row r="1028" ht="15" customHeight="1" s="18">
      <c r="A1028" s="22" t="n">
        <v>216</v>
      </c>
      <c r="B1028" s="22" t="inlineStr">
        <is>
          <t>The Compliment Constellation</t>
        </is>
      </c>
      <c r="C1028" s="22" t="inlineStr">
        <is>
          <t>Charm</t>
        </is>
      </c>
      <c r="D1028" s="22" t="inlineStr">
        <is>
          <t>Rose petals</t>
        </is>
      </c>
      <c r="E1028" s="22" t="inlineStr">
        <is>
          <t>rose petals</t>
        </is>
      </c>
    </row>
    <row r="1029" ht="15" customHeight="1" s="18">
      <c r="A1029" s="22" t="n">
        <v>216</v>
      </c>
      <c r="B1029" s="22" t="inlineStr">
        <is>
          <t>The Compliment Constellation</t>
        </is>
      </c>
      <c r="C1029" s="22" t="inlineStr">
        <is>
          <t>Charm</t>
        </is>
      </c>
      <c r="D1029" s="22" t="inlineStr">
        <is>
          <t>Honey</t>
        </is>
      </c>
      <c r="E1029" s="22" t="inlineStr">
        <is>
          <t>a drop of honey</t>
        </is>
      </c>
    </row>
    <row r="1030" ht="15" customHeight="1" s="18">
      <c r="A1030" s="22" t="n">
        <v>216</v>
      </c>
      <c r="B1030" s="22" t="inlineStr">
        <is>
          <t>The Compliment Constellation</t>
        </is>
      </c>
      <c r="C1030" s="22" t="inlineStr">
        <is>
          <t>Charm</t>
        </is>
      </c>
      <c r="D1030" s="22" t="inlineStr">
        <is>
          <t>Pink thread</t>
        </is>
      </c>
      <c r="E1030" s="22" t="inlineStr">
        <is>
          <t>pink thread</t>
        </is>
      </c>
    </row>
    <row r="1031" ht="15" customHeight="1" s="18">
      <c r="A1031" s="22" t="n">
        <v>217</v>
      </c>
      <c r="B1031" s="22" t="inlineStr">
        <is>
          <t>Everyday Stardust</t>
        </is>
      </c>
      <c r="C1031" s="22" t="inlineStr">
        <is>
          <t>Powder</t>
        </is>
      </c>
      <c r="D1031" s="22" t="inlineStr">
        <is>
          <t>Silver mica</t>
        </is>
      </c>
      <c r="E1031" s="22" t="inlineStr">
        <is>
          <t>Silver mica</t>
        </is>
      </c>
    </row>
    <row r="1032" ht="15" customHeight="1" s="18">
      <c r="A1032" s="22" t="n">
        <v>217</v>
      </c>
      <c r="B1032" s="22" t="inlineStr">
        <is>
          <t>Everyday Stardust</t>
        </is>
      </c>
      <c r="C1032" s="22" t="inlineStr">
        <is>
          <t>Powder</t>
        </is>
      </c>
      <c r="D1032" s="22" t="inlineStr">
        <is>
          <t>Vanilla</t>
        </is>
      </c>
      <c r="E1032" s="22" t="inlineStr">
        <is>
          <t>vanilla powder</t>
        </is>
      </c>
    </row>
    <row r="1033" ht="15" customHeight="1" s="18">
      <c r="A1033" s="22" t="n">
        <v>217</v>
      </c>
      <c r="B1033" s="22" t="inlineStr">
        <is>
          <t>Everyday Stardust</t>
        </is>
      </c>
      <c r="C1033" s="22" t="inlineStr">
        <is>
          <t>Powder</t>
        </is>
      </c>
      <c r="D1033" s="22" t="inlineStr">
        <is>
          <t>Star anise</t>
        </is>
      </c>
      <c r="E1033" s="22" t="inlineStr">
        <is>
          <t>star anise</t>
        </is>
      </c>
    </row>
    <row r="1034" ht="15" customHeight="1" s="18">
      <c r="A1034" s="22" t="n">
        <v>218</v>
      </c>
      <c r="B1034" s="22" t="inlineStr">
        <is>
          <t>The Outfit Oracle</t>
        </is>
      </c>
      <c r="C1034" s="22" t="inlineStr">
        <is>
          <t>Hand Mirror</t>
        </is>
      </c>
      <c r="D1034" s="22" t="inlineStr">
        <is>
          <t>Clamshell compact</t>
        </is>
      </c>
      <c r="E1034" s="22" t="inlineStr">
        <is>
          <t>Clamshell compact</t>
        </is>
      </c>
    </row>
    <row r="1035" ht="15" customHeight="1" s="18">
      <c r="A1035" s="22" t="n">
        <v>218</v>
      </c>
      <c r="B1035" s="22" t="inlineStr">
        <is>
          <t>The Outfit Oracle</t>
        </is>
      </c>
      <c r="C1035" s="22" t="inlineStr">
        <is>
          <t>Hand Mirror</t>
        </is>
      </c>
      <c r="D1035" s="22" t="inlineStr">
        <is>
          <t>Peacock feather</t>
        </is>
      </c>
      <c r="E1035" s="22" t="inlineStr">
        <is>
          <t>peacock feather</t>
        </is>
      </c>
    </row>
    <row r="1036" ht="15" customHeight="1" s="18">
      <c r="A1036" s="22" t="n">
        <v>218</v>
      </c>
      <c r="B1036" s="22" t="inlineStr">
        <is>
          <t>The Outfit Oracle</t>
        </is>
      </c>
      <c r="C1036" s="22" t="inlineStr">
        <is>
          <t>Hand Mirror</t>
        </is>
      </c>
      <c r="D1036" s="22" t="inlineStr">
        <is>
          <t>Fluorite</t>
        </is>
      </c>
      <c r="E1036" s="22" t="inlineStr">
        <is>
          <t>fluorite</t>
        </is>
      </c>
    </row>
    <row r="1037" ht="15" customHeight="1" s="18">
      <c r="A1037" s="22" t="n">
        <v>218</v>
      </c>
      <c r="B1037" s="22" t="inlineStr">
        <is>
          <t>The Outfit Oracle</t>
        </is>
      </c>
      <c r="C1037" s="22" t="inlineStr">
        <is>
          <t>Hand Mirror</t>
        </is>
      </c>
      <c r="D1037" s="22" t="inlineStr">
        <is>
          <t>Vintage button</t>
        </is>
      </c>
      <c r="E1037" s="22" t="inlineStr">
        <is>
          <t>a vintage button</t>
        </is>
      </c>
    </row>
    <row r="1038" ht="15" customHeight="1" s="18">
      <c r="A1038" s="22" t="n">
        <v>219</v>
      </c>
      <c r="B1038" s="22" t="inlineStr">
        <is>
          <t>The Hello Spell</t>
        </is>
      </c>
      <c r="C1038" s="22" t="inlineStr">
        <is>
          <t>Sachet</t>
        </is>
      </c>
      <c r="D1038" s="22" t="inlineStr">
        <is>
          <t>Orris root</t>
        </is>
      </c>
      <c r="E1038" s="22" t="inlineStr">
        <is>
          <t>Orris root</t>
        </is>
      </c>
    </row>
    <row r="1039" ht="15" customHeight="1" s="18">
      <c r="A1039" s="22" t="n">
        <v>219</v>
      </c>
      <c r="B1039" s="22" t="inlineStr">
        <is>
          <t>The Hello Spell</t>
        </is>
      </c>
      <c r="C1039" s="22" t="inlineStr">
        <is>
          <t>Sachet</t>
        </is>
      </c>
      <c r="D1039" s="22" t="inlineStr">
        <is>
          <t>Sweet pea</t>
        </is>
      </c>
      <c r="E1039" s="22" t="inlineStr">
        <is>
          <t>sweet pea</t>
        </is>
      </c>
    </row>
    <row r="1040" ht="15" customHeight="1" s="18">
      <c r="A1040" s="22" t="n">
        <v>219</v>
      </c>
      <c r="B1040" s="22" t="inlineStr">
        <is>
          <t>The Hello Spell</t>
        </is>
      </c>
      <c r="C1040" s="22" t="inlineStr">
        <is>
          <t>Sachet</t>
        </is>
      </c>
      <c r="D1040" s="22" t="inlineStr">
        <is>
          <t>Amazonite</t>
        </is>
      </c>
      <c r="E1040" s="22" t="inlineStr">
        <is>
          <t>amazonite</t>
        </is>
      </c>
    </row>
    <row r="1041" ht="15" customHeight="1" s="18">
      <c r="A1041" s="22" t="n">
        <v>220</v>
      </c>
      <c r="B1041" s="22" t="inlineStr">
        <is>
          <t>The Sweet Little Detour</t>
        </is>
      </c>
      <c r="C1041" s="22" t="inlineStr">
        <is>
          <t>Cookies</t>
        </is>
      </c>
      <c r="D1041" s="22" t="inlineStr">
        <is>
          <t>Flour</t>
        </is>
      </c>
      <c r="E1041" s="22" t="inlineStr">
        <is>
          <t>Flour</t>
        </is>
      </c>
    </row>
    <row r="1042" ht="15" customHeight="1" s="18">
      <c r="A1042" s="22" t="n">
        <v>220</v>
      </c>
      <c r="B1042" s="22" t="inlineStr">
        <is>
          <t>The Sweet Little Detour</t>
        </is>
      </c>
      <c r="C1042" s="22" t="inlineStr">
        <is>
          <t>Cookies</t>
        </is>
      </c>
      <c r="D1042" s="22" t="inlineStr">
        <is>
          <t>Butter</t>
        </is>
      </c>
      <c r="E1042" s="22" t="inlineStr">
        <is>
          <t>butter</t>
        </is>
      </c>
    </row>
    <row r="1043" ht="15" customHeight="1" s="18">
      <c r="A1043" s="22" t="n">
        <v>220</v>
      </c>
      <c r="B1043" s="22" t="inlineStr">
        <is>
          <t>The Sweet Little Detour</t>
        </is>
      </c>
      <c r="C1043" s="22" t="inlineStr">
        <is>
          <t>Cookies</t>
        </is>
      </c>
      <c r="D1043" s="22" t="inlineStr">
        <is>
          <t>Sugar</t>
        </is>
      </c>
      <c r="E1043" s="22" t="inlineStr">
        <is>
          <t>sugar</t>
        </is>
      </c>
    </row>
    <row r="1044" ht="15" customHeight="1" s="18">
      <c r="A1044" s="22" t="n">
        <v>220</v>
      </c>
      <c r="B1044" s="22" t="inlineStr">
        <is>
          <t>The Sweet Little Detour</t>
        </is>
      </c>
      <c r="C1044" s="22" t="inlineStr">
        <is>
          <t>Cookies</t>
        </is>
      </c>
      <c r="D1044" s="22" t="inlineStr">
        <is>
          <t>Cardamom</t>
        </is>
      </c>
      <c r="E1044" s="22" t="inlineStr">
        <is>
          <t>cardamom</t>
        </is>
      </c>
    </row>
    <row r="1045" ht="15" customHeight="1" s="18">
      <c r="A1045" s="22" t="n">
        <v>220</v>
      </c>
      <c r="B1045" s="22" t="inlineStr">
        <is>
          <t>The Sweet Little Detour</t>
        </is>
      </c>
      <c r="C1045" s="22" t="inlineStr">
        <is>
          <t>Cookies</t>
        </is>
      </c>
      <c r="D1045" s="22" t="inlineStr">
        <is>
          <t>Cinnamon</t>
        </is>
      </c>
      <c r="E1045" s="22" t="inlineStr">
        <is>
          <t>cinnamon</t>
        </is>
      </c>
    </row>
    <row r="1046" ht="15" customHeight="1" s="18">
      <c r="A1046" s="22" t="n">
        <v>221</v>
      </c>
      <c r="B1046" s="22" t="inlineStr">
        <is>
          <t>The Soundtrack Summoner</t>
        </is>
      </c>
      <c r="C1046" s="22" t="inlineStr">
        <is>
          <t>Incense</t>
        </is>
      </c>
      <c r="D1046" s="22" t="inlineStr">
        <is>
          <t>Lavender</t>
        </is>
      </c>
      <c r="E1046" s="22" t="inlineStr">
        <is>
          <t>Lavender</t>
        </is>
      </c>
    </row>
    <row r="1047" ht="15" customHeight="1" s="18">
      <c r="A1047" s="22" t="n">
        <v>221</v>
      </c>
      <c r="B1047" s="22" t="inlineStr">
        <is>
          <t>The Soundtrack Summoner</t>
        </is>
      </c>
      <c r="C1047" s="22" t="inlineStr">
        <is>
          <t>Incense</t>
        </is>
      </c>
      <c r="D1047" s="22" t="inlineStr">
        <is>
          <t>Orange peel</t>
        </is>
      </c>
      <c r="E1047" s="22" t="inlineStr">
        <is>
          <t>orange peel</t>
        </is>
      </c>
    </row>
    <row r="1048" ht="15" customHeight="1" s="18">
      <c r="A1048" s="22" t="n">
        <v>221</v>
      </c>
      <c r="B1048" s="22" t="inlineStr">
        <is>
          <t>The Soundtrack Summoner</t>
        </is>
      </c>
      <c r="C1048" s="22" t="inlineStr">
        <is>
          <t>Incense</t>
        </is>
      </c>
      <c r="D1048" s="22" t="inlineStr">
        <is>
          <t>Frankincense</t>
        </is>
      </c>
      <c r="E1048" s="22" t="inlineStr">
        <is>
          <t>frankincense</t>
        </is>
      </c>
    </row>
    <row r="1049" ht="15" customHeight="1" s="18">
      <c r="A1049" s="22" t="n">
        <v>222</v>
      </c>
      <c r="B1049" s="22" t="inlineStr">
        <is>
          <t>The Camera Loves You</t>
        </is>
      </c>
      <c r="C1049" s="22" t="inlineStr">
        <is>
          <t>Glamour</t>
        </is>
      </c>
      <c r="D1049" s="22" t="inlineStr">
        <is>
          <t>Rosewater</t>
        </is>
      </c>
      <c r="E1049" s="22" t="inlineStr">
        <is>
          <t>Rosewater</t>
        </is>
      </c>
    </row>
    <row r="1050" ht="15" customHeight="1" s="18">
      <c r="A1050" s="22" t="n">
        <v>222</v>
      </c>
      <c r="B1050" s="22" t="inlineStr">
        <is>
          <t>The Camera Loves You</t>
        </is>
      </c>
      <c r="C1050" s="22" t="inlineStr">
        <is>
          <t>Glamour</t>
        </is>
      </c>
      <c r="D1050" s="22" t="inlineStr">
        <is>
          <t>Peach</t>
        </is>
      </c>
      <c r="E1050" s="22" t="inlineStr">
        <is>
          <t>peach</t>
        </is>
      </c>
    </row>
    <row r="1051" ht="15" customHeight="1" s="18">
      <c r="A1051" s="22" t="n">
        <v>222</v>
      </c>
      <c r="B1051" s="22" t="inlineStr">
        <is>
          <t>The Camera Loves You</t>
        </is>
      </c>
      <c r="C1051" s="22" t="inlineStr">
        <is>
          <t>Glamour</t>
        </is>
      </c>
      <c r="D1051" s="22" t="inlineStr">
        <is>
          <t>Pearl</t>
        </is>
      </c>
      <c r="E1051" s="22" t="inlineStr">
        <is>
          <t>pearl</t>
        </is>
      </c>
    </row>
    <row r="1052" ht="15" customHeight="1" s="18">
      <c r="A1052" s="22" t="n">
        <v>222</v>
      </c>
      <c r="B1052" s="22" t="inlineStr">
        <is>
          <t>The Camera Loves You</t>
        </is>
      </c>
      <c r="C1052" s="22" t="inlineStr">
        <is>
          <t>Glamour</t>
        </is>
      </c>
      <c r="D1052" s="22" t="inlineStr">
        <is>
          <t>Gold mica</t>
        </is>
      </c>
      <c r="E1052" s="22" t="inlineStr">
        <is>
          <t>gold mica</t>
        </is>
      </c>
    </row>
    <row r="1053" ht="15" customHeight="1" s="18">
      <c r="A1053" s="22" t="n">
        <v>223</v>
      </c>
      <c r="B1053" s="22" t="inlineStr">
        <is>
          <t>The Rhythm of Doing</t>
        </is>
      </c>
      <c r="C1053" s="22" t="inlineStr">
        <is>
          <t>Tonic</t>
        </is>
      </c>
      <c r="D1053" s="22" t="inlineStr">
        <is>
          <t>Sunwater</t>
        </is>
      </c>
      <c r="E1053" s="22" t="inlineStr">
        <is>
          <t>Sunwater</t>
        </is>
      </c>
    </row>
    <row r="1054" ht="15" customHeight="1" s="18">
      <c r="A1054" s="22" t="n">
        <v>223</v>
      </c>
      <c r="B1054" s="22" t="inlineStr">
        <is>
          <t>The Rhythm of Doing</t>
        </is>
      </c>
      <c r="C1054" s="22" t="inlineStr">
        <is>
          <t>Tonic</t>
        </is>
      </c>
      <c r="D1054" s="22" t="inlineStr">
        <is>
          <t>Ginger</t>
        </is>
      </c>
      <c r="E1054" s="22" t="inlineStr">
        <is>
          <t>ginger</t>
        </is>
      </c>
    </row>
    <row r="1055" ht="15" customHeight="1" s="18">
      <c r="A1055" s="22" t="n">
        <v>223</v>
      </c>
      <c r="B1055" s="22" t="inlineStr">
        <is>
          <t>The Rhythm of Doing</t>
        </is>
      </c>
      <c r="C1055" s="22" t="inlineStr">
        <is>
          <t>Tonic</t>
        </is>
      </c>
      <c r="D1055" s="22" t="inlineStr">
        <is>
          <t>Lemon</t>
        </is>
      </c>
      <c r="E1055" s="22" t="inlineStr">
        <is>
          <t>lemon</t>
        </is>
      </c>
    </row>
    <row r="1056" ht="15" customHeight="1" s="18">
      <c r="A1056" s="22" t="n">
        <v>223</v>
      </c>
      <c r="B1056" s="22" t="inlineStr">
        <is>
          <t>The Rhythm of Doing</t>
        </is>
      </c>
      <c r="C1056" s="22" t="inlineStr">
        <is>
          <t>Tonic</t>
        </is>
      </c>
      <c r="D1056" s="22" t="inlineStr">
        <is>
          <t>Mint</t>
        </is>
      </c>
      <c r="E1056" s="22" t="inlineStr">
        <is>
          <t>mint</t>
        </is>
      </c>
    </row>
    <row r="1057" ht="15" customHeight="1" s="18">
      <c r="A1057" s="22" t="n">
        <v>224</v>
      </c>
      <c r="B1057" s="22" t="inlineStr">
        <is>
          <t>The Finishing Charm</t>
        </is>
      </c>
      <c r="C1057" s="22" t="inlineStr">
        <is>
          <t>Amulet</t>
        </is>
      </c>
      <c r="D1057" s="22" t="inlineStr">
        <is>
          <t>Pearl</t>
        </is>
      </c>
      <c r="E1057" s="22" t="inlineStr">
        <is>
          <t>Tiny pearl</t>
        </is>
      </c>
    </row>
    <row r="1058" ht="15" customHeight="1" s="18">
      <c r="A1058" s="22" t="n">
        <v>224</v>
      </c>
      <c r="B1058" s="22" t="inlineStr">
        <is>
          <t>The Finishing Charm</t>
        </is>
      </c>
      <c r="C1058" s="22" t="inlineStr">
        <is>
          <t>Amulet</t>
        </is>
      </c>
      <c r="D1058" s="22" t="inlineStr">
        <is>
          <t>Brass button</t>
        </is>
      </c>
      <c r="E1058" s="22" t="inlineStr">
        <is>
          <t>brass button</t>
        </is>
      </c>
    </row>
    <row r="1059" ht="15" customHeight="1" s="18">
      <c r="A1059" s="22" t="n">
        <v>224</v>
      </c>
      <c r="B1059" s="22" t="inlineStr">
        <is>
          <t>The Finishing Charm</t>
        </is>
      </c>
      <c r="C1059" s="22" t="inlineStr">
        <is>
          <t>Amulet</t>
        </is>
      </c>
      <c r="D1059" s="22" t="inlineStr">
        <is>
          <t>Satin ribbon</t>
        </is>
      </c>
      <c r="E1059" s="22" t="inlineStr">
        <is>
          <t>satin ribbon</t>
        </is>
      </c>
    </row>
    <row r="1060" ht="15" customHeight="1" s="18">
      <c r="A1060" s="22" t="n">
        <v>225</v>
      </c>
      <c r="B1060" s="22" t="inlineStr">
        <is>
          <t>The Tiny Treasure Hunt</t>
        </is>
      </c>
      <c r="C1060" s="22" t="inlineStr">
        <is>
          <t>Spell Bottle</t>
        </is>
      </c>
      <c r="D1060" s="22" t="inlineStr">
        <is>
          <t>Glass vial</t>
        </is>
      </c>
      <c r="E1060" s="22" t="inlineStr">
        <is>
          <t>Glass vial</t>
        </is>
      </c>
    </row>
    <row r="1061" ht="15" customHeight="1" s="18">
      <c r="A1061" s="22" t="n">
        <v>225</v>
      </c>
      <c r="B1061" s="22" t="inlineStr">
        <is>
          <t>The Tiny Treasure Hunt</t>
        </is>
      </c>
      <c r="C1061" s="22" t="inlineStr">
        <is>
          <t>Spell Bottle</t>
        </is>
      </c>
      <c r="D1061" s="22" t="inlineStr">
        <is>
          <t>Acorn</t>
        </is>
      </c>
      <c r="E1061" s="22" t="inlineStr">
        <is>
          <t>acorn</t>
        </is>
      </c>
    </row>
    <row r="1062" ht="15" customHeight="1" s="18">
      <c r="A1062" s="22" t="n">
        <v>225</v>
      </c>
      <c r="B1062" s="22" t="inlineStr">
        <is>
          <t>The Tiny Treasure Hunt</t>
        </is>
      </c>
      <c r="C1062" s="22" t="inlineStr">
        <is>
          <t>Spell Bottle</t>
        </is>
      </c>
      <c r="D1062" s="22" t="inlineStr">
        <is>
          <t>Magpie feather</t>
        </is>
      </c>
      <c r="E1062" s="22" t="inlineStr">
        <is>
          <t>magpie feather</t>
        </is>
      </c>
    </row>
    <row r="1063" ht="15" customHeight="1" s="18">
      <c r="A1063" s="22" t="n">
        <v>225</v>
      </c>
      <c r="B1063" s="22" t="inlineStr">
        <is>
          <t>The Tiny Treasure Hunt</t>
        </is>
      </c>
      <c r="C1063" s="22" t="inlineStr">
        <is>
          <t>Spell Bottle</t>
        </is>
      </c>
      <c r="D1063" s="22" t="inlineStr">
        <is>
          <t>Glass bead</t>
        </is>
      </c>
      <c r="E1063" s="22" t="inlineStr">
        <is>
          <t>tiny bead</t>
        </is>
      </c>
    </row>
    <row r="1064" ht="15" customHeight="1" s="18">
      <c r="A1064" s="22" t="n">
        <v>225</v>
      </c>
      <c r="B1064" s="22" t="inlineStr">
        <is>
          <t>The Tiny Treasure Hunt</t>
        </is>
      </c>
      <c r="C1064" s="22" t="inlineStr">
        <is>
          <t>Spell Bottle</t>
        </is>
      </c>
      <c r="D1064" s="22" t="inlineStr">
        <is>
          <t>Green aventurine</t>
        </is>
      </c>
      <c r="E1064" s="22" t="inlineStr">
        <is>
          <t>green aventurine</t>
        </is>
      </c>
    </row>
    <row r="1065" ht="15" customHeight="1" s="18">
      <c r="A1065" s="22" t="n">
        <v>226</v>
      </c>
      <c r="B1065" s="22" t="inlineStr">
        <is>
          <t>The Quicksilver Quip</t>
        </is>
      </c>
      <c r="C1065" s="22" t="inlineStr">
        <is>
          <t>Tea</t>
        </is>
      </c>
      <c r="D1065" s="22" t="inlineStr">
        <is>
          <t>Peppermint</t>
        </is>
      </c>
      <c r="E1065" s="22" t="inlineStr">
        <is>
          <t>Peppermint</t>
        </is>
      </c>
    </row>
    <row r="1066" ht="15" customHeight="1" s="18">
      <c r="A1066" s="22" t="n">
        <v>226</v>
      </c>
      <c r="B1066" s="22" t="inlineStr">
        <is>
          <t>The Quicksilver Quip</t>
        </is>
      </c>
      <c r="C1066" s="22" t="inlineStr">
        <is>
          <t>Tea</t>
        </is>
      </c>
      <c r="D1066" s="22" t="inlineStr">
        <is>
          <t>Cherry</t>
        </is>
      </c>
      <c r="E1066" s="22" t="inlineStr">
        <is>
          <t>cherry</t>
        </is>
      </c>
    </row>
    <row r="1067" ht="15" customHeight="1" s="18">
      <c r="A1067" s="22" t="n">
        <v>226</v>
      </c>
      <c r="B1067" s="22" t="inlineStr">
        <is>
          <t>The Quicksilver Quip</t>
        </is>
      </c>
      <c r="C1067" s="22" t="inlineStr">
        <is>
          <t>Tea</t>
        </is>
      </c>
      <c r="D1067" s="22" t="inlineStr">
        <is>
          <t>Ginger</t>
        </is>
      </c>
      <c r="E1067" s="22" t="inlineStr">
        <is>
          <t>ginger</t>
        </is>
      </c>
    </row>
    <row r="1068" ht="15" customHeight="1" s="18">
      <c r="A1068" s="22" t="n">
        <v>227</v>
      </c>
      <c r="B1068" s="22" t="inlineStr">
        <is>
          <t>The Cozy-Cute Conjuring</t>
        </is>
      </c>
      <c r="C1068" s="22" t="inlineStr">
        <is>
          <t>Witch Salt</t>
        </is>
      </c>
      <c r="D1068" s="22" t="inlineStr">
        <is>
          <t>Chocolate chips</t>
        </is>
      </c>
      <c r="E1068" s="22" t="inlineStr">
        <is>
          <t>Chocolate chips</t>
        </is>
      </c>
    </row>
    <row r="1069" ht="15" customHeight="1" s="18">
      <c r="A1069" s="22" t="n">
        <v>227</v>
      </c>
      <c r="B1069" s="22" t="inlineStr">
        <is>
          <t>The Cozy-Cute Conjuring</t>
        </is>
      </c>
      <c r="C1069" s="22" t="inlineStr">
        <is>
          <t>Witch Salt</t>
        </is>
      </c>
      <c r="D1069" s="22" t="inlineStr">
        <is>
          <t>Cedar</t>
        </is>
      </c>
      <c r="E1069" s="22" t="inlineStr">
        <is>
          <t>cedar</t>
        </is>
      </c>
    </row>
    <row r="1070" ht="15" customHeight="1" s="18">
      <c r="A1070" s="22" t="n">
        <v>227</v>
      </c>
      <c r="B1070" s="22" t="inlineStr">
        <is>
          <t>The Cozy-Cute Conjuring</t>
        </is>
      </c>
      <c r="C1070" s="22" t="inlineStr">
        <is>
          <t>Witch Salt</t>
        </is>
      </c>
      <c r="D1070" s="22" t="inlineStr">
        <is>
          <t>Cinnamon stick</t>
        </is>
      </c>
      <c r="E1070" s="22" t="inlineStr">
        <is>
          <t>cinnamon stick</t>
        </is>
      </c>
    </row>
    <row r="1071" ht="15" customHeight="1" s="18">
      <c r="A1071" s="22" t="n">
        <v>227</v>
      </c>
      <c r="B1071" s="22" t="inlineStr">
        <is>
          <t>The Cozy-Cute Conjuring</t>
        </is>
      </c>
      <c r="C1071" s="22" t="inlineStr">
        <is>
          <t>Witch Salt</t>
        </is>
      </c>
      <c r="D1071" s="22" t="inlineStr">
        <is>
          <t>Pink glitter</t>
        </is>
      </c>
      <c r="E1071" s="22" t="inlineStr">
        <is>
          <t>pink glitter</t>
        </is>
      </c>
    </row>
    <row r="1072" ht="15" customHeight="1" s="18">
      <c r="A1072" s="22" t="n">
        <v>228</v>
      </c>
      <c r="B1072" s="22" t="inlineStr">
        <is>
          <t>The Accidental Star</t>
        </is>
      </c>
      <c r="C1072" s="22" t="inlineStr">
        <is>
          <t>Rune</t>
        </is>
      </c>
      <c r="D1072" s="22" t="inlineStr">
        <is>
          <t>Green aventurine</t>
        </is>
      </c>
      <c r="E1072" s="22" t="inlineStr">
        <is>
          <t>Green aventurine</t>
        </is>
      </c>
    </row>
    <row r="1073" ht="15" customHeight="1" s="18">
      <c r="A1073" s="22" t="n">
        <v>228</v>
      </c>
      <c r="B1073" s="22" t="inlineStr">
        <is>
          <t>The Accidental Star</t>
        </is>
      </c>
      <c r="C1073" s="22" t="inlineStr">
        <is>
          <t>Rune</t>
        </is>
      </c>
      <c r="D1073" s="22" t="inlineStr">
        <is>
          <t>Violet ink</t>
        </is>
      </c>
      <c r="E1073" s="22" t="inlineStr">
        <is>
          <t>violet ink</t>
        </is>
      </c>
    </row>
    <row r="1074" ht="15" customHeight="1" s="18">
      <c r="A1074" s="22" t="n">
        <v>228</v>
      </c>
      <c r="B1074" s="22" t="inlineStr">
        <is>
          <t>The Accidental Star</t>
        </is>
      </c>
      <c r="C1074" s="22" t="inlineStr">
        <is>
          <t>Rune</t>
        </is>
      </c>
      <c r="D1074" s="22" t="inlineStr">
        <is>
          <t>Star anise</t>
        </is>
      </c>
      <c r="E1074" s="22" t="inlineStr">
        <is>
          <t>star anise</t>
        </is>
      </c>
    </row>
    <row r="1075" ht="15" customHeight="1" s="18">
      <c r="A1075" s="22" t="n">
        <v>229</v>
      </c>
      <c r="B1075" s="22" t="inlineStr">
        <is>
          <t>The Little Spotlight</t>
        </is>
      </c>
      <c r="C1075" s="22" t="inlineStr">
        <is>
          <t>Sigil</t>
        </is>
      </c>
      <c r="D1075" s="22" t="inlineStr">
        <is>
          <t>Paper</t>
        </is>
      </c>
      <c r="E1075" s="22" t="inlineStr">
        <is>
          <t>Paper</t>
        </is>
      </c>
    </row>
    <row r="1076" ht="15" customHeight="1" s="18">
      <c r="A1076" s="22" t="n">
        <v>229</v>
      </c>
      <c r="B1076" s="22" t="inlineStr">
        <is>
          <t>The Little Spotlight</t>
        </is>
      </c>
      <c r="C1076" s="22" t="inlineStr">
        <is>
          <t>Sigil</t>
        </is>
      </c>
      <c r="D1076" s="22" t="inlineStr">
        <is>
          <t>Gold ink</t>
        </is>
      </c>
      <c r="E1076" s="22" t="inlineStr">
        <is>
          <t>gold ink</t>
        </is>
      </c>
    </row>
    <row r="1077" ht="15" customHeight="1" s="18">
      <c r="A1077" s="22" t="n">
        <v>230</v>
      </c>
      <c r="B1077" s="22" t="inlineStr">
        <is>
          <t>The Sticker Spell</t>
        </is>
      </c>
      <c r="C1077" s="22" t="inlineStr">
        <is>
          <t>Witch's Ladder</t>
        </is>
      </c>
      <c r="D1077" s="22" t="inlineStr">
        <is>
          <t>Rainbow threads</t>
        </is>
      </c>
      <c r="E1077" s="22" t="inlineStr">
        <is>
          <t>Threads in rainbow colours</t>
        </is>
      </c>
    </row>
    <row r="1078" ht="15" customHeight="1" s="18">
      <c r="A1078" s="22" t="n">
        <v>230</v>
      </c>
      <c r="B1078" s="22" t="inlineStr">
        <is>
          <t>The Sticker Spell</t>
        </is>
      </c>
      <c r="C1078" s="22" t="inlineStr">
        <is>
          <t>Witch's Ladder</t>
        </is>
      </c>
      <c r="D1078" s="22" t="inlineStr">
        <is>
          <t>Star-shaped button</t>
        </is>
      </c>
      <c r="E1078" s="22" t="inlineStr">
        <is>
          <t>star-shaped button</t>
        </is>
      </c>
    </row>
    <row r="1079" ht="15" customHeight="1" s="18">
      <c r="A1079" s="22" t="n">
        <v>230</v>
      </c>
      <c r="B1079" s="22" t="inlineStr">
        <is>
          <t>The Sticker Spell</t>
        </is>
      </c>
      <c r="C1079" s="22" t="inlineStr">
        <is>
          <t>Witch's Ladder</t>
        </is>
      </c>
      <c r="D1079" s="22" t="inlineStr">
        <is>
          <t>Bright buttons</t>
        </is>
      </c>
      <c r="E1079" s="22" t="inlineStr">
        <is>
          <t>bright buttons</t>
        </is>
      </c>
    </row>
    <row r="1080" ht="15" customHeight="1" s="18">
      <c r="A1080" s="22" t="n">
        <v>230</v>
      </c>
      <c r="B1080" s="22" t="inlineStr">
        <is>
          <t>The Sticker Spell</t>
        </is>
      </c>
      <c r="C1080" s="22" t="inlineStr">
        <is>
          <t>Witch's Ladder</t>
        </is>
      </c>
      <c r="D1080" s="22" t="inlineStr">
        <is>
          <t>Paper</t>
        </is>
      </c>
      <c r="E1080" s="22" t="inlineStr">
        <is>
          <t>paper scraps</t>
        </is>
      </c>
    </row>
    <row r="1081" ht="15" customHeight="1" s="18">
      <c r="A1081" s="22" t="n">
        <v>231</v>
      </c>
      <c r="B1081" s="22" t="inlineStr">
        <is>
          <t>The Pocket Quest</t>
        </is>
      </c>
      <c r="C1081" s="22" t="inlineStr">
        <is>
          <t>Talisman</t>
        </is>
      </c>
      <c r="D1081" s="22" t="inlineStr">
        <is>
          <t>Wooden disc</t>
        </is>
      </c>
      <c r="E1081" s="22" t="inlineStr">
        <is>
          <t>Wooden disc</t>
        </is>
      </c>
    </row>
    <row r="1082" ht="15" customHeight="1" s="18">
      <c r="A1082" s="22" t="n">
        <v>231</v>
      </c>
      <c r="B1082" s="22" t="inlineStr">
        <is>
          <t>The Pocket Quest</t>
        </is>
      </c>
      <c r="C1082" s="22" t="inlineStr">
        <is>
          <t>Talisman</t>
        </is>
      </c>
      <c r="D1082" s="22" t="inlineStr">
        <is>
          <t>Snail shell</t>
        </is>
      </c>
      <c r="E1082" s="22" t="inlineStr">
        <is>
          <t>snail shell</t>
        </is>
      </c>
    </row>
    <row r="1083" ht="15" customHeight="1" s="18">
      <c r="A1083" s="22" t="n">
        <v>231</v>
      </c>
      <c r="B1083" s="22" t="inlineStr">
        <is>
          <t>The Pocket Quest</t>
        </is>
      </c>
      <c r="C1083" s="22" t="inlineStr">
        <is>
          <t>Talisman</t>
        </is>
      </c>
      <c r="D1083" s="22" t="inlineStr">
        <is>
          <t>Twig</t>
        </is>
      </c>
      <c r="E1083" s="22" t="inlineStr">
        <is>
          <t>twig</t>
        </is>
      </c>
    </row>
    <row r="1084" ht="15" customHeight="1" s="18">
      <c r="A1084" s="22" t="n">
        <v>231</v>
      </c>
      <c r="B1084" s="22" t="inlineStr">
        <is>
          <t>The Pocket Quest</t>
        </is>
      </c>
      <c r="C1084" s="22" t="inlineStr">
        <is>
          <t>Talisman</t>
        </is>
      </c>
      <c r="D1084" s="22" t="inlineStr">
        <is>
          <t>Patchwork scraps</t>
        </is>
      </c>
      <c r="E1084" s="22" t="inlineStr">
        <is>
          <t>patchwork scraps</t>
        </is>
      </c>
    </row>
    <row r="1085" ht="15" customHeight="1" s="18">
      <c r="A1085" s="22" t="n">
        <v>232</v>
      </c>
      <c r="B1085" s="22" t="inlineStr">
        <is>
          <t>The Critical-Hit Charm</t>
        </is>
      </c>
      <c r="C1085" s="22" t="inlineStr">
        <is>
          <t>Charm</t>
        </is>
      </c>
      <c r="D1085" s="22" t="inlineStr">
        <is>
          <t>Red thread</t>
        </is>
      </c>
      <c r="E1085" s="22" t="inlineStr">
        <is>
          <t>Red thread</t>
        </is>
      </c>
    </row>
    <row r="1086" ht="15" customHeight="1" s="18">
      <c r="A1086" s="22" t="n">
        <v>232</v>
      </c>
      <c r="B1086" s="22" t="inlineStr">
        <is>
          <t>The Critical-Hit Charm</t>
        </is>
      </c>
      <c r="C1086" s="22" t="inlineStr">
        <is>
          <t>Charm</t>
        </is>
      </c>
      <c r="D1086" s="22" t="inlineStr">
        <is>
          <t>Garnet</t>
        </is>
      </c>
      <c r="E1086" s="22" t="inlineStr">
        <is>
          <t>garnet</t>
        </is>
      </c>
    </row>
    <row r="1087" ht="15" customHeight="1" s="18">
      <c r="A1087" s="22" t="n">
        <v>232</v>
      </c>
      <c r="B1087" s="22" t="inlineStr">
        <is>
          <t>The Critical-Hit Charm</t>
        </is>
      </c>
      <c r="C1087" s="22" t="inlineStr">
        <is>
          <t>Charm</t>
        </is>
      </c>
      <c r="D1087" s="22" t="inlineStr">
        <is>
          <t>Wooden die</t>
        </is>
      </c>
      <c r="E1087" s="22" t="inlineStr">
        <is>
          <t>a tiny wooden die</t>
        </is>
      </c>
    </row>
    <row r="1088" ht="15" customHeight="1" s="18">
      <c r="A1088" s="22" t="n">
        <v>233</v>
      </c>
      <c r="B1088" s="22" t="inlineStr">
        <is>
          <t>The Casual Enchantment</t>
        </is>
      </c>
      <c r="C1088" s="22" t="inlineStr">
        <is>
          <t>Glamour</t>
        </is>
      </c>
      <c r="D1088" s="22" t="inlineStr">
        <is>
          <t>Mint</t>
        </is>
      </c>
      <c r="E1088" s="22" t="inlineStr">
        <is>
          <t>Mint</t>
        </is>
      </c>
    </row>
    <row r="1089" ht="15" customHeight="1" s="18">
      <c r="A1089" s="22" t="n">
        <v>233</v>
      </c>
      <c r="B1089" s="22" t="inlineStr">
        <is>
          <t>The Casual Enchantment</t>
        </is>
      </c>
      <c r="C1089" s="22" t="inlineStr">
        <is>
          <t>Glamour</t>
        </is>
      </c>
      <c r="D1089" s="22" t="inlineStr">
        <is>
          <t>Bergamot</t>
        </is>
      </c>
      <c r="E1089" s="22" t="inlineStr">
        <is>
          <t>bergamot</t>
        </is>
      </c>
    </row>
    <row r="1090" ht="15" customHeight="1" s="18">
      <c r="A1090" s="22" t="n">
        <v>233</v>
      </c>
      <c r="B1090" s="22" t="inlineStr">
        <is>
          <t>The Casual Enchantment</t>
        </is>
      </c>
      <c r="C1090" s="22" t="inlineStr">
        <is>
          <t>Glamour</t>
        </is>
      </c>
      <c r="D1090" s="22" t="inlineStr">
        <is>
          <t>Rosewater</t>
        </is>
      </c>
      <c r="E1090" s="22" t="inlineStr">
        <is>
          <t>Rosewater</t>
        </is>
      </c>
    </row>
    <row r="1091" ht="15" customHeight="1" s="18">
      <c r="A1091" s="22" t="n">
        <v>234</v>
      </c>
      <c r="B1091" s="22" t="inlineStr">
        <is>
          <t>The Pajama Moon</t>
        </is>
      </c>
      <c r="C1091" s="22" t="inlineStr">
        <is>
          <t>Bath Salt</t>
        </is>
      </c>
      <c r="D1091" s="22" t="inlineStr">
        <is>
          <t>Epsom salt</t>
        </is>
      </c>
      <c r="E1091" s="22" t="inlineStr">
        <is>
          <t>Epsom salt</t>
        </is>
      </c>
    </row>
    <row r="1092" ht="15" customHeight="1" s="18">
      <c r="A1092" s="22" t="n">
        <v>234</v>
      </c>
      <c r="B1092" s="22" t="inlineStr">
        <is>
          <t>The Pajama Moon</t>
        </is>
      </c>
      <c r="C1092" s="22" t="inlineStr">
        <is>
          <t>Bath Salt</t>
        </is>
      </c>
      <c r="D1092" s="22" t="inlineStr">
        <is>
          <t>Lavender</t>
        </is>
      </c>
      <c r="E1092" s="22" t="inlineStr">
        <is>
          <t>lavender</t>
        </is>
      </c>
    </row>
    <row r="1093" ht="15" customHeight="1" s="18">
      <c r="A1093" s="22" t="n">
        <v>234</v>
      </c>
      <c r="B1093" s="22" t="inlineStr">
        <is>
          <t>The Pajama Moon</t>
        </is>
      </c>
      <c r="C1093" s="22" t="inlineStr">
        <is>
          <t>Bath Salt</t>
        </is>
      </c>
      <c r="D1093" s="22" t="inlineStr">
        <is>
          <t>Milk powder</t>
        </is>
      </c>
      <c r="E1093" s="22" t="inlineStr">
        <is>
          <t>milk powder</t>
        </is>
      </c>
    </row>
    <row r="1094" ht="15" customHeight="1" s="18">
      <c r="A1094" s="22" t="n">
        <v>234</v>
      </c>
      <c r="B1094" s="22" t="inlineStr">
        <is>
          <t>The Pajama Moon</t>
        </is>
      </c>
      <c r="C1094" s="22" t="inlineStr">
        <is>
          <t>Bath Salt</t>
        </is>
      </c>
      <c r="D1094" s="22" t="inlineStr">
        <is>
          <t>Vanilla</t>
        </is>
      </c>
      <c r="E1094" s="22" t="inlineStr">
        <is>
          <t>vanilla</t>
        </is>
      </c>
    </row>
    <row r="1095" ht="15" customHeight="1" s="18">
      <c r="A1095" s="22" t="n">
        <v>235</v>
      </c>
      <c r="B1095" s="22" t="inlineStr">
        <is>
          <t>The Sweetness Permission</t>
        </is>
      </c>
      <c r="C1095" s="22" t="inlineStr">
        <is>
          <t>Butter</t>
        </is>
      </c>
      <c r="D1095" s="22" t="inlineStr">
        <is>
          <t>Butter</t>
        </is>
      </c>
      <c r="E1095" s="22" t="inlineStr">
        <is>
          <t>Butter</t>
        </is>
      </c>
    </row>
    <row r="1096" ht="15" customHeight="1" s="18">
      <c r="A1096" s="22" t="n">
        <v>235</v>
      </c>
      <c r="B1096" s="22" t="inlineStr">
        <is>
          <t>The Sweetness Permission</t>
        </is>
      </c>
      <c r="C1096" s="22" t="inlineStr">
        <is>
          <t>Butter</t>
        </is>
      </c>
      <c r="D1096" s="22" t="inlineStr">
        <is>
          <t>Honey</t>
        </is>
      </c>
      <c r="E1096" s="22" t="inlineStr">
        <is>
          <t>honey</t>
        </is>
      </c>
    </row>
    <row r="1097" ht="15" customHeight="1" s="18">
      <c r="A1097" s="22" t="n">
        <v>235</v>
      </c>
      <c r="B1097" s="22" t="inlineStr">
        <is>
          <t>The Sweetness Permission</t>
        </is>
      </c>
      <c r="C1097" s="22" t="inlineStr">
        <is>
          <t>Butter</t>
        </is>
      </c>
      <c r="D1097" s="22" t="inlineStr">
        <is>
          <t>Cinnamon</t>
        </is>
      </c>
      <c r="E1097" s="22" t="inlineStr">
        <is>
          <t>cinnamon</t>
        </is>
      </c>
    </row>
    <row r="1098" ht="15" customHeight="1" s="18">
      <c r="A1098" s="22" t="n">
        <v>235</v>
      </c>
      <c r="B1098" s="22" t="inlineStr">
        <is>
          <t>The Sweetness Permission</t>
        </is>
      </c>
      <c r="C1098" s="22" t="inlineStr">
        <is>
          <t>Butter</t>
        </is>
      </c>
      <c r="D1098" s="22" t="inlineStr">
        <is>
          <t>Cocoa</t>
        </is>
      </c>
      <c r="E1098" s="22" t="inlineStr">
        <is>
          <t>cocoa</t>
        </is>
      </c>
    </row>
    <row r="1099" ht="15" customHeight="1" s="18">
      <c r="A1099" s="22" t="n">
        <v>236</v>
      </c>
      <c r="B1099" s="22" t="inlineStr">
        <is>
          <t>The Next Obsession</t>
        </is>
      </c>
      <c r="C1099" s="22" t="inlineStr">
        <is>
          <t>Potion</t>
        </is>
      </c>
      <c r="D1099" s="22" t="inlineStr">
        <is>
          <t>Sunwater</t>
        </is>
      </c>
      <c r="E1099" s="22" t="inlineStr">
        <is>
          <t>Sunwater</t>
        </is>
      </c>
    </row>
    <row r="1100" ht="15" customHeight="1" s="18">
      <c r="A1100" s="22" t="n">
        <v>236</v>
      </c>
      <c r="B1100" s="22" t="inlineStr">
        <is>
          <t>The Next Obsession</t>
        </is>
      </c>
      <c r="C1100" s="22" t="inlineStr">
        <is>
          <t>Potion</t>
        </is>
      </c>
      <c r="D1100" s="22" t="inlineStr">
        <is>
          <t>Cherry</t>
        </is>
      </c>
      <c r="E1100" s="22" t="inlineStr">
        <is>
          <t>cherry</t>
        </is>
      </c>
    </row>
    <row r="1101" ht="15" customHeight="1" s="18">
      <c r="A1101" s="22" t="n">
        <v>236</v>
      </c>
      <c r="B1101" s="22" t="inlineStr">
        <is>
          <t>The Next Obsession</t>
        </is>
      </c>
      <c r="C1101" s="22" t="inlineStr">
        <is>
          <t>Potion</t>
        </is>
      </c>
      <c r="D1101" s="22" t="inlineStr">
        <is>
          <t>Vanilla</t>
        </is>
      </c>
      <c r="E1101" s="22" t="inlineStr">
        <is>
          <t>vanilla</t>
        </is>
      </c>
    </row>
    <row r="1102" ht="15" customHeight="1" s="18">
      <c r="A1102" s="22" t="n">
        <v>237</v>
      </c>
      <c r="B1102" s="22" t="inlineStr">
        <is>
          <t>The Side-Quest Spark</t>
        </is>
      </c>
      <c r="C1102" s="22" t="inlineStr">
        <is>
          <t>Wand</t>
        </is>
      </c>
      <c r="D1102" s="22" t="inlineStr">
        <is>
          <t>Twig</t>
        </is>
      </c>
      <c r="E1102" s="22" t="inlineStr">
        <is>
          <t>Fallen twig</t>
        </is>
      </c>
    </row>
    <row r="1103" ht="15" customHeight="1" s="18">
      <c r="A1103" s="22" t="n">
        <v>237</v>
      </c>
      <c r="B1103" s="22" t="inlineStr">
        <is>
          <t>The Side-Quest Spark</t>
        </is>
      </c>
      <c r="C1103" s="22" t="inlineStr">
        <is>
          <t>Wand</t>
        </is>
      </c>
      <c r="D1103" s="22" t="inlineStr">
        <is>
          <t>Magpie feather</t>
        </is>
      </c>
      <c r="E1103" s="22" t="inlineStr">
        <is>
          <t>magpie feather</t>
        </is>
      </c>
    </row>
    <row r="1104" ht="15" customHeight="1" s="18">
      <c r="A1104" s="22" t="n">
        <v>237</v>
      </c>
      <c r="B1104" s="22" t="inlineStr">
        <is>
          <t>The Side-Quest Spark</t>
        </is>
      </c>
      <c r="C1104" s="22" t="inlineStr">
        <is>
          <t>Wand</t>
        </is>
      </c>
      <c r="D1104" s="22" t="inlineStr">
        <is>
          <t>Orange thread</t>
        </is>
      </c>
      <c r="E1104" s="22" t="inlineStr">
        <is>
          <t>orange thread</t>
        </is>
      </c>
    </row>
    <row r="1105" ht="15" customHeight="1" s="18">
      <c r="A1105" s="22" t="n">
        <v>238</v>
      </c>
      <c r="B1105" s="22" t="inlineStr">
        <is>
          <t>The Personal Fan Club</t>
        </is>
      </c>
      <c r="C1105" s="22" t="inlineStr">
        <is>
          <t>Balm</t>
        </is>
      </c>
      <c r="D1105" s="22" t="inlineStr">
        <is>
          <t>Shea butter</t>
        </is>
      </c>
      <c r="E1105" s="22" t="inlineStr">
        <is>
          <t>Shea butter</t>
        </is>
      </c>
    </row>
    <row r="1106" ht="15" customHeight="1" s="18">
      <c r="A1106" s="22" t="n">
        <v>238</v>
      </c>
      <c r="B1106" s="22" t="inlineStr">
        <is>
          <t>The Personal Fan Club</t>
        </is>
      </c>
      <c r="C1106" s="22" t="inlineStr">
        <is>
          <t>Balm</t>
        </is>
      </c>
      <c r="D1106" s="22" t="inlineStr">
        <is>
          <t>Strawberry</t>
        </is>
      </c>
      <c r="E1106" s="22" t="inlineStr">
        <is>
          <t>strawberry</t>
        </is>
      </c>
    </row>
    <row r="1107" ht="15" customHeight="1" s="18">
      <c r="A1107" s="22" t="n">
        <v>238</v>
      </c>
      <c r="B1107" s="22" t="inlineStr">
        <is>
          <t>The Personal Fan Club</t>
        </is>
      </c>
      <c r="C1107" s="22" t="inlineStr">
        <is>
          <t>Balm</t>
        </is>
      </c>
      <c r="D1107" s="22" t="inlineStr">
        <is>
          <t>Rose petals</t>
        </is>
      </c>
      <c r="E1107" s="22" t="inlineStr">
        <is>
          <t>rose petals</t>
        </is>
      </c>
    </row>
    <row r="1108" ht="15" customHeight="1" s="18">
      <c r="A1108" s="22" t="n">
        <v>239</v>
      </c>
      <c r="B1108" s="22" t="inlineStr">
        <is>
          <t>The Keepsake Minute</t>
        </is>
      </c>
      <c r="C1108" s="22" t="inlineStr">
        <is>
          <t>Water</t>
        </is>
      </c>
      <c r="D1108" s="22" t="inlineStr">
        <is>
          <t>Web Dew</t>
        </is>
      </c>
      <c r="E1108" s="22" t="inlineStr">
        <is>
          <t>Web Dew</t>
        </is>
      </c>
    </row>
    <row r="1109" ht="15" customHeight="1" s="18">
      <c r="A1109" s="22" t="n">
        <v>239</v>
      </c>
      <c r="B1109" s="22" t="inlineStr">
        <is>
          <t>The Keepsake Minute</t>
        </is>
      </c>
      <c r="C1109" s="22" t="inlineStr">
        <is>
          <t>Water</t>
        </is>
      </c>
      <c r="D1109" s="22" t="inlineStr">
        <is>
          <t>Dawn dew</t>
        </is>
      </c>
      <c r="E1109" s="22" t="inlineStr">
        <is>
          <t>Dawn Dew</t>
        </is>
      </c>
    </row>
    <row r="1110" ht="15" customHeight="1" s="18">
      <c r="A1110" s="22" t="n">
        <v>239</v>
      </c>
      <c r="B1110" s="22" t="inlineStr">
        <is>
          <t>The Keepsake Minute</t>
        </is>
      </c>
      <c r="C1110" s="22" t="inlineStr">
        <is>
          <t>Water</t>
        </is>
      </c>
      <c r="D1110" s="22" t="inlineStr">
        <is>
          <t>Rose petals</t>
        </is>
      </c>
      <c r="E1110" s="22" t="inlineStr">
        <is>
          <t>a single rose petal</t>
        </is>
      </c>
    </row>
    <row r="1111" ht="15" customHeight="1" s="18">
      <c r="A1111" s="22" t="n">
        <v>240</v>
      </c>
      <c r="B1111" s="22" t="inlineStr">
        <is>
          <t>The Glitterbomb Muse</t>
        </is>
      </c>
      <c r="C1111" s="22" t="inlineStr">
        <is>
          <t>Powder</t>
        </is>
      </c>
      <c r="D1111" s="22" t="inlineStr">
        <is>
          <t>Biodegradable glitter</t>
        </is>
      </c>
      <c r="E1111" s="22" t="inlineStr">
        <is>
          <t>Biodegradable glitter</t>
        </is>
      </c>
    </row>
    <row r="1112" ht="15" customHeight="1" s="18">
      <c r="A1112" s="22" t="n">
        <v>240</v>
      </c>
      <c r="B1112" s="22" t="inlineStr">
        <is>
          <t>The Glitterbomb Muse</t>
        </is>
      </c>
      <c r="C1112" s="22" t="inlineStr">
        <is>
          <t>Powder</t>
        </is>
      </c>
      <c r="D1112" s="22" t="inlineStr">
        <is>
          <t>Cinnamon</t>
        </is>
      </c>
      <c r="E1112" s="22" t="inlineStr">
        <is>
          <t>cinnamon</t>
        </is>
      </c>
    </row>
    <row r="1113" ht="15" customHeight="1" s="18">
      <c r="A1113" s="22" t="n">
        <v>240</v>
      </c>
      <c r="B1113" s="22" t="inlineStr">
        <is>
          <t>The Glitterbomb Muse</t>
        </is>
      </c>
      <c r="C1113" s="22" t="inlineStr">
        <is>
          <t>Powder</t>
        </is>
      </c>
      <c r="D1113" s="22" t="inlineStr">
        <is>
          <t>Orange peel</t>
        </is>
      </c>
      <c r="E1113" s="22" t="inlineStr">
        <is>
          <t>orange peel</t>
        </is>
      </c>
    </row>
    <row r="1114" ht="15" customHeight="1" s="18">
      <c r="A1114" s="22" t="n">
        <v>240</v>
      </c>
      <c r="B1114" s="22" t="inlineStr">
        <is>
          <t>The Glitterbomb Muse</t>
        </is>
      </c>
      <c r="C1114" s="22" t="inlineStr">
        <is>
          <t>Powder</t>
        </is>
      </c>
      <c r="D1114" s="22" t="inlineStr">
        <is>
          <t>Carnelian</t>
        </is>
      </c>
      <c r="E1114" s="22" t="inlineStr">
        <is>
          <t>carnelian</t>
        </is>
      </c>
    </row>
  </sheetData>
  <autoFilter ref="A1:E111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2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7" min="1" max="1"/>
    <col width="30" customWidth="1" style="17" min="2" max="3"/>
    <col width="14" customWidth="1" style="17" min="4" max="4"/>
    <col width="12" customWidth="1" style="17" min="5" max="5"/>
    <col width="20" customWidth="1" style="17" min="6" max="6"/>
    <col width="45" customWidth="1" style="17" min="7" max="7"/>
  </cols>
  <sheetData>
    <row r="1" ht="21.75" customHeight="1" s="18">
      <c r="A1" s="26" t="inlineStr">
        <is>
          <t>Spell ID</t>
        </is>
      </c>
      <c r="B1" s="26" t="inlineStr">
        <is>
          <t>Category</t>
        </is>
      </c>
      <c r="C1" s="26" t="inlineStr">
        <is>
          <t>Spell Name</t>
        </is>
      </c>
      <c r="D1" s="26" t="inlineStr">
        <is>
          <t>Spell Type</t>
        </is>
      </c>
      <c r="E1" s="26" t="inlineStr">
        <is>
          <t>Candle</t>
        </is>
      </c>
      <c r="F1" s="26" t="inlineStr">
        <is>
          <t>Tarot</t>
        </is>
      </c>
      <c r="G1" s="26" t="inlineStr">
        <is>
          <t>When</t>
        </is>
      </c>
    </row>
    <row r="2" ht="15" customHeight="1" s="18">
      <c r="A2" s="22" t="n">
        <v>1</v>
      </c>
      <c r="B2" s="22" t="inlineStr">
        <is>
          <t>Love, Romance &amp; Attraction</t>
        </is>
      </c>
      <c r="C2" s="22" t="inlineStr">
        <is>
          <t>Rosewater Reverie</t>
        </is>
      </c>
      <c r="D2" s="22" t="inlineStr">
        <is>
          <t>Potion</t>
        </is>
      </c>
      <c r="E2" s="22" t="inlineStr">
        <is>
          <t>Pink</t>
        </is>
      </c>
      <c r="F2" s="22" t="inlineStr">
        <is>
          <t>The Lovers</t>
        </is>
      </c>
      <c r="G2" s="22" t="inlineStr">
        <is>
          <t>Pink Moon (April full moon)</t>
        </is>
      </c>
    </row>
    <row r="3" ht="15" customHeight="1" s="18">
      <c r="A3" s="22" t="n">
        <v>2</v>
      </c>
      <c r="B3" s="22" t="inlineStr">
        <is>
          <t>Love, Romance &amp; Attraction</t>
        </is>
      </c>
      <c r="C3" s="22" t="inlineStr">
        <is>
          <t>The Velvet Thread</t>
        </is>
      </c>
      <c r="D3" s="22" t="inlineStr">
        <is>
          <t>Charm</t>
        </is>
      </c>
      <c r="E3" s="22" t="inlineStr">
        <is>
          <t>Red</t>
        </is>
      </c>
      <c r="F3" s="22" t="inlineStr">
        <is>
          <t>The Lovers</t>
        </is>
      </c>
      <c r="G3" s="22" t="inlineStr">
        <is>
          <t>Friday · Waxing Crescent</t>
        </is>
      </c>
    </row>
    <row r="4" ht="15" customHeight="1" s="18">
      <c r="A4" s="22" t="n">
        <v>3</v>
      </c>
      <c r="B4" s="22" t="inlineStr">
        <is>
          <t>Love, Romance &amp; Attraction</t>
        </is>
      </c>
      <c r="C4" s="22" t="inlineStr">
        <is>
          <t>Two Hearts, One Hearth</t>
        </is>
      </c>
      <c r="D4" s="22" t="inlineStr">
        <is>
          <t>Spell Bottle</t>
        </is>
      </c>
      <c r="E4" s="22" t="inlineStr">
        <is>
          <t>Pink</t>
        </is>
      </c>
      <c r="F4" s="22" t="inlineStr">
        <is>
          <t>The Lovers</t>
        </is>
      </c>
      <c r="G4" s="22" t="inlineStr">
        <is>
          <t>Monday · Full Moon</t>
        </is>
      </c>
    </row>
    <row r="5" ht="15" customHeight="1" s="18">
      <c r="A5" s="22" t="n">
        <v>4</v>
      </c>
      <c r="B5" s="22" t="inlineStr">
        <is>
          <t>Love, Romance &amp; Attraction</t>
        </is>
      </c>
      <c r="C5" s="22" t="inlineStr">
        <is>
          <t>Ember of Eden</t>
        </is>
      </c>
      <c r="D5" s="22" t="inlineStr">
        <is>
          <t>Oil</t>
        </is>
      </c>
      <c r="E5" s="22" t="inlineStr">
        <is>
          <t>Red</t>
        </is>
      </c>
      <c r="F5" s="22" t="inlineStr">
        <is>
          <t>The Devil</t>
        </is>
      </c>
      <c r="G5" s="22" t="inlineStr">
        <is>
          <t>Tuesday · Full Moon · Sunrise</t>
        </is>
      </c>
    </row>
    <row r="6" ht="15" customHeight="1" s="18">
      <c r="A6" s="22" t="n">
        <v>5</v>
      </c>
      <c r="B6" s="22" t="inlineStr">
        <is>
          <t>Love, Romance &amp; Attraction</t>
        </is>
      </c>
      <c r="C6" s="22" t="inlineStr">
        <is>
          <t>Darling, You're Divine</t>
        </is>
      </c>
      <c r="D6" s="22" t="inlineStr">
        <is>
          <t>Bath Salt</t>
        </is>
      </c>
      <c r="E6" s="22" t="inlineStr">
        <is>
          <t>Pink</t>
        </is>
      </c>
      <c r="F6" s="22" t="inlineStr">
        <is>
          <t>The Star</t>
        </is>
      </c>
      <c r="G6" s="22" t="inlineStr">
        <is>
          <t>Friday</t>
        </is>
      </c>
    </row>
    <row r="7" ht="15" customHeight="1" s="18">
      <c r="A7" s="22" t="n">
        <v>6</v>
      </c>
      <c r="B7" s="22" t="inlineStr">
        <is>
          <t>Love, Romance &amp; Attraction</t>
        </is>
      </c>
      <c r="C7" s="22" t="inlineStr">
        <is>
          <t>Venus in Bloom</t>
        </is>
      </c>
      <c r="D7" s="22" t="inlineStr">
        <is>
          <t>Glamour</t>
        </is>
      </c>
      <c r="E7" s="22" t="inlineStr">
        <is>
          <t>—</t>
        </is>
      </c>
      <c r="F7" s="22" t="inlineStr">
        <is>
          <t>The Empress</t>
        </is>
      </c>
      <c r="G7" s="22" t="inlineStr">
        <is>
          <t>Noon · Beltane</t>
        </is>
      </c>
    </row>
    <row r="8" ht="15" customHeight="1" s="18">
      <c r="A8" s="22" t="n">
        <v>7</v>
      </c>
      <c r="B8" s="22" t="inlineStr">
        <is>
          <t>Love, Romance &amp; Attraction</t>
        </is>
      </c>
      <c r="C8" s="22" t="inlineStr">
        <is>
          <t>The Blushing Star</t>
        </is>
      </c>
      <c r="D8" s="22" t="inlineStr">
        <is>
          <t>Sachet</t>
        </is>
      </c>
      <c r="E8" s="22" t="inlineStr">
        <is>
          <t>Pink</t>
        </is>
      </c>
      <c r="F8" s="22" t="inlineStr">
        <is>
          <t>The Lovers</t>
        </is>
      </c>
      <c r="G8" s="22" t="inlineStr">
        <is>
          <t>Friday · Waxing Crescent</t>
        </is>
      </c>
    </row>
    <row r="9" ht="15" customHeight="1" s="18">
      <c r="A9" s="22" t="n">
        <v>8</v>
      </c>
      <c r="B9" s="22" t="inlineStr">
        <is>
          <t>Love, Romance &amp; Attraction</t>
        </is>
      </c>
      <c r="C9" s="22" t="inlineStr">
        <is>
          <t>Heartspeak</t>
        </is>
      </c>
      <c r="D9" s="22" t="inlineStr">
        <is>
          <t>Tea</t>
        </is>
      </c>
      <c r="E9" s="22" t="inlineStr">
        <is>
          <t>Light blue</t>
        </is>
      </c>
      <c r="F9" s="22" t="inlineStr">
        <is>
          <t>Justice</t>
        </is>
      </c>
      <c r="G9" s="22" t="inlineStr">
        <is>
          <t>Full Moon</t>
        </is>
      </c>
    </row>
    <row r="10" ht="15" customHeight="1" s="18">
      <c r="A10" s="22" t="n">
        <v>9</v>
      </c>
      <c r="B10" s="22" t="inlineStr">
        <is>
          <t>Love, Romance &amp; Attraction</t>
        </is>
      </c>
      <c r="C10" s="22" t="inlineStr">
        <is>
          <t>The Unbinding Rose</t>
        </is>
      </c>
      <c r="D10" s="22" t="inlineStr">
        <is>
          <t>Witch's Ladder</t>
        </is>
      </c>
      <c r="E10" s="22" t="inlineStr">
        <is>
          <t>Black</t>
        </is>
      </c>
      <c r="F10" s="22" t="inlineStr">
        <is>
          <t>Death</t>
        </is>
      </c>
      <c r="G10" s="22" t="inlineStr">
        <is>
          <t>Saturday · Waning Moon · Twilight</t>
        </is>
      </c>
    </row>
    <row r="11" ht="15" customHeight="1" s="18">
      <c r="A11" s="22" t="n">
        <v>10</v>
      </c>
      <c r="B11" s="22" t="inlineStr">
        <is>
          <t>Love, Romance &amp; Attraction</t>
        </is>
      </c>
      <c r="C11" s="22" t="inlineStr">
        <is>
          <t>Petals After Rain</t>
        </is>
      </c>
      <c r="D11" s="22" t="inlineStr">
        <is>
          <t>Balm</t>
        </is>
      </c>
      <c r="E11" s="22" t="inlineStr">
        <is>
          <t>Pink</t>
        </is>
      </c>
      <c r="F11" s="22" t="inlineStr">
        <is>
          <t>Temperance</t>
        </is>
      </c>
      <c r="G11" s="22" t="inlineStr">
        <is>
          <t>Rain · Waning Gibbous</t>
        </is>
      </c>
    </row>
    <row r="12" ht="15" customHeight="1" s="18">
      <c r="A12" s="22" t="n">
        <v>11</v>
      </c>
      <c r="B12" s="22" t="inlineStr">
        <is>
          <t>Love, Romance &amp; Attraction</t>
        </is>
      </c>
      <c r="C12" s="22" t="inlineStr">
        <is>
          <t>Strawberry Moon</t>
        </is>
      </c>
      <c r="D12" s="22" t="inlineStr">
        <is>
          <t>Cookies</t>
        </is>
      </c>
      <c r="E12" s="22" t="inlineStr">
        <is>
          <t>—</t>
        </is>
      </c>
      <c r="F12" s="22" t="inlineStr">
        <is>
          <t>—</t>
        </is>
      </c>
      <c r="G12" s="22" t="inlineStr">
        <is>
          <t>Strawberry Moon (June full moon)</t>
        </is>
      </c>
    </row>
    <row r="13" ht="15" customHeight="1" s="18">
      <c r="A13" s="22" t="n">
        <v>12</v>
      </c>
      <c r="B13" s="22" t="inlineStr">
        <is>
          <t>Love, Romance &amp; Attraction</t>
        </is>
      </c>
      <c r="C13" s="22" t="inlineStr">
        <is>
          <t>The Lover's Mirror</t>
        </is>
      </c>
      <c r="D13" s="22" t="inlineStr">
        <is>
          <t>Hand Mirror</t>
        </is>
      </c>
      <c r="E13" s="22" t="inlineStr">
        <is>
          <t>Pink</t>
        </is>
      </c>
      <c r="F13" s="22" t="inlineStr">
        <is>
          <t>The Empress</t>
        </is>
      </c>
      <c r="G13" s="22" t="inlineStr">
        <is>
          <t>Friday · Full Moon</t>
        </is>
      </c>
    </row>
    <row r="14" ht="15" customHeight="1" s="18">
      <c r="A14" s="22" t="n">
        <v>13</v>
      </c>
      <c r="B14" s="22" t="inlineStr">
        <is>
          <t>Love, Romance &amp; Attraction</t>
        </is>
      </c>
      <c r="C14" s="22" t="inlineStr">
        <is>
          <t>Crimson Kiss</t>
        </is>
      </c>
      <c r="D14" s="22" t="inlineStr">
        <is>
          <t>Powder</t>
        </is>
      </c>
      <c r="E14" s="22" t="inlineStr">
        <is>
          <t>Red</t>
        </is>
      </c>
      <c r="F14" s="22" t="inlineStr">
        <is>
          <t>The Devil</t>
        </is>
      </c>
      <c r="G14" s="22" t="inlineStr">
        <is>
          <t>Beltane</t>
        </is>
      </c>
    </row>
    <row r="15" ht="15" customHeight="1" s="18">
      <c r="A15" s="22" t="n">
        <v>14</v>
      </c>
      <c r="B15" s="22" t="inlineStr">
        <is>
          <t>Love, Romance &amp; Attraction</t>
        </is>
      </c>
      <c r="C15" s="22" t="inlineStr">
        <is>
          <t>The Golden Vow</t>
        </is>
      </c>
      <c r="D15" s="22" t="inlineStr">
        <is>
          <t>Talisman</t>
        </is>
      </c>
      <c r="E15" s="22" t="inlineStr">
        <is>
          <t>Blue</t>
        </is>
      </c>
      <c r="F15" s="22" t="inlineStr">
        <is>
          <t>The Hierophant</t>
        </is>
      </c>
      <c r="G15" s="22" t="inlineStr">
        <is>
          <t>Friday · Full Moon</t>
        </is>
      </c>
    </row>
    <row r="16" ht="15" customHeight="1" s="18">
      <c r="A16" s="22" t="n">
        <v>15</v>
      </c>
      <c r="B16" s="22" t="inlineStr">
        <is>
          <t>Love, Romance &amp; Attraction</t>
        </is>
      </c>
      <c r="C16" s="22" t="inlineStr">
        <is>
          <t>Beloved by Starlight</t>
        </is>
      </c>
      <c r="D16" s="22" t="inlineStr">
        <is>
          <t>Sigil</t>
        </is>
      </c>
      <c r="E16" s="22" t="inlineStr">
        <is>
          <t>Pink</t>
        </is>
      </c>
      <c r="F16" s="22" t="inlineStr">
        <is>
          <t>The Star</t>
        </is>
      </c>
      <c r="G16" s="22" t="inlineStr">
        <is>
          <t>Clear starry night · Full Moon</t>
        </is>
      </c>
    </row>
    <row r="17" ht="15" customHeight="1" s="18">
      <c r="A17" s="22" t="n">
        <v>16</v>
      </c>
      <c r="B17" s="22" t="inlineStr">
        <is>
          <t>Protection, Safety &amp; Boundaries</t>
        </is>
      </c>
      <c r="C17" s="22" t="inlineStr">
        <is>
          <t>The Iron Moon</t>
        </is>
      </c>
      <c r="D17" s="22" t="inlineStr">
        <is>
          <t>Amulet</t>
        </is>
      </c>
      <c r="E17" s="22" t="inlineStr">
        <is>
          <t>White</t>
        </is>
      </c>
      <c r="F17" s="22" t="inlineStr">
        <is>
          <t>The Emperor</t>
        </is>
      </c>
      <c r="G17" s="22" t="inlineStr">
        <is>
          <t>Saturday · Full Moon · Nightfall</t>
        </is>
      </c>
    </row>
    <row r="18" ht="15" customHeight="1" s="18">
      <c r="A18" s="22" t="n">
        <v>17</v>
      </c>
      <c r="B18" s="22" t="inlineStr">
        <is>
          <t>Protection, Safety &amp; Boundaries</t>
        </is>
      </c>
      <c r="C18" s="22" t="inlineStr">
        <is>
          <t>Hearthkeeper's Blessing</t>
        </is>
      </c>
      <c r="D18" s="22" t="inlineStr">
        <is>
          <t>Witch Salt</t>
        </is>
      </c>
      <c r="E18" s="22" t="inlineStr">
        <is>
          <t>Black</t>
        </is>
      </c>
      <c r="F18" s="22" t="inlineStr">
        <is>
          <t>The Emperor</t>
        </is>
      </c>
      <c r="G18" s="22" t="inlineStr">
        <is>
          <t>Saturday · Full Moon</t>
        </is>
      </c>
    </row>
    <row r="19" ht="15" customHeight="1" s="18">
      <c r="A19" s="22" t="n">
        <v>18</v>
      </c>
      <c r="B19" s="22" t="inlineStr">
        <is>
          <t>Protection, Safety &amp; Boundaries</t>
        </is>
      </c>
      <c r="C19" s="22" t="inlineStr">
        <is>
          <t>The Closed Gate</t>
        </is>
      </c>
      <c r="D19" s="22" t="inlineStr">
        <is>
          <t>Sigil</t>
        </is>
      </c>
      <c r="E19" s="22" t="inlineStr">
        <is>
          <t>Black</t>
        </is>
      </c>
      <c r="F19" s="22" t="inlineStr">
        <is>
          <t>—</t>
        </is>
      </c>
      <c r="G19" s="22" t="inlineStr">
        <is>
          <t>Saturday · Dark Moon · Nightfall</t>
        </is>
      </c>
    </row>
    <row r="20" ht="15" customHeight="1" s="18">
      <c r="A20" s="22" t="n">
        <v>19</v>
      </c>
      <c r="B20" s="22" t="inlineStr">
        <is>
          <t>Protection, Safety &amp; Boundaries</t>
        </is>
      </c>
      <c r="C20" s="22" t="inlineStr">
        <is>
          <t>No Further, No Closer</t>
        </is>
      </c>
      <c r="D20" s="22" t="inlineStr">
        <is>
          <t>Wand</t>
        </is>
      </c>
      <c r="E20" s="22" t="inlineStr">
        <is>
          <t>Red</t>
        </is>
      </c>
      <c r="F20" s="22" t="inlineStr">
        <is>
          <t>The Emperor</t>
        </is>
      </c>
      <c r="G20" s="22" t="inlineStr">
        <is>
          <t>Tuesday · Sunrise</t>
        </is>
      </c>
    </row>
    <row r="21" ht="15" customHeight="1" s="18">
      <c r="A21" s="22" t="n">
        <v>20</v>
      </c>
      <c r="B21" s="22" t="inlineStr">
        <is>
          <t>Protection, Safety &amp; Boundaries</t>
        </is>
      </c>
      <c r="C21" s="22" t="inlineStr">
        <is>
          <t>The Unclouded Eye</t>
        </is>
      </c>
      <c r="D21" s="22" t="inlineStr">
        <is>
          <t>Charm</t>
        </is>
      </c>
      <c r="E21" s="22" t="inlineStr">
        <is>
          <t>Blue</t>
        </is>
      </c>
      <c r="F21" s="22" t="inlineStr">
        <is>
          <t>—</t>
        </is>
      </c>
      <c r="G21" s="22" t="inlineStr">
        <is>
          <t>Tuesday</t>
        </is>
      </c>
    </row>
    <row r="22" ht="15" customHeight="1" s="18">
      <c r="A22" s="22" t="n">
        <v>21</v>
      </c>
      <c r="B22" s="22" t="inlineStr">
        <is>
          <t>Protection, Safety &amp; Boundaries</t>
        </is>
      </c>
      <c r="C22" s="22" t="inlineStr">
        <is>
          <t>Wayfarer's Ward</t>
        </is>
      </c>
      <c r="D22" s="22" t="inlineStr">
        <is>
          <t>Talisman</t>
        </is>
      </c>
      <c r="E22" s="22" t="inlineStr">
        <is>
          <t>White</t>
        </is>
      </c>
      <c r="F22" s="22" t="inlineStr">
        <is>
          <t>The Chariot</t>
        </is>
      </c>
      <c r="G22" s="22" t="inlineStr">
        <is>
          <t>Wednesday · Twilight</t>
        </is>
      </c>
    </row>
    <row r="23" ht="15" customHeight="1" s="18">
      <c r="A23" s="22" t="n">
        <v>22</v>
      </c>
      <c r="B23" s="22" t="inlineStr">
        <is>
          <t>Protection, Safety &amp; Boundaries</t>
        </is>
      </c>
      <c r="C23" s="22" t="inlineStr">
        <is>
          <t>The Quiet Exorcism</t>
        </is>
      </c>
      <c r="D23" s="22" t="inlineStr">
        <is>
          <t>Incense</t>
        </is>
      </c>
      <c r="E23" s="22" t="inlineStr">
        <is>
          <t>White</t>
        </is>
      </c>
      <c r="F23" s="22" t="inlineStr">
        <is>
          <t>—</t>
        </is>
      </c>
      <c r="G23" s="22" t="inlineStr">
        <is>
          <t>Waning Moon · Rain</t>
        </is>
      </c>
    </row>
    <row r="24" ht="15" customHeight="1" s="18">
      <c r="A24" s="22" t="n">
        <v>23</v>
      </c>
      <c r="B24" s="22" t="inlineStr">
        <is>
          <t>Protection, Safety &amp; Boundaries</t>
        </is>
      </c>
      <c r="C24" s="22" t="inlineStr">
        <is>
          <t>The Midnight Sentinel</t>
        </is>
      </c>
      <c r="D24" s="22" t="inlineStr">
        <is>
          <t>Sachet</t>
        </is>
      </c>
      <c r="E24" s="22" t="inlineStr">
        <is>
          <t>Lavender</t>
        </is>
      </c>
      <c r="F24" s="22" t="inlineStr">
        <is>
          <t>The Moon</t>
        </is>
      </c>
      <c r="G24" s="22" t="inlineStr">
        <is>
          <t>Monday · Nightfall</t>
        </is>
      </c>
    </row>
    <row r="25" ht="15" customHeight="1" s="18">
      <c r="A25" s="22" t="n">
        <v>24</v>
      </c>
      <c r="B25" s="22" t="inlineStr">
        <is>
          <t>Protection, Safety &amp; Boundaries</t>
        </is>
      </c>
      <c r="C25" s="22" t="inlineStr">
        <is>
          <t>Rooted in Iron</t>
        </is>
      </c>
      <c r="D25" s="22" t="inlineStr">
        <is>
          <t>Rune</t>
        </is>
      </c>
      <c r="E25" s="22" t="inlineStr">
        <is>
          <t>Brown</t>
        </is>
      </c>
      <c r="F25" s="22" t="inlineStr">
        <is>
          <t>The Emperor</t>
        </is>
      </c>
      <c r="G25" s="22" t="inlineStr">
        <is>
          <t>Saturday · after Rain</t>
        </is>
      </c>
    </row>
    <row r="26" ht="15" customHeight="1" s="18">
      <c r="A26" s="22" t="n">
        <v>25</v>
      </c>
      <c r="B26" s="22" t="inlineStr">
        <is>
          <t>Protection, Safety &amp; Boundaries</t>
        </is>
      </c>
      <c r="C26" s="22" t="inlineStr">
        <is>
          <t>The Keeper's Knot</t>
        </is>
      </c>
      <c r="D26" s="22" t="inlineStr">
        <is>
          <t>Witch's Ladder</t>
        </is>
      </c>
      <c r="E26" s="22" t="inlineStr">
        <is>
          <t>Brown</t>
        </is>
      </c>
      <c r="F26" s="22" t="inlineStr">
        <is>
          <t>—</t>
        </is>
      </c>
      <c r="G26" s="22" t="inlineStr">
        <is>
          <t>Beaver Moon (November full moon)</t>
        </is>
      </c>
    </row>
    <row r="27" ht="15" customHeight="1" s="18">
      <c r="A27" s="22" t="n">
        <v>26</v>
      </c>
      <c r="B27" s="22" t="inlineStr">
        <is>
          <t>Protection, Safety &amp; Boundaries</t>
        </is>
      </c>
      <c r="C27" s="22" t="inlineStr">
        <is>
          <t>Sanctuary in Blue</t>
        </is>
      </c>
      <c r="D27" s="22" t="inlineStr">
        <is>
          <t>Water</t>
        </is>
      </c>
      <c r="E27" s="22" t="inlineStr">
        <is>
          <t>Light blue</t>
        </is>
      </c>
      <c r="F27" s="22" t="inlineStr">
        <is>
          <t>Temperance</t>
        </is>
      </c>
      <c r="G27" s="22" t="inlineStr">
        <is>
          <t>Monday · Nightfall</t>
        </is>
      </c>
    </row>
    <row r="28" ht="15" customHeight="1" s="18">
      <c r="A28" s="22" t="n">
        <v>27</v>
      </c>
      <c r="B28" s="22" t="inlineStr">
        <is>
          <t>Protection, Safety &amp; Boundaries</t>
        </is>
      </c>
      <c r="C28" s="22" t="inlineStr">
        <is>
          <t>The Silver Cocoon</t>
        </is>
      </c>
      <c r="D28" s="22" t="inlineStr">
        <is>
          <t>Soap</t>
        </is>
      </c>
      <c r="E28" s="22" t="inlineStr">
        <is>
          <t>Silver</t>
        </is>
      </c>
      <c r="F28" s="22" t="inlineStr">
        <is>
          <t>The Hermit</t>
        </is>
      </c>
      <c r="G28" s="22" t="inlineStr">
        <is>
          <t>Full Moon</t>
        </is>
      </c>
    </row>
    <row r="29" ht="15" customHeight="1" s="18">
      <c r="A29" s="22" t="n">
        <v>28</v>
      </c>
      <c r="B29" s="22" t="inlineStr">
        <is>
          <t>Protection, Safety &amp; Boundaries</t>
        </is>
      </c>
      <c r="C29" s="22" t="inlineStr">
        <is>
          <t>The First Circle</t>
        </is>
      </c>
      <c r="D29" s="22" t="inlineStr">
        <is>
          <t>Powder</t>
        </is>
      </c>
      <c r="E29" s="22" t="inlineStr">
        <is>
          <t>White</t>
        </is>
      </c>
      <c r="F29" s="22" t="inlineStr">
        <is>
          <t>Judgement</t>
        </is>
      </c>
      <c r="G29" s="22" t="inlineStr">
        <is>
          <t>Sunrise · New Moon</t>
        </is>
      </c>
    </row>
    <row r="30" ht="15" customHeight="1" s="18">
      <c r="A30" s="22" t="n">
        <v>29</v>
      </c>
      <c r="B30" s="22" t="inlineStr">
        <is>
          <t>Protection, Safety &amp; Boundaries</t>
        </is>
      </c>
      <c r="C30" s="22" t="inlineStr">
        <is>
          <t>The Unbroken Quill</t>
        </is>
      </c>
      <c r="D30" s="22" t="inlineStr">
        <is>
          <t>Spell Bottle</t>
        </is>
      </c>
      <c r="E30" s="22" t="inlineStr">
        <is>
          <t>Black</t>
        </is>
      </c>
      <c r="F30" s="22" t="inlineStr">
        <is>
          <t>The Magician</t>
        </is>
      </c>
      <c r="G30" s="22" t="inlineStr">
        <is>
          <t>Wednesday · Nightfall</t>
        </is>
      </c>
    </row>
    <row r="31" ht="15" customHeight="1" s="18">
      <c r="A31" s="22" t="n">
        <v>30</v>
      </c>
      <c r="B31" s="22" t="inlineStr">
        <is>
          <t>Protection, Safety &amp; Boundaries</t>
        </is>
      </c>
      <c r="C31" s="22" t="inlineStr">
        <is>
          <t>The Hearth's Gentle Flame</t>
        </is>
      </c>
      <c r="D31" s="22" t="inlineStr">
        <is>
          <t>Butter</t>
        </is>
      </c>
      <c r="E31" s="22" t="inlineStr">
        <is>
          <t>Brown</t>
        </is>
      </c>
      <c r="F31" s="22" t="inlineStr">
        <is>
          <t>The Lovers</t>
        </is>
      </c>
      <c r="G31" s="22" t="inlineStr">
        <is>
          <t>Imbolc</t>
        </is>
      </c>
    </row>
    <row r="32" ht="15" customHeight="1" s="18">
      <c r="A32" s="22" t="n">
        <v>31</v>
      </c>
      <c r="B32" s="22" t="inlineStr">
        <is>
          <t>Luck, Prosperity &amp; Abundance</t>
        </is>
      </c>
      <c r="C32" s="22" t="inlineStr">
        <is>
          <t>Cloverkiss</t>
        </is>
      </c>
      <c r="D32" s="22" t="inlineStr">
        <is>
          <t>Potion</t>
        </is>
      </c>
      <c r="E32" s="22" t="inlineStr">
        <is>
          <t>Green</t>
        </is>
      </c>
      <c r="F32" s="22" t="inlineStr">
        <is>
          <t>Wheel of Fortune</t>
        </is>
      </c>
      <c r="G32" s="22" t="inlineStr">
        <is>
          <t>Thursday</t>
        </is>
      </c>
    </row>
    <row r="33" ht="15" customHeight="1" s="18">
      <c r="A33" s="22" t="n">
        <v>32</v>
      </c>
      <c r="B33" s="22" t="inlineStr">
        <is>
          <t>Luck, Prosperity &amp; Abundance</t>
        </is>
      </c>
      <c r="C33" s="22" t="inlineStr">
        <is>
          <t>The Gilded Orchard</t>
        </is>
      </c>
      <c r="D33" s="22" t="inlineStr">
        <is>
          <t>Oil</t>
        </is>
      </c>
      <c r="E33" s="22" t="inlineStr">
        <is>
          <t>Gold</t>
        </is>
      </c>
      <c r="F33" s="22" t="inlineStr">
        <is>
          <t>The Magician</t>
        </is>
      </c>
      <c r="G33" s="22" t="inlineStr">
        <is>
          <t>Thursday · Waxing Gibbous · Noon</t>
        </is>
      </c>
    </row>
    <row r="34" ht="15" customHeight="1" s="18">
      <c r="A34" s="22" t="n">
        <v>33</v>
      </c>
      <c r="B34" s="22" t="inlineStr">
        <is>
          <t>Luck, Prosperity &amp; Abundance</t>
        </is>
      </c>
      <c r="C34" s="22" t="inlineStr">
        <is>
          <t>Key to the Golden Hour</t>
        </is>
      </c>
      <c r="D34" s="22" t="inlineStr">
        <is>
          <t>Amulet</t>
        </is>
      </c>
      <c r="E34" s="22" t="inlineStr">
        <is>
          <t>Green</t>
        </is>
      </c>
      <c r="F34" s="22" t="inlineStr">
        <is>
          <t>Wheel of Fortune</t>
        </is>
      </c>
      <c r="G34" s="22" t="inlineStr">
        <is>
          <t>Thursday · Sunrise</t>
        </is>
      </c>
    </row>
    <row r="35" ht="15" customHeight="1" s="18">
      <c r="A35" s="22" t="n">
        <v>34</v>
      </c>
      <c r="B35" s="22" t="inlineStr">
        <is>
          <t>Luck, Prosperity &amp; Abundance</t>
        </is>
      </c>
      <c r="C35" s="22" t="inlineStr">
        <is>
          <t>The Crowned Path</t>
        </is>
      </c>
      <c r="D35" s="22" t="inlineStr">
        <is>
          <t>Rune</t>
        </is>
      </c>
      <c r="E35" s="22" t="inlineStr">
        <is>
          <t>Gold</t>
        </is>
      </c>
      <c r="F35" s="22" t="inlineStr">
        <is>
          <t>The Chariot</t>
        </is>
      </c>
      <c r="G35" s="22" t="inlineStr">
        <is>
          <t>Thursday · Sunrise</t>
        </is>
      </c>
    </row>
    <row r="36" ht="15" customHeight="1" s="18">
      <c r="A36" s="22" t="n">
        <v>35</v>
      </c>
      <c r="B36" s="22" t="inlineStr">
        <is>
          <t>Luck, Prosperity &amp; Abundance</t>
        </is>
      </c>
      <c r="C36" s="22" t="inlineStr">
        <is>
          <t>The Open Invitation</t>
        </is>
      </c>
      <c r="D36" s="22" t="inlineStr">
        <is>
          <t>Spell Bottle</t>
        </is>
      </c>
      <c r="E36" s="22" t="inlineStr">
        <is>
          <t>Green</t>
        </is>
      </c>
      <c r="F36" s="22" t="inlineStr">
        <is>
          <t>Wheel of Fortune</t>
        </is>
      </c>
      <c r="G36" s="22" t="inlineStr">
        <is>
          <t>Thursday · Waxing Gibbous</t>
        </is>
      </c>
    </row>
    <row r="37" ht="15" customHeight="1" s="18">
      <c r="A37" s="22" t="n">
        <v>36</v>
      </c>
      <c r="B37" s="22" t="inlineStr">
        <is>
          <t>Luck, Prosperity &amp; Abundance</t>
        </is>
      </c>
      <c r="C37" s="22" t="inlineStr">
        <is>
          <t>Fortune Favors the Bold</t>
        </is>
      </c>
      <c r="D37" s="22" t="inlineStr">
        <is>
          <t>Tonic</t>
        </is>
      </c>
      <c r="E37" s="22" t="inlineStr">
        <is>
          <t>Gold</t>
        </is>
      </c>
      <c r="F37" s="22" t="inlineStr">
        <is>
          <t>The Chariot</t>
        </is>
      </c>
      <c r="G37" s="22" t="inlineStr">
        <is>
          <t>Sunday · Sunrise</t>
        </is>
      </c>
    </row>
    <row r="38" ht="15" customHeight="1" s="18">
      <c r="A38" s="22" t="n">
        <v>37</v>
      </c>
      <c r="B38" s="22" t="inlineStr">
        <is>
          <t>Luck, Prosperity &amp; Abundance</t>
        </is>
      </c>
      <c r="C38" s="22" t="inlineStr">
        <is>
          <t>The Abundance Garden</t>
        </is>
      </c>
      <c r="D38" s="22" t="inlineStr">
        <is>
          <t>Tea</t>
        </is>
      </c>
      <c r="E38" s="22" t="inlineStr">
        <is>
          <t>Green</t>
        </is>
      </c>
      <c r="F38" s="22" t="inlineStr">
        <is>
          <t>The Empress</t>
        </is>
      </c>
      <c r="G38" s="22" t="inlineStr">
        <is>
          <t>Thursday · Waxing Moon</t>
        </is>
      </c>
    </row>
    <row r="39" ht="15" customHeight="1" s="18">
      <c r="A39" s="22" t="n">
        <v>38</v>
      </c>
      <c r="B39" s="22" t="inlineStr">
        <is>
          <t>Luck, Prosperity &amp; Abundance</t>
        </is>
      </c>
      <c r="C39" s="22" t="inlineStr">
        <is>
          <t>Lucky Little Things</t>
        </is>
      </c>
      <c r="D39" s="22" t="inlineStr">
        <is>
          <t>Cookies</t>
        </is>
      </c>
      <c r="E39" s="22" t="inlineStr">
        <is>
          <t>—</t>
        </is>
      </c>
      <c r="F39" s="22" t="inlineStr">
        <is>
          <t>—</t>
        </is>
      </c>
      <c r="G39" s="22" t="inlineStr">
        <is>
          <t>Rainbow (rare event) · Thursday</t>
        </is>
      </c>
    </row>
    <row r="40" ht="15" customHeight="1" s="18">
      <c r="A40" s="22" t="n">
        <v>39</v>
      </c>
      <c r="B40" s="22" t="inlineStr">
        <is>
          <t>Luck, Prosperity &amp; Abundance</t>
        </is>
      </c>
      <c r="C40" s="22" t="inlineStr">
        <is>
          <t>The Wheel Turns</t>
        </is>
      </c>
      <c r="D40" s="22" t="inlineStr">
        <is>
          <t>Wand</t>
        </is>
      </c>
      <c r="E40" s="22" t="inlineStr">
        <is>
          <t>Orange</t>
        </is>
      </c>
      <c r="F40" s="22" t="inlineStr">
        <is>
          <t>Wheel of Fortune</t>
        </is>
      </c>
      <c r="G40" s="22" t="inlineStr">
        <is>
          <t>Windy</t>
        </is>
      </c>
    </row>
    <row r="41" ht="15" customHeight="1" s="18">
      <c r="A41" s="22" t="n">
        <v>40</v>
      </c>
      <c r="B41" s="22" t="inlineStr">
        <is>
          <t>Luck, Prosperity &amp; Abundance</t>
        </is>
      </c>
      <c r="C41" s="22" t="inlineStr">
        <is>
          <t>The Giving Star</t>
        </is>
      </c>
      <c r="D41" s="22" t="inlineStr">
        <is>
          <t>Charm</t>
        </is>
      </c>
      <c r="E41" s="22" t="inlineStr">
        <is>
          <t>Green</t>
        </is>
      </c>
      <c r="F41" s="22" t="inlineStr">
        <is>
          <t>The Empress</t>
        </is>
      </c>
      <c r="G41" s="22" t="inlineStr">
        <is>
          <t>Harvest Moon (September full moon)</t>
        </is>
      </c>
    </row>
    <row r="42" ht="15" customHeight="1" s="18">
      <c r="A42" s="22" t="n">
        <v>41</v>
      </c>
      <c r="B42" s="22" t="inlineStr">
        <is>
          <t>Luck, Prosperity &amp; Abundance</t>
        </is>
      </c>
      <c r="C42" s="22" t="inlineStr">
        <is>
          <t>The Midas Muse</t>
        </is>
      </c>
      <c r="D42" s="22" t="inlineStr">
        <is>
          <t>Glamour</t>
        </is>
      </c>
      <c r="E42" s="22" t="inlineStr">
        <is>
          <t>Gold</t>
        </is>
      </c>
      <c r="F42" s="22" t="inlineStr">
        <is>
          <t>The Magician</t>
        </is>
      </c>
      <c r="G42" s="22" t="inlineStr">
        <is>
          <t>Sunday · Noon · Clear &amp; sunny</t>
        </is>
      </c>
    </row>
    <row r="43" ht="15" customHeight="1" s="18">
      <c r="A43" s="22" t="n">
        <v>42</v>
      </c>
      <c r="B43" s="22" t="inlineStr">
        <is>
          <t>Luck, Prosperity &amp; Abundance</t>
        </is>
      </c>
      <c r="C43" s="22" t="inlineStr">
        <is>
          <t>The Golden Nest</t>
        </is>
      </c>
      <c r="D43" s="22" t="inlineStr">
        <is>
          <t>Witch Salt</t>
        </is>
      </c>
      <c r="E43" s="22" t="inlineStr">
        <is>
          <t>Brown</t>
        </is>
      </c>
      <c r="F43" s="22" t="inlineStr">
        <is>
          <t>The Emperor</t>
        </is>
      </c>
      <c r="G43" s="22" t="inlineStr">
        <is>
          <t>Saturday</t>
        </is>
      </c>
    </row>
    <row r="44" ht="15" customHeight="1" s="18">
      <c r="A44" s="22" t="n">
        <v>43</v>
      </c>
      <c r="B44" s="22" t="inlineStr">
        <is>
          <t>Luck, Prosperity &amp; Abundance</t>
        </is>
      </c>
      <c r="C44" s="22" t="inlineStr">
        <is>
          <t>The Fortune Finder</t>
        </is>
      </c>
      <c r="D44" s="22" t="inlineStr">
        <is>
          <t>Hand Mirror</t>
        </is>
      </c>
      <c r="E44" s="22" t="inlineStr">
        <is>
          <t>Purple</t>
        </is>
      </c>
      <c r="F44" s="22" t="inlineStr">
        <is>
          <t>Wheel of Fortune</t>
        </is>
      </c>
      <c r="G44" s="22" t="inlineStr">
        <is>
          <t>Monday · Nightfall</t>
        </is>
      </c>
    </row>
    <row r="45" ht="15" customHeight="1" s="18">
      <c r="A45" s="22" t="n">
        <v>44</v>
      </c>
      <c r="B45" s="22" t="inlineStr">
        <is>
          <t>Luck, Prosperity &amp; Abundance</t>
        </is>
      </c>
      <c r="C45" s="22" t="inlineStr">
        <is>
          <t>Champagne Stardust</t>
        </is>
      </c>
      <c r="D45" s="22" t="inlineStr">
        <is>
          <t>Bath Salt</t>
        </is>
      </c>
      <c r="E45" s="22" t="inlineStr">
        <is>
          <t>Gold</t>
        </is>
      </c>
      <c r="F45" s="22" t="inlineStr">
        <is>
          <t>The Sun</t>
        </is>
      </c>
      <c r="G45" s="22" t="inlineStr">
        <is>
          <t>Sunday · Full Moon</t>
        </is>
      </c>
    </row>
    <row r="46" ht="15" customHeight="1" s="18">
      <c r="A46" s="22" t="n">
        <v>45</v>
      </c>
      <c r="B46" s="22" t="inlineStr">
        <is>
          <t>Luck, Prosperity &amp; Abundance</t>
        </is>
      </c>
      <c r="C46" s="22" t="inlineStr">
        <is>
          <t>The Honeyed Hearth</t>
        </is>
      </c>
      <c r="D46" s="22" t="inlineStr">
        <is>
          <t>Sachet</t>
        </is>
      </c>
      <c r="E46" s="22" t="inlineStr">
        <is>
          <t>Brown</t>
        </is>
      </c>
      <c r="F46" s="22" t="inlineStr">
        <is>
          <t>The Empress</t>
        </is>
      </c>
      <c r="G46" s="22" t="inlineStr">
        <is>
          <t>Lughnasadh</t>
        </is>
      </c>
    </row>
    <row r="47" ht="15" customHeight="1" s="18">
      <c r="A47" s="22" t="n">
        <v>46</v>
      </c>
      <c r="B47" s="22" t="inlineStr">
        <is>
          <t>Confidence, Beauty &amp; Glamour</t>
        </is>
      </c>
      <c r="C47" s="22" t="inlineStr">
        <is>
          <t>The Unshaken Flame</t>
        </is>
      </c>
      <c r="D47" s="22" t="inlineStr">
        <is>
          <t>Balm</t>
        </is>
      </c>
      <c r="E47" s="22" t="inlineStr">
        <is>
          <t>Orange</t>
        </is>
      </c>
      <c r="F47" s="22" t="inlineStr">
        <is>
          <t>Strength</t>
        </is>
      </c>
      <c r="G47" s="22" t="inlineStr">
        <is>
          <t>Buck Moon (July full moon)</t>
        </is>
      </c>
    </row>
    <row r="48" ht="15" customHeight="1" s="18">
      <c r="A48" s="22" t="n">
        <v>47</v>
      </c>
      <c r="B48" s="22" t="inlineStr">
        <is>
          <t>Confidence, Beauty &amp; Glamour</t>
        </is>
      </c>
      <c r="C48" s="22" t="inlineStr">
        <is>
          <t>Mirror of Aphrodite</t>
        </is>
      </c>
      <c r="D48" s="22" t="inlineStr">
        <is>
          <t>Hand Mirror</t>
        </is>
      </c>
      <c r="E48" s="22" t="inlineStr">
        <is>
          <t>Pink</t>
        </is>
      </c>
      <c r="F48" s="22" t="inlineStr">
        <is>
          <t>The Empress</t>
        </is>
      </c>
      <c r="G48" s="22" t="inlineStr">
        <is>
          <t>Friday · Full Moon</t>
        </is>
      </c>
    </row>
    <row r="49" ht="15" customHeight="1" s="18">
      <c r="A49" s="22" t="n">
        <v>48</v>
      </c>
      <c r="B49" s="22" t="inlineStr">
        <is>
          <t>Confidence, Beauty &amp; Glamour</t>
        </is>
      </c>
      <c r="C49" s="22" t="inlineStr">
        <is>
          <t>Starlit Siren</t>
        </is>
      </c>
      <c r="D49" s="22" t="inlineStr">
        <is>
          <t>Glamour</t>
        </is>
      </c>
      <c r="E49" s="22" t="inlineStr">
        <is>
          <t>Gold</t>
        </is>
      </c>
      <c r="F49" s="22" t="inlineStr">
        <is>
          <t>The Devil</t>
        </is>
      </c>
      <c r="G49" s="22" t="inlineStr">
        <is>
          <t>Friday · Waxing Crescent · Noon</t>
        </is>
      </c>
    </row>
    <row r="50" ht="15" customHeight="1" s="18">
      <c r="A50" s="22" t="n">
        <v>49</v>
      </c>
      <c r="B50" s="22" t="inlineStr">
        <is>
          <t>Confidence, Beauty &amp; Glamour</t>
        </is>
      </c>
      <c r="C50" s="22" t="inlineStr">
        <is>
          <t>The Unmasked Self</t>
        </is>
      </c>
      <c r="D50" s="22" t="inlineStr">
        <is>
          <t>Sigil</t>
        </is>
      </c>
      <c r="E50" s="22" t="inlineStr">
        <is>
          <t>Blue</t>
        </is>
      </c>
      <c r="F50" s="22" t="inlineStr">
        <is>
          <t>The Sun</t>
        </is>
      </c>
      <c r="G50" s="22" t="inlineStr">
        <is>
          <t>Any time</t>
        </is>
      </c>
    </row>
    <row r="51" ht="15" customHeight="1" s="18">
      <c r="A51" s="22" t="n">
        <v>50</v>
      </c>
      <c r="B51" s="22" t="inlineStr">
        <is>
          <t>Confidence, Beauty &amp; Glamour</t>
        </is>
      </c>
      <c r="C51" s="22" t="inlineStr">
        <is>
          <t>The Scarlet Entrance</t>
        </is>
      </c>
      <c r="D51" s="22" t="inlineStr">
        <is>
          <t>Oil</t>
        </is>
      </c>
      <c r="E51" s="22" t="inlineStr">
        <is>
          <t>Red</t>
        </is>
      </c>
      <c r="F51" s="22" t="inlineStr">
        <is>
          <t>Strength</t>
        </is>
      </c>
      <c r="G51" s="22" t="inlineStr">
        <is>
          <t>Tuesday · Waxing Moon</t>
        </is>
      </c>
    </row>
    <row r="52" ht="15" customHeight="1" s="18">
      <c r="A52" s="22" t="n">
        <v>51</v>
      </c>
      <c r="B52" s="22" t="inlineStr">
        <is>
          <t>Confidence, Beauty &amp; Glamour</t>
        </is>
      </c>
      <c r="C52" s="22" t="inlineStr">
        <is>
          <t>One of a Kind</t>
        </is>
      </c>
      <c r="D52" s="22" t="inlineStr">
        <is>
          <t>Rune</t>
        </is>
      </c>
      <c r="E52" s="22" t="inlineStr">
        <is>
          <t>Purple</t>
        </is>
      </c>
      <c r="F52" s="22" t="inlineStr">
        <is>
          <t>The Star</t>
        </is>
      </c>
      <c r="G52" s="22" t="inlineStr">
        <is>
          <t>Blue Moon (rare)</t>
        </is>
      </c>
    </row>
    <row r="53" ht="15" customHeight="1" s="18">
      <c r="A53" s="22" t="n">
        <v>52</v>
      </c>
      <c r="B53" s="22" t="inlineStr">
        <is>
          <t>Confidence, Beauty &amp; Glamour</t>
        </is>
      </c>
      <c r="C53" s="22" t="inlineStr">
        <is>
          <t>Swanlight</t>
        </is>
      </c>
      <c r="D53" s="22" t="inlineStr">
        <is>
          <t>Soap</t>
        </is>
      </c>
      <c r="E53" s="22" t="inlineStr">
        <is>
          <t>White</t>
        </is>
      </c>
      <c r="F53" s="22" t="inlineStr">
        <is>
          <t>Temperance</t>
        </is>
      </c>
      <c r="G53" s="22" t="inlineStr">
        <is>
          <t>Monday · Snow</t>
        </is>
      </c>
    </row>
    <row r="54" ht="15" customHeight="1" s="18">
      <c r="A54" s="22" t="n">
        <v>53</v>
      </c>
      <c r="B54" s="22" t="inlineStr">
        <is>
          <t>Confidence, Beauty &amp; Glamour</t>
        </is>
      </c>
      <c r="C54" s="22" t="inlineStr">
        <is>
          <t>The Enchanted Wardrobe</t>
        </is>
      </c>
      <c r="D54" s="22" t="inlineStr">
        <is>
          <t>Charm</t>
        </is>
      </c>
      <c r="E54" s="22" t="inlineStr">
        <is>
          <t>Orange</t>
        </is>
      </c>
      <c r="F54" s="22" t="inlineStr">
        <is>
          <t>The Magician</t>
        </is>
      </c>
      <c r="G54" s="22" t="inlineStr">
        <is>
          <t>Friday · Noon</t>
        </is>
      </c>
    </row>
    <row r="55" ht="15" customHeight="1" s="18">
      <c r="A55" s="22" t="n">
        <v>54</v>
      </c>
      <c r="B55" s="22" t="inlineStr">
        <is>
          <t>Confidence, Beauty &amp; Glamour</t>
        </is>
      </c>
      <c r="C55" s="22" t="inlineStr">
        <is>
          <t>The Only Moon</t>
        </is>
      </c>
      <c r="D55" s="22" t="inlineStr">
        <is>
          <t>Witch's Ladder</t>
        </is>
      </c>
      <c r="E55" s="22" t="inlineStr">
        <is>
          <t>Silver</t>
        </is>
      </c>
      <c r="F55" s="22" t="inlineStr">
        <is>
          <t>The Hanged Man</t>
        </is>
      </c>
      <c r="G55" s="22" t="inlineStr">
        <is>
          <t>Monday · Waning Moon · Twilight</t>
        </is>
      </c>
    </row>
    <row r="56" ht="15" customHeight="1" s="18">
      <c r="A56" s="22" t="n">
        <v>55</v>
      </c>
      <c r="B56" s="22" t="inlineStr">
        <is>
          <t>Confidence, Beauty &amp; Glamour</t>
        </is>
      </c>
      <c r="C56" s="22" t="inlineStr">
        <is>
          <t>Celestial Spotlight</t>
        </is>
      </c>
      <c r="D56" s="22" t="inlineStr">
        <is>
          <t>Powder</t>
        </is>
      </c>
      <c r="E56" s="22" t="inlineStr">
        <is>
          <t>Gold</t>
        </is>
      </c>
      <c r="F56" s="22" t="inlineStr">
        <is>
          <t>The Sun</t>
        </is>
      </c>
      <c r="G56" s="22" t="inlineStr">
        <is>
          <t>Sunday · Noon</t>
        </is>
      </c>
    </row>
    <row r="57" ht="15" customHeight="1" s="18">
      <c r="A57" s="22" t="n">
        <v>56</v>
      </c>
      <c r="B57" s="22" t="inlineStr">
        <is>
          <t>Confidence, Beauty &amp; Glamour</t>
        </is>
      </c>
      <c r="C57" s="22" t="inlineStr">
        <is>
          <t>The Spotlight Bloom</t>
        </is>
      </c>
      <c r="D57" s="22" t="inlineStr">
        <is>
          <t>Potion</t>
        </is>
      </c>
      <c r="E57" s="22" t="inlineStr">
        <is>
          <t>Red</t>
        </is>
      </c>
      <c r="F57" s="22" t="inlineStr">
        <is>
          <t>Strength</t>
        </is>
      </c>
      <c r="G57" s="22" t="inlineStr">
        <is>
          <t>Ostara · Sunrise</t>
        </is>
      </c>
    </row>
    <row r="58" ht="15" customHeight="1" s="18">
      <c r="A58" s="22" t="n">
        <v>57</v>
      </c>
      <c r="B58" s="22" t="inlineStr">
        <is>
          <t>Confidence, Beauty &amp; Glamour</t>
        </is>
      </c>
      <c r="C58" s="22" t="inlineStr">
        <is>
          <t>The Living Portrait</t>
        </is>
      </c>
      <c r="D58" s="22" t="inlineStr">
        <is>
          <t>Talisman</t>
        </is>
      </c>
      <c r="E58" s="22" t="inlineStr">
        <is>
          <t>Purple</t>
        </is>
      </c>
      <c r="F58" s="22" t="inlineStr">
        <is>
          <t>The Hanged Man</t>
        </is>
      </c>
      <c r="G58" s="22" t="inlineStr">
        <is>
          <t>Friday</t>
        </is>
      </c>
    </row>
    <row r="59" ht="15" customHeight="1" s="18">
      <c r="A59" s="22" t="n">
        <v>58</v>
      </c>
      <c r="B59" s="22" t="inlineStr">
        <is>
          <t>Confidence, Beauty &amp; Glamour</t>
        </is>
      </c>
      <c r="C59" s="22" t="inlineStr">
        <is>
          <t>The Velvet Tongue</t>
        </is>
      </c>
      <c r="D59" s="22" t="inlineStr">
        <is>
          <t>Tea</t>
        </is>
      </c>
      <c r="E59" s="22" t="inlineStr">
        <is>
          <t>Light blue</t>
        </is>
      </c>
      <c r="F59" s="22" t="inlineStr">
        <is>
          <t>Strength</t>
        </is>
      </c>
      <c r="G59" s="22" t="inlineStr">
        <is>
          <t>Wednesday · Noon</t>
        </is>
      </c>
    </row>
    <row r="60" ht="15" customHeight="1" s="18">
      <c r="A60" s="22" t="n">
        <v>59</v>
      </c>
      <c r="B60" s="22" t="inlineStr">
        <is>
          <t>Confidence, Beauty &amp; Glamour</t>
        </is>
      </c>
      <c r="C60" s="22" t="inlineStr">
        <is>
          <t>Midnight Satin</t>
        </is>
      </c>
      <c r="D60" s="22" t="inlineStr">
        <is>
          <t>Sachet</t>
        </is>
      </c>
      <c r="E60" s="22" t="inlineStr">
        <is>
          <t>Purple</t>
        </is>
      </c>
      <c r="F60" s="22" t="inlineStr">
        <is>
          <t>The High Priestess</t>
        </is>
      </c>
      <c r="G60" s="22" t="inlineStr">
        <is>
          <t>Friday · Dark Moon · Nightfall</t>
        </is>
      </c>
    </row>
    <row r="61" ht="15" customHeight="1" s="18">
      <c r="A61" s="22" t="n">
        <v>60</v>
      </c>
      <c r="B61" s="22" t="inlineStr">
        <is>
          <t>Confidence, Beauty &amp; Glamour</t>
        </is>
      </c>
      <c r="C61" s="22" t="inlineStr">
        <is>
          <t>A Body Made of Stars</t>
        </is>
      </c>
      <c r="D61" s="22" t="inlineStr">
        <is>
          <t>Bath Salt</t>
        </is>
      </c>
      <c r="E61" s="22" t="inlineStr">
        <is>
          <t>Purple</t>
        </is>
      </c>
      <c r="F61" s="22" t="inlineStr">
        <is>
          <t>The Star</t>
        </is>
      </c>
      <c r="G61" s="22" t="inlineStr">
        <is>
          <t>Clear starry night · Full Moon</t>
        </is>
      </c>
    </row>
    <row r="62" ht="15" customHeight="1" s="18">
      <c r="A62" s="22" t="n">
        <v>61</v>
      </c>
      <c r="B62" s="22" t="inlineStr">
        <is>
          <t>Friendship, Community &amp; Social Life</t>
        </is>
      </c>
      <c r="C62" s="22" t="inlineStr">
        <is>
          <t>The Wildflower Circle</t>
        </is>
      </c>
      <c r="D62" s="22" t="inlineStr">
        <is>
          <t>Sachet</t>
        </is>
      </c>
      <c r="E62" s="22" t="inlineStr">
        <is>
          <t>Pink</t>
        </is>
      </c>
      <c r="F62" s="22" t="inlineStr">
        <is>
          <t>The Devil</t>
        </is>
      </c>
      <c r="G62" s="22" t="inlineStr">
        <is>
          <t>Ostara</t>
        </is>
      </c>
    </row>
    <row r="63" ht="15" customHeight="1" s="18">
      <c r="A63" s="22" t="n">
        <v>62</v>
      </c>
      <c r="B63" s="22" t="inlineStr">
        <is>
          <t>Friendship, Community &amp; Social Life</t>
        </is>
      </c>
      <c r="C63" s="22" t="inlineStr">
        <is>
          <t>The Unbreakable Braid</t>
        </is>
      </c>
      <c r="D63" s="22" t="inlineStr">
        <is>
          <t>Witch's Ladder</t>
        </is>
      </c>
      <c r="E63" s="22" t="inlineStr">
        <is>
          <t>Pink</t>
        </is>
      </c>
      <c r="F63" s="22" t="inlineStr">
        <is>
          <t>The Hierophant</t>
        </is>
      </c>
      <c r="G63" s="22" t="inlineStr">
        <is>
          <t>Friday · Full Moon</t>
        </is>
      </c>
    </row>
    <row r="64" ht="15" customHeight="1" s="18">
      <c r="A64" s="22" t="n">
        <v>63</v>
      </c>
      <c r="B64" s="22" t="inlineStr">
        <is>
          <t>Friendship, Community &amp; Social Life</t>
        </is>
      </c>
      <c r="C64" s="22" t="inlineStr">
        <is>
          <t>Constellation Calling</t>
        </is>
      </c>
      <c r="D64" s="22" t="inlineStr">
        <is>
          <t>Spell Bottle</t>
        </is>
      </c>
      <c r="E64" s="22" t="inlineStr">
        <is>
          <t>Purple</t>
        </is>
      </c>
      <c r="F64" s="22" t="inlineStr">
        <is>
          <t>The Star</t>
        </is>
      </c>
      <c r="G64" s="22" t="inlineStr">
        <is>
          <t>Clear starry night · Full Moon</t>
        </is>
      </c>
    </row>
    <row r="65" ht="15" customHeight="1" s="18">
      <c r="A65" s="22" t="n">
        <v>64</v>
      </c>
      <c r="B65" s="22" t="inlineStr">
        <is>
          <t>Friendship, Community &amp; Social Life</t>
        </is>
      </c>
      <c r="C65" s="22" t="inlineStr">
        <is>
          <t>The Open Lantern</t>
        </is>
      </c>
      <c r="D65" s="22" t="inlineStr">
        <is>
          <t>Tonic</t>
        </is>
      </c>
      <c r="E65" s="22" t="inlineStr">
        <is>
          <t>Light blue</t>
        </is>
      </c>
      <c r="F65" s="22" t="inlineStr">
        <is>
          <t>Strength</t>
        </is>
      </c>
      <c r="G65" s="22" t="inlineStr">
        <is>
          <t>Monday · Sunrise</t>
        </is>
      </c>
    </row>
    <row r="66" ht="15" customHeight="1" s="18">
      <c r="A66" s="22" t="n">
        <v>65</v>
      </c>
      <c r="B66" s="22" t="inlineStr">
        <is>
          <t>Friendship, Community &amp; Social Life</t>
        </is>
      </c>
      <c r="C66" s="22" t="inlineStr">
        <is>
          <t>Words Like Honey</t>
        </is>
      </c>
      <c r="D66" s="22" t="inlineStr">
        <is>
          <t>Tea</t>
        </is>
      </c>
      <c r="E66" s="22" t="inlineStr">
        <is>
          <t>Light blue</t>
        </is>
      </c>
      <c r="F66" s="22" t="inlineStr">
        <is>
          <t>The Lovers</t>
        </is>
      </c>
      <c r="G66" s="22" t="inlineStr">
        <is>
          <t>Wednesday</t>
        </is>
      </c>
    </row>
    <row r="67" ht="15" customHeight="1" s="18">
      <c r="A67" s="22" t="n">
        <v>66</v>
      </c>
      <c r="B67" s="22" t="inlineStr">
        <is>
          <t>Friendship, Community &amp; Social Life</t>
        </is>
      </c>
      <c r="C67" s="22" t="inlineStr">
        <is>
          <t>The Silver Bridge</t>
        </is>
      </c>
      <c r="D67" s="22" t="inlineStr">
        <is>
          <t>Water</t>
        </is>
      </c>
      <c r="E67" s="22" t="inlineStr">
        <is>
          <t>Light blue</t>
        </is>
      </c>
      <c r="F67" s="22" t="inlineStr">
        <is>
          <t>Temperance</t>
        </is>
      </c>
      <c r="G67" s="22" t="inlineStr">
        <is>
          <t>after Rain</t>
        </is>
      </c>
    </row>
    <row r="68" ht="15" customHeight="1" s="18">
      <c r="A68" s="22" t="n">
        <v>67</v>
      </c>
      <c r="B68" s="22" t="inlineStr">
        <is>
          <t>Friendship, Community &amp; Social Life</t>
        </is>
      </c>
      <c r="C68" s="22" t="inlineStr">
        <is>
          <t>The Kindred Spark</t>
        </is>
      </c>
      <c r="D68" s="22" t="inlineStr">
        <is>
          <t>Charm</t>
        </is>
      </c>
      <c r="E68" s="22" t="inlineStr">
        <is>
          <t>Orange</t>
        </is>
      </c>
      <c r="F68" s="22" t="inlineStr">
        <is>
          <t>The Magician</t>
        </is>
      </c>
      <c r="G68" s="22" t="inlineStr">
        <is>
          <t>Friday</t>
        </is>
      </c>
    </row>
    <row r="69" ht="15" customHeight="1" s="18">
      <c r="A69" s="22" t="n">
        <v>68</v>
      </c>
      <c r="B69" s="22" t="inlineStr">
        <is>
          <t>Friendship, Community &amp; Social Life</t>
        </is>
      </c>
      <c r="C69" s="22" t="inlineStr">
        <is>
          <t>A Thousand Little Lights</t>
        </is>
      </c>
      <c r="D69" s="22" t="inlineStr">
        <is>
          <t>Incense</t>
        </is>
      </c>
      <c r="E69" s="22" t="inlineStr">
        <is>
          <t>Yellow</t>
        </is>
      </c>
      <c r="F69" s="22" t="inlineStr">
        <is>
          <t>The Lovers</t>
        </is>
      </c>
      <c r="G69" s="22" t="inlineStr">
        <is>
          <t>Yule</t>
        </is>
      </c>
    </row>
    <row r="70" ht="15" customHeight="1" s="18">
      <c r="A70" s="22" t="n">
        <v>69</v>
      </c>
      <c r="B70" s="22" t="inlineStr">
        <is>
          <t>Friendship, Community &amp; Social Life</t>
        </is>
      </c>
      <c r="C70" s="22" t="inlineStr">
        <is>
          <t>Company of the Moon</t>
        </is>
      </c>
      <c r="D70" s="22" t="inlineStr">
        <is>
          <t>Potion</t>
        </is>
      </c>
      <c r="E70" s="22" t="inlineStr">
        <is>
          <t>Silver</t>
        </is>
      </c>
      <c r="F70" s="22" t="inlineStr">
        <is>
          <t>The World</t>
        </is>
      </c>
      <c r="G70" s="22" t="inlineStr">
        <is>
          <t>Friday</t>
        </is>
      </c>
    </row>
    <row r="71" ht="15" customHeight="1" s="18">
      <c r="A71" s="22" t="n">
        <v>70</v>
      </c>
      <c r="B71" s="22" t="inlineStr">
        <is>
          <t>Friendship, Community &amp; Social Life</t>
        </is>
      </c>
      <c r="C71" s="22" t="inlineStr">
        <is>
          <t>The Empty Chair</t>
        </is>
      </c>
      <c r="D71" s="22" t="inlineStr">
        <is>
          <t>Poppet</t>
        </is>
      </c>
      <c r="E71" s="22" t="inlineStr">
        <is>
          <t>Grey</t>
        </is>
      </c>
      <c r="F71" s="22" t="inlineStr">
        <is>
          <t>Death</t>
        </is>
      </c>
      <c r="G71" s="22" t="inlineStr">
        <is>
          <t>Saturday · Waning Moon</t>
        </is>
      </c>
    </row>
    <row r="72" ht="15" customHeight="1" s="18">
      <c r="A72" s="22" t="n">
        <v>71</v>
      </c>
      <c r="B72" s="22" t="inlineStr">
        <is>
          <t>Friendship, Community &amp; Social Life</t>
        </is>
      </c>
      <c r="C72" s="22" t="inlineStr">
        <is>
          <t>The Woven Village</t>
        </is>
      </c>
      <c r="D72" s="22" t="inlineStr">
        <is>
          <t>Talisman</t>
        </is>
      </c>
      <c r="E72" s="22" t="inlineStr">
        <is>
          <t>Silver</t>
        </is>
      </c>
      <c r="F72" s="22" t="inlineStr">
        <is>
          <t>The Hierophant</t>
        </is>
      </c>
      <c r="G72" s="22" t="inlineStr">
        <is>
          <t>Mabon</t>
        </is>
      </c>
    </row>
    <row r="73" ht="15" customHeight="1" s="18">
      <c r="A73" s="22" t="n">
        <v>72</v>
      </c>
      <c r="B73" s="22" t="inlineStr">
        <is>
          <t>Friendship, Community &amp; Social Life</t>
        </is>
      </c>
      <c r="C73" s="22" t="inlineStr">
        <is>
          <t>The Open Doorbell</t>
        </is>
      </c>
      <c r="D73" s="22" t="inlineStr">
        <is>
          <t>Cookies</t>
        </is>
      </c>
      <c r="E73" s="22" t="inlineStr">
        <is>
          <t>—</t>
        </is>
      </c>
      <c r="F73" s="22" t="inlineStr">
        <is>
          <t>—</t>
        </is>
      </c>
      <c r="G73" s="22" t="inlineStr">
        <is>
          <t>Friday · Clear &amp; sunny</t>
        </is>
      </c>
    </row>
    <row r="74" ht="15" customHeight="1" s="18">
      <c r="A74" s="22" t="n">
        <v>73</v>
      </c>
      <c r="B74" s="22" t="inlineStr">
        <is>
          <t>Friendship, Community &amp; Social Life</t>
        </is>
      </c>
      <c r="C74" s="22" t="inlineStr">
        <is>
          <t>The Gentle No</t>
        </is>
      </c>
      <c r="D74" s="22" t="inlineStr">
        <is>
          <t>Soap</t>
        </is>
      </c>
      <c r="E74" s="22" t="inlineStr">
        <is>
          <t>—</t>
        </is>
      </c>
      <c r="F74" s="22" t="inlineStr">
        <is>
          <t>Justice</t>
        </is>
      </c>
      <c r="G74" s="22" t="inlineStr">
        <is>
          <t>Saturday · Waning Moon</t>
        </is>
      </c>
    </row>
    <row r="75" ht="15" customHeight="1" s="18">
      <c r="A75" s="22" t="n">
        <v>74</v>
      </c>
      <c r="B75" s="22" t="inlineStr">
        <is>
          <t>Friendship, Community &amp; Social Life</t>
        </is>
      </c>
      <c r="C75" s="22" t="inlineStr">
        <is>
          <t>The Listening Shell</t>
        </is>
      </c>
      <c r="D75" s="22" t="inlineStr">
        <is>
          <t>Amulet</t>
        </is>
      </c>
      <c r="E75" s="22" t="inlineStr">
        <is>
          <t>Light blue</t>
        </is>
      </c>
      <c r="F75" s="22" t="inlineStr">
        <is>
          <t>The High Priestess</t>
        </is>
      </c>
      <c r="G75" s="22" t="inlineStr">
        <is>
          <t>Monday · New Moon</t>
        </is>
      </c>
    </row>
    <row r="76" ht="15" customHeight="1" s="18">
      <c r="A76" s="22" t="n">
        <v>75</v>
      </c>
      <c r="B76" s="22" t="inlineStr">
        <is>
          <t>Friendship, Community &amp; Social Life</t>
        </is>
      </c>
      <c r="C76" s="22" t="inlineStr">
        <is>
          <t>The Honeybee Feast</t>
        </is>
      </c>
      <c r="D76" s="22" t="inlineStr">
        <is>
          <t>Butter</t>
        </is>
      </c>
      <c r="E76" s="22" t="inlineStr">
        <is>
          <t>Yellow</t>
        </is>
      </c>
      <c r="F76" s="22" t="inlineStr">
        <is>
          <t>The Sun</t>
        </is>
      </c>
      <c r="G76" s="22" t="inlineStr">
        <is>
          <t>Litha</t>
        </is>
      </c>
    </row>
    <row r="77" ht="15" customHeight="1" s="18">
      <c r="A77" s="22" t="n">
        <v>76</v>
      </c>
      <c r="B77" s="22" t="inlineStr">
        <is>
          <t>Career, Creativity &amp; Personal Projects</t>
        </is>
      </c>
      <c r="C77" s="22" t="inlineStr">
        <is>
          <t>The Muse Unlocked</t>
        </is>
      </c>
      <c r="D77" s="22" t="inlineStr">
        <is>
          <t>Incense</t>
        </is>
      </c>
      <c r="E77" s="22" t="inlineStr">
        <is>
          <t>Orange</t>
        </is>
      </c>
      <c r="F77" s="22" t="inlineStr">
        <is>
          <t>The Fool</t>
        </is>
      </c>
      <c r="G77" s="22" t="inlineStr">
        <is>
          <t>Waxing Crescent</t>
        </is>
      </c>
    </row>
    <row r="78" ht="15" customHeight="1" s="18">
      <c r="A78" s="22" t="n">
        <v>77</v>
      </c>
      <c r="B78" s="22" t="inlineStr">
        <is>
          <t>Career, Creativity &amp; Personal Projects</t>
        </is>
      </c>
      <c r="C78" s="22" t="inlineStr">
        <is>
          <t>Brainstorm Stardust</t>
        </is>
      </c>
      <c r="D78" s="22" t="inlineStr">
        <is>
          <t>Powder</t>
        </is>
      </c>
      <c r="E78" s="22" t="inlineStr">
        <is>
          <t>Yellow</t>
        </is>
      </c>
      <c r="F78" s="22" t="inlineStr">
        <is>
          <t>The Magician</t>
        </is>
      </c>
      <c r="G78" s="22" t="inlineStr">
        <is>
          <t>Thunderstorm</t>
        </is>
      </c>
    </row>
    <row r="79" ht="15" customHeight="1" s="18">
      <c r="A79" s="22" t="n">
        <v>78</v>
      </c>
      <c r="B79" s="22" t="inlineStr">
        <is>
          <t>Career, Creativity &amp; Personal Projects</t>
        </is>
      </c>
      <c r="C79" s="22" t="inlineStr">
        <is>
          <t>The Final Golden Stitch</t>
        </is>
      </c>
      <c r="D79" s="22" t="inlineStr">
        <is>
          <t>Witch's Ladder</t>
        </is>
      </c>
      <c r="E79" s="22" t="inlineStr">
        <is>
          <t>Gold</t>
        </is>
      </c>
      <c r="F79" s="22" t="inlineStr">
        <is>
          <t>The World</t>
        </is>
      </c>
      <c r="G79" s="22" t="inlineStr">
        <is>
          <t>Saturday · Full Moon</t>
        </is>
      </c>
    </row>
    <row r="80" ht="15" customHeight="1" s="18">
      <c r="A80" s="22" t="n">
        <v>79</v>
      </c>
      <c r="B80" s="22" t="inlineStr">
        <is>
          <t>Career, Creativity &amp; Personal Projects</t>
        </is>
      </c>
      <c r="C80" s="22" t="inlineStr">
        <is>
          <t>The Unwritten Universe</t>
        </is>
      </c>
      <c r="D80" s="22" t="inlineStr">
        <is>
          <t>Wand</t>
        </is>
      </c>
      <c r="E80" s="22" t="inlineStr">
        <is>
          <t>Purple</t>
        </is>
      </c>
      <c r="F80" s="22" t="inlineStr">
        <is>
          <t>The Moon</t>
        </is>
      </c>
      <c r="G80" s="22" t="inlineStr">
        <is>
          <t>New Moon · Nightfall</t>
        </is>
      </c>
    </row>
    <row r="81" ht="15" customHeight="1" s="18">
      <c r="A81" s="22" t="n">
        <v>80</v>
      </c>
      <c r="B81" s="22" t="inlineStr">
        <is>
          <t>Career, Creativity &amp; Personal Projects</t>
        </is>
      </c>
      <c r="C81" s="22" t="inlineStr">
        <is>
          <t>The Open Studio</t>
        </is>
      </c>
      <c r="D81" s="22" t="inlineStr">
        <is>
          <t>Spell Bottle</t>
        </is>
      </c>
      <c r="E81" s="22" t="inlineStr">
        <is>
          <t>Green</t>
        </is>
      </c>
      <c r="F81" s="22" t="inlineStr">
        <is>
          <t>The Magician</t>
        </is>
      </c>
      <c r="G81" s="22" t="inlineStr">
        <is>
          <t>Thursday</t>
        </is>
      </c>
    </row>
    <row r="82" ht="15" customHeight="1" s="18">
      <c r="A82" s="22" t="n">
        <v>81</v>
      </c>
      <c r="B82" s="22" t="inlineStr">
        <is>
          <t>Career, Creativity &amp; Personal Projects</t>
        </is>
      </c>
      <c r="C82" s="22" t="inlineStr">
        <is>
          <t>The Clockwork Moon</t>
        </is>
      </c>
      <c r="D82" s="22" t="inlineStr">
        <is>
          <t>Talisman</t>
        </is>
      </c>
      <c r="E82" s="22" t="inlineStr">
        <is>
          <t>Brown</t>
        </is>
      </c>
      <c r="F82" s="22" t="inlineStr">
        <is>
          <t>The Emperor</t>
        </is>
      </c>
      <c r="G82" s="22" t="inlineStr">
        <is>
          <t>Wednesday</t>
        </is>
      </c>
    </row>
    <row r="83" ht="15" customHeight="1" s="18">
      <c r="A83" s="22" t="n">
        <v>82</v>
      </c>
      <c r="B83" s="22" t="inlineStr">
        <is>
          <t>Career, Creativity &amp; Personal Projects</t>
        </is>
      </c>
      <c r="C83" s="22" t="inlineStr">
        <is>
          <t>The Clear Quartz Hour</t>
        </is>
      </c>
      <c r="D83" s="22" t="inlineStr">
        <is>
          <t>Potion</t>
        </is>
      </c>
      <c r="E83" s="22" t="inlineStr">
        <is>
          <t>Blue</t>
        </is>
      </c>
      <c r="F83" s="22" t="inlineStr">
        <is>
          <t>The Tower</t>
        </is>
      </c>
      <c r="G83" s="22" t="inlineStr">
        <is>
          <t>Wednesday · Noon · Clear &amp; sunny</t>
        </is>
      </c>
    </row>
    <row r="84" ht="15" customHeight="1" s="18">
      <c r="A84" s="22" t="n">
        <v>83</v>
      </c>
      <c r="B84" s="22" t="inlineStr">
        <is>
          <t>Career, Creativity &amp; Personal Projects</t>
        </is>
      </c>
      <c r="C84" s="22" t="inlineStr">
        <is>
          <t>The Gallery of Becoming</t>
        </is>
      </c>
      <c r="D84" s="22" t="inlineStr">
        <is>
          <t>Sigil</t>
        </is>
      </c>
      <c r="E84" s="22" t="inlineStr">
        <is>
          <t>Gold</t>
        </is>
      </c>
      <c r="F84" s="22" t="inlineStr">
        <is>
          <t>The World</t>
        </is>
      </c>
      <c r="G84" s="22" t="inlineStr">
        <is>
          <t>Sunday · Full Moon</t>
        </is>
      </c>
    </row>
    <row r="85" ht="15" customHeight="1" s="18">
      <c r="A85" s="22" t="n">
        <v>84</v>
      </c>
      <c r="B85" s="22" t="inlineStr">
        <is>
          <t>Career, Creativity &amp; Personal Projects</t>
        </is>
      </c>
      <c r="C85" s="22" t="inlineStr">
        <is>
          <t>The Artist's Entrance</t>
        </is>
      </c>
      <c r="D85" s="22" t="inlineStr">
        <is>
          <t>Glamour</t>
        </is>
      </c>
      <c r="E85" s="22" t="inlineStr">
        <is>
          <t>Orange</t>
        </is>
      </c>
      <c r="F85" s="22" t="inlineStr">
        <is>
          <t>Strength</t>
        </is>
      </c>
      <c r="G85" s="22" t="inlineStr">
        <is>
          <t>Sunday · Sunrise</t>
        </is>
      </c>
    </row>
    <row r="86" ht="15" customHeight="1" s="18">
      <c r="A86" s="22" t="n">
        <v>85</v>
      </c>
      <c r="B86" s="22" t="inlineStr">
        <is>
          <t>Career, Creativity &amp; Personal Projects</t>
        </is>
      </c>
      <c r="C86" s="22" t="inlineStr">
        <is>
          <t>First Spark, First Flame</t>
        </is>
      </c>
      <c r="D86" s="22" t="inlineStr">
        <is>
          <t>Rune</t>
        </is>
      </c>
      <c r="E86" s="22" t="inlineStr">
        <is>
          <t>Red</t>
        </is>
      </c>
      <c r="F86" s="22" t="inlineStr">
        <is>
          <t>The Fool</t>
        </is>
      </c>
      <c r="G86" s="22" t="inlineStr">
        <is>
          <t>Imbolc · Sunrise</t>
        </is>
      </c>
    </row>
    <row r="87" ht="15" customHeight="1" s="18">
      <c r="A87" s="22" t="n">
        <v>86</v>
      </c>
      <c r="B87" s="22" t="inlineStr">
        <is>
          <t>Career, Creativity &amp; Personal Projects</t>
        </is>
      </c>
      <c r="C87" s="22" t="inlineStr">
        <is>
          <t>The Owl's Lantern</t>
        </is>
      </c>
      <c r="D87" s="22" t="inlineStr">
        <is>
          <t>Tea</t>
        </is>
      </c>
      <c r="E87" s="22" t="inlineStr">
        <is>
          <t>Yellow</t>
        </is>
      </c>
      <c r="F87" s="22" t="inlineStr">
        <is>
          <t>The Hierophant</t>
        </is>
      </c>
      <c r="G87" s="22" t="inlineStr">
        <is>
          <t>Wednesday</t>
        </is>
      </c>
    </row>
    <row r="88" ht="15" customHeight="1" s="18">
      <c r="A88" s="22" t="n">
        <v>87</v>
      </c>
      <c r="B88" s="22" t="inlineStr">
        <is>
          <t>Career, Creativity &amp; Personal Projects</t>
        </is>
      </c>
      <c r="C88" s="22" t="inlineStr">
        <is>
          <t>The Fool's Golden Star</t>
        </is>
      </c>
      <c r="D88" s="22" t="inlineStr">
        <is>
          <t>Amulet</t>
        </is>
      </c>
      <c r="E88" s="22" t="inlineStr">
        <is>
          <t>Red</t>
        </is>
      </c>
      <c r="F88" s="22" t="inlineStr">
        <is>
          <t>The Fool</t>
        </is>
      </c>
      <c r="G88" s="22" t="inlineStr">
        <is>
          <t>New Moon · Sunrise</t>
        </is>
      </c>
    </row>
    <row r="89" ht="15" customHeight="1" s="18">
      <c r="A89" s="22" t="n">
        <v>88</v>
      </c>
      <c r="B89" s="22" t="inlineStr">
        <is>
          <t>Career, Creativity &amp; Personal Projects</t>
        </is>
      </c>
      <c r="C89" s="22" t="inlineStr">
        <is>
          <t>The Guiding Thread</t>
        </is>
      </c>
      <c r="D89" s="22" t="inlineStr">
        <is>
          <t>Charm</t>
        </is>
      </c>
      <c r="E89" s="22" t="inlineStr">
        <is>
          <t>Blue</t>
        </is>
      </c>
      <c r="F89" s="22" t="inlineStr">
        <is>
          <t>The Hermit</t>
        </is>
      </c>
      <c r="G89" s="22" t="inlineStr">
        <is>
          <t>Monday</t>
        </is>
      </c>
    </row>
    <row r="90" ht="15" customHeight="1" s="18">
      <c r="A90" s="22" t="n">
        <v>89</v>
      </c>
      <c r="B90" s="22" t="inlineStr">
        <is>
          <t>Career, Creativity &amp; Personal Projects</t>
        </is>
      </c>
      <c r="C90" s="22" t="inlineStr">
        <is>
          <t>Done Is Enchanted</t>
        </is>
      </c>
      <c r="D90" s="22" t="inlineStr">
        <is>
          <t>Balm</t>
        </is>
      </c>
      <c r="E90" s="22" t="inlineStr">
        <is>
          <t>Lavender</t>
        </is>
      </c>
      <c r="F90" s="22" t="inlineStr">
        <is>
          <t>The Hanged Man</t>
        </is>
      </c>
      <c r="G90" s="22" t="inlineStr">
        <is>
          <t>Saturday · Waning Moon</t>
        </is>
      </c>
    </row>
    <row r="91" ht="15" customHeight="1" s="18">
      <c r="A91" s="22" t="n">
        <v>90</v>
      </c>
      <c r="B91" s="22" t="inlineStr">
        <is>
          <t>Career, Creativity &amp; Personal Projects</t>
        </is>
      </c>
      <c r="C91" s="22" t="inlineStr">
        <is>
          <t>The Pocket-Sized Triumph</t>
        </is>
      </c>
      <c r="D91" s="22" t="inlineStr">
        <is>
          <t>Cookies</t>
        </is>
      </c>
      <c r="E91" s="22" t="inlineStr">
        <is>
          <t>—</t>
        </is>
      </c>
      <c r="F91" s="22" t="inlineStr">
        <is>
          <t>—</t>
        </is>
      </c>
      <c r="G91" s="22" t="inlineStr">
        <is>
          <t>Twilight</t>
        </is>
      </c>
    </row>
    <row r="92" ht="15" customHeight="1" s="18">
      <c r="A92" s="22" t="n">
        <v>91</v>
      </c>
      <c r="B92" s="22" t="inlineStr">
        <is>
          <t>Peace, Healing &amp; Emotional Balance</t>
        </is>
      </c>
      <c r="C92" s="22" t="inlineStr">
        <is>
          <t>Stillwater Sanctuary</t>
        </is>
      </c>
      <c r="D92" s="22" t="inlineStr">
        <is>
          <t>Water</t>
        </is>
      </c>
      <c r="E92" s="22" t="inlineStr">
        <is>
          <t>Blue</t>
        </is>
      </c>
      <c r="F92" s="22" t="inlineStr">
        <is>
          <t>Temperance</t>
        </is>
      </c>
      <c r="G92" s="22" t="inlineStr">
        <is>
          <t>Snow Moon (February full moon)</t>
        </is>
      </c>
    </row>
    <row r="93" ht="15" customHeight="1" s="18">
      <c r="A93" s="22" t="n">
        <v>92</v>
      </c>
      <c r="B93" s="22" t="inlineStr">
        <is>
          <t>Peace, Healing &amp; Emotional Balance</t>
        </is>
      </c>
      <c r="C93" s="22" t="inlineStr">
        <is>
          <t>Raincloud Release</t>
        </is>
      </c>
      <c r="D93" s="22" t="inlineStr">
        <is>
          <t>Bath Salt</t>
        </is>
      </c>
      <c r="E93" s="22" t="inlineStr">
        <is>
          <t>Grey</t>
        </is>
      </c>
      <c r="F93" s="22" t="inlineStr">
        <is>
          <t>Judgement</t>
        </is>
      </c>
      <c r="G93" s="22" t="inlineStr">
        <is>
          <t>Rain · Waning Moon</t>
        </is>
      </c>
    </row>
    <row r="94" ht="15" customHeight="1" s="18">
      <c r="A94" s="22" t="n">
        <v>93</v>
      </c>
      <c r="B94" s="22" t="inlineStr">
        <is>
          <t>Peace, Healing &amp; Emotional Balance</t>
        </is>
      </c>
      <c r="C94" s="22" t="inlineStr">
        <is>
          <t>The Bitterroot Unbound</t>
        </is>
      </c>
      <c r="D94" s="22" t="inlineStr">
        <is>
          <t>Oil</t>
        </is>
      </c>
      <c r="E94" s="22" t="inlineStr">
        <is>
          <t>Black</t>
        </is>
      </c>
      <c r="F94" s="22" t="inlineStr">
        <is>
          <t>Death</t>
        </is>
      </c>
      <c r="G94" s="22" t="inlineStr">
        <is>
          <t>Saturday · Waning Moon</t>
        </is>
      </c>
    </row>
    <row r="95" ht="15" customHeight="1" s="18">
      <c r="A95" s="22" t="n">
        <v>94</v>
      </c>
      <c r="B95" s="22" t="inlineStr">
        <is>
          <t>Peace, Healing &amp; Emotional Balance</t>
        </is>
      </c>
      <c r="C95" s="22" t="inlineStr">
        <is>
          <t>The Mercy Garden</t>
        </is>
      </c>
      <c r="D95" s="22" t="inlineStr">
        <is>
          <t>Balm</t>
        </is>
      </c>
      <c r="E95" s="22" t="inlineStr">
        <is>
          <t>Pink</t>
        </is>
      </c>
      <c r="F95" s="22" t="inlineStr">
        <is>
          <t>Judgement</t>
        </is>
      </c>
      <c r="G95" s="22" t="inlineStr">
        <is>
          <t>Saturday · Waning Gibbous</t>
        </is>
      </c>
    </row>
    <row r="96" ht="15" customHeight="1" s="18">
      <c r="A96" s="22" t="n">
        <v>95</v>
      </c>
      <c r="B96" s="22" t="inlineStr">
        <is>
          <t>Peace, Healing &amp; Emotional Balance</t>
        </is>
      </c>
      <c r="C96" s="22" t="inlineStr">
        <is>
          <t>Lavender Hour</t>
        </is>
      </c>
      <c r="D96" s="22" t="inlineStr">
        <is>
          <t>Tea</t>
        </is>
      </c>
      <c r="E96" s="22" t="inlineStr">
        <is>
          <t>Lavender</t>
        </is>
      </c>
      <c r="F96" s="22" t="inlineStr">
        <is>
          <t>The Hermit</t>
        </is>
      </c>
      <c r="G96" s="22" t="inlineStr">
        <is>
          <t>Nightfall</t>
        </is>
      </c>
    </row>
    <row r="97" ht="15" customHeight="1" s="18">
      <c r="A97" s="22" t="n">
        <v>96</v>
      </c>
      <c r="B97" s="22" t="inlineStr">
        <is>
          <t>Peace, Healing &amp; Emotional Balance</t>
        </is>
      </c>
      <c r="C97" s="22" t="inlineStr">
        <is>
          <t>The Last Candle</t>
        </is>
      </c>
      <c r="D97" s="22" t="inlineStr">
        <is>
          <t>Incense</t>
        </is>
      </c>
      <c r="E97" s="22" t="inlineStr">
        <is>
          <t>White</t>
        </is>
      </c>
      <c r="F97" s="22" t="inlineStr">
        <is>
          <t>—</t>
        </is>
      </c>
      <c r="G97" s="22" t="inlineStr">
        <is>
          <t>Nightfall</t>
        </is>
      </c>
    </row>
    <row r="98" ht="15" customHeight="1" s="18">
      <c r="A98" s="22" t="n">
        <v>97</v>
      </c>
      <c r="B98" s="22" t="inlineStr">
        <is>
          <t>Peace, Healing &amp; Emotional Balance</t>
        </is>
      </c>
      <c r="C98" s="22" t="inlineStr">
        <is>
          <t>The Earth Remembers</t>
        </is>
      </c>
      <c r="D98" s="22" t="inlineStr">
        <is>
          <t>Witch Salt</t>
        </is>
      </c>
      <c r="E98" s="22" t="inlineStr">
        <is>
          <t>Brown</t>
        </is>
      </c>
      <c r="F98" s="22" t="inlineStr">
        <is>
          <t>The Emperor</t>
        </is>
      </c>
      <c r="G98" s="22" t="inlineStr">
        <is>
          <t>Saturday · after Rain</t>
        </is>
      </c>
    </row>
    <row r="99" ht="15" customHeight="1" s="18">
      <c r="A99" s="22" t="n">
        <v>98</v>
      </c>
      <c r="B99" s="22" t="inlineStr">
        <is>
          <t>Peace, Healing &amp; Emotional Balance</t>
        </is>
      </c>
      <c r="C99" s="22" t="inlineStr">
        <is>
          <t>The Soft Return</t>
        </is>
      </c>
      <c r="D99" s="22" t="inlineStr">
        <is>
          <t>Soap</t>
        </is>
      </c>
      <c r="E99" s="22" t="inlineStr">
        <is>
          <t>—</t>
        </is>
      </c>
      <c r="F99" s="22" t="inlineStr">
        <is>
          <t>—</t>
        </is>
      </c>
      <c r="G99" s="22" t="inlineStr">
        <is>
          <t>Nightfall</t>
        </is>
      </c>
    </row>
    <row r="100" ht="15" customHeight="1" s="18">
      <c r="A100" s="22" t="n">
        <v>99</v>
      </c>
      <c r="B100" s="22" t="inlineStr">
        <is>
          <t>Peace, Healing &amp; Emotional Balance</t>
        </is>
      </c>
      <c r="C100" s="22" t="inlineStr">
        <is>
          <t>The Open Palm</t>
        </is>
      </c>
      <c r="D100" s="22" t="inlineStr">
        <is>
          <t>Rune</t>
        </is>
      </c>
      <c r="E100" s="22" t="inlineStr">
        <is>
          <t>White</t>
        </is>
      </c>
      <c r="F100" s="22" t="inlineStr">
        <is>
          <t>The Hanged Man</t>
        </is>
      </c>
      <c r="G100" s="22" t="inlineStr">
        <is>
          <t>Saturday · Waning Moon</t>
        </is>
      </c>
    </row>
    <row r="101" ht="15" customHeight="1" s="18">
      <c r="A101" s="22" t="n">
        <v>100</v>
      </c>
      <c r="B101" s="22" t="inlineStr">
        <is>
          <t>Peace, Healing &amp; Emotional Balance</t>
        </is>
      </c>
      <c r="C101" s="22" t="inlineStr">
        <is>
          <t>The Unwritten Page</t>
        </is>
      </c>
      <c r="D101" s="22" t="inlineStr">
        <is>
          <t>Poppet</t>
        </is>
      </c>
      <c r="E101" s="22" t="inlineStr">
        <is>
          <t>Grey</t>
        </is>
      </c>
      <c r="F101" s="22" t="inlineStr">
        <is>
          <t>Judgement</t>
        </is>
      </c>
      <c r="G101" s="22" t="inlineStr">
        <is>
          <t>Samhain · Waning Moon</t>
        </is>
      </c>
    </row>
    <row r="102" ht="15" customHeight="1" s="18">
      <c r="A102" s="22" t="n">
        <v>101</v>
      </c>
      <c r="B102" s="22" t="inlineStr">
        <is>
          <t>Peace, Healing &amp; Emotional Balance</t>
        </is>
      </c>
      <c r="C102" s="22" t="inlineStr">
        <is>
          <t>The Golden Ordinary</t>
        </is>
      </c>
      <c r="D102" s="22" t="inlineStr">
        <is>
          <t>Potion</t>
        </is>
      </c>
      <c r="E102" s="22" t="inlineStr">
        <is>
          <t>Yellow</t>
        </is>
      </c>
      <c r="F102" s="22" t="inlineStr">
        <is>
          <t>The Empress</t>
        </is>
      </c>
      <c r="G102" s="22" t="inlineStr">
        <is>
          <t>Mabon</t>
        </is>
      </c>
    </row>
    <row r="103" ht="15" customHeight="1" s="18">
      <c r="A103" s="22" t="n">
        <v>102</v>
      </c>
      <c r="B103" s="22" t="inlineStr">
        <is>
          <t>Peace, Healing &amp; Emotional Balance</t>
        </is>
      </c>
      <c r="C103" s="22" t="inlineStr">
        <is>
          <t>The Slow-Blooming Rose</t>
        </is>
      </c>
      <c r="D103" s="22" t="inlineStr">
        <is>
          <t>Sachet</t>
        </is>
      </c>
      <c r="E103" s="22" t="inlineStr">
        <is>
          <t>Green</t>
        </is>
      </c>
      <c r="F103" s="22" t="inlineStr">
        <is>
          <t>The Hanged Man</t>
        </is>
      </c>
      <c r="G103" s="22" t="inlineStr">
        <is>
          <t>Waxing Crescent</t>
        </is>
      </c>
    </row>
    <row r="104" ht="15" customHeight="1" s="18">
      <c r="A104" s="22" t="n">
        <v>103</v>
      </c>
      <c r="B104" s="22" t="inlineStr">
        <is>
          <t>Peace, Healing &amp; Emotional Balance</t>
        </is>
      </c>
      <c r="C104" s="22" t="inlineStr">
        <is>
          <t>The Foggy Moon</t>
        </is>
      </c>
      <c r="D104" s="22" t="inlineStr">
        <is>
          <t>Hand Mirror</t>
        </is>
      </c>
      <c r="E104" s="22" t="inlineStr">
        <is>
          <t>Silver</t>
        </is>
      </c>
      <c r="F104" s="22" t="inlineStr">
        <is>
          <t>The Moon</t>
        </is>
      </c>
      <c r="G104" s="22" t="inlineStr">
        <is>
          <t>Fog / Mist · Nightfall</t>
        </is>
      </c>
    </row>
    <row r="105" ht="15" customHeight="1" s="18">
      <c r="A105" s="22" t="n">
        <v>104</v>
      </c>
      <c r="B105" s="22" t="inlineStr">
        <is>
          <t>Peace, Healing &amp; Emotional Balance</t>
        </is>
      </c>
      <c r="C105" s="22" t="inlineStr">
        <is>
          <t>The Dawn Within</t>
        </is>
      </c>
      <c r="D105" s="22" t="inlineStr">
        <is>
          <t>Spell Bottle</t>
        </is>
      </c>
      <c r="E105" s="22" t="inlineStr">
        <is>
          <t>Light blue</t>
        </is>
      </c>
      <c r="F105" s="22" t="inlineStr">
        <is>
          <t>Judgement</t>
        </is>
      </c>
      <c r="G105" s="22" t="inlineStr">
        <is>
          <t>Sunrise · New Moon</t>
        </is>
      </c>
    </row>
    <row r="106" ht="15" customHeight="1" s="18">
      <c r="A106" s="22" t="n">
        <v>105</v>
      </c>
      <c r="B106" s="22" t="inlineStr">
        <is>
          <t>Peace, Healing &amp; Emotional Balance</t>
        </is>
      </c>
      <c r="C106" s="22" t="inlineStr">
        <is>
          <t>Permission to Be</t>
        </is>
      </c>
      <c r="D106" s="22" t="inlineStr">
        <is>
          <t>Butter</t>
        </is>
      </c>
      <c r="E106" s="22" t="inlineStr">
        <is>
          <t>Lavender</t>
        </is>
      </c>
      <c r="F106" s="22" t="inlineStr">
        <is>
          <t>The Star</t>
        </is>
      </c>
      <c r="G106" s="22" t="inlineStr">
        <is>
          <t>Sunday</t>
        </is>
      </c>
    </row>
    <row r="107" ht="15" customHeight="1" s="18">
      <c r="A107" s="22" t="n">
        <v>106</v>
      </c>
      <c r="B107" s="22" t="inlineStr">
        <is>
          <t>Dreams, Intuition &amp; Spirituality</t>
        </is>
      </c>
      <c r="C107" s="22" t="inlineStr">
        <is>
          <t>The Dreaming Garden</t>
        </is>
      </c>
      <c r="D107" s="22" t="inlineStr">
        <is>
          <t>Sachet</t>
        </is>
      </c>
      <c r="E107" s="22" t="inlineStr">
        <is>
          <t>Purple</t>
        </is>
      </c>
      <c r="F107" s="22" t="inlineStr">
        <is>
          <t>The High Priestess</t>
        </is>
      </c>
      <c r="G107" s="22" t="inlineStr">
        <is>
          <t>Monday · Nightfall</t>
        </is>
      </c>
    </row>
    <row r="108" ht="15" customHeight="1" s="18">
      <c r="A108" s="22" t="n">
        <v>107</v>
      </c>
      <c r="B108" s="22" t="inlineStr">
        <is>
          <t>Dreams, Intuition &amp; Spirituality</t>
        </is>
      </c>
      <c r="C108" s="22" t="inlineStr">
        <is>
          <t>The Moon's Notebook</t>
        </is>
      </c>
      <c r="D108" s="22" t="inlineStr">
        <is>
          <t>Tonic</t>
        </is>
      </c>
      <c r="E108" s="22" t="inlineStr">
        <is>
          <t>Silver</t>
        </is>
      </c>
      <c r="F108" s="22" t="inlineStr">
        <is>
          <t>The High Priestess</t>
        </is>
      </c>
      <c r="G108" s="22" t="inlineStr">
        <is>
          <t>Monday · Full Moon</t>
        </is>
      </c>
    </row>
    <row r="109" ht="15" customHeight="1" s="18">
      <c r="A109" s="22" t="n">
        <v>108</v>
      </c>
      <c r="B109" s="22" t="inlineStr">
        <is>
          <t>Dreams, Intuition &amp; Spirituality</t>
        </is>
      </c>
      <c r="C109" s="22" t="inlineStr">
        <is>
          <t>The Inner Compass</t>
        </is>
      </c>
      <c r="D109" s="22" t="inlineStr">
        <is>
          <t>Amulet</t>
        </is>
      </c>
      <c r="E109" s="22" t="inlineStr">
        <is>
          <t>Purple</t>
        </is>
      </c>
      <c r="F109" s="22" t="inlineStr">
        <is>
          <t>The Hermit</t>
        </is>
      </c>
      <c r="G109" s="22" t="inlineStr">
        <is>
          <t>Dark Moon · Nightfall</t>
        </is>
      </c>
    </row>
    <row r="110" ht="15" customHeight="1" s="18">
      <c r="A110" s="22" t="n">
        <v>109</v>
      </c>
      <c r="B110" s="22" t="inlineStr">
        <is>
          <t>Dreams, Intuition &amp; Spirituality</t>
        </is>
      </c>
      <c r="C110" s="22" t="inlineStr">
        <is>
          <t>The Quiet Between Stars</t>
        </is>
      </c>
      <c r="D110" s="22" t="inlineStr">
        <is>
          <t>Incense</t>
        </is>
      </c>
      <c r="E110" s="22" t="inlineStr">
        <is>
          <t>White</t>
        </is>
      </c>
      <c r="F110" s="22" t="inlineStr">
        <is>
          <t>The Hermit</t>
        </is>
      </c>
      <c r="G110" s="22" t="inlineStr">
        <is>
          <t>Clear starry night · New Moon</t>
        </is>
      </c>
    </row>
    <row r="111" ht="15" customHeight="1" s="18">
      <c r="A111" s="22" t="n">
        <v>110</v>
      </c>
      <c r="B111" s="22" t="inlineStr">
        <is>
          <t>Dreams, Intuition &amp; Spirituality</t>
        </is>
      </c>
      <c r="C111" s="22" t="inlineStr">
        <is>
          <t>The Green Whisper</t>
        </is>
      </c>
      <c r="D111" s="22" t="inlineStr">
        <is>
          <t>Water</t>
        </is>
      </c>
      <c r="E111" s="22" t="inlineStr">
        <is>
          <t>Green</t>
        </is>
      </c>
      <c r="F111" s="22" t="inlineStr">
        <is>
          <t>The World</t>
        </is>
      </c>
      <c r="G111" s="22" t="inlineStr">
        <is>
          <t>Ostara · after Rain</t>
        </is>
      </c>
    </row>
    <row r="112" ht="15" customHeight="1" s="18">
      <c r="A112" s="22" t="n">
        <v>111</v>
      </c>
      <c r="B112" s="22" t="inlineStr">
        <is>
          <t>Dreams, Intuition &amp; Spirituality</t>
        </is>
      </c>
      <c r="C112" s="22" t="inlineStr">
        <is>
          <t>The Language of Ravens</t>
        </is>
      </c>
      <c r="D112" s="22" t="inlineStr">
        <is>
          <t>Rune</t>
        </is>
      </c>
      <c r="E112" s="22" t="inlineStr">
        <is>
          <t>Purple</t>
        </is>
      </c>
      <c r="F112" s="22" t="inlineStr">
        <is>
          <t>The High Priestess</t>
        </is>
      </c>
      <c r="G112" s="22" t="inlineStr">
        <is>
          <t>Samhain</t>
        </is>
      </c>
    </row>
    <row r="113" ht="15" customHeight="1" s="18">
      <c r="A113" s="22" t="n">
        <v>112</v>
      </c>
      <c r="B113" s="22" t="inlineStr">
        <is>
          <t>Dreams, Intuition &amp; Spirituality</t>
        </is>
      </c>
      <c r="C113" s="22" t="inlineStr">
        <is>
          <t>Ink Beneath the Moon</t>
        </is>
      </c>
      <c r="D113" s="22" t="inlineStr">
        <is>
          <t>Wand</t>
        </is>
      </c>
      <c r="E113" s="22" t="inlineStr">
        <is>
          <t>Silver</t>
        </is>
      </c>
      <c r="F113" s="22" t="inlineStr">
        <is>
          <t>The Moon</t>
        </is>
      </c>
      <c r="G113" s="22" t="inlineStr">
        <is>
          <t>Monday · Full Moon</t>
        </is>
      </c>
    </row>
    <row r="114" ht="15" customHeight="1" s="18">
      <c r="A114" s="22" t="n">
        <v>113</v>
      </c>
      <c r="B114" s="22" t="inlineStr">
        <is>
          <t>Dreams, Intuition &amp; Spirituality</t>
        </is>
      </c>
      <c r="C114" s="22" t="inlineStr">
        <is>
          <t>The Little Moon Temple</t>
        </is>
      </c>
      <c r="D114" s="22" t="inlineStr">
        <is>
          <t>Witch Salt</t>
        </is>
      </c>
      <c r="E114" s="22" t="inlineStr">
        <is>
          <t>White</t>
        </is>
      </c>
      <c r="F114" s="22" t="inlineStr">
        <is>
          <t>—</t>
        </is>
      </c>
      <c r="G114" s="22" t="inlineStr">
        <is>
          <t>Full Moon</t>
        </is>
      </c>
    </row>
    <row r="115" ht="15" customHeight="1" s="18">
      <c r="A115" s="22" t="n">
        <v>114</v>
      </c>
      <c r="B115" s="22" t="inlineStr">
        <is>
          <t>Dreams, Intuition &amp; Spirituality</t>
        </is>
      </c>
      <c r="C115" s="22" t="inlineStr">
        <is>
          <t>The Unborrowed Light</t>
        </is>
      </c>
      <c r="D115" s="22" t="inlineStr">
        <is>
          <t>Sigil</t>
        </is>
      </c>
      <c r="E115" s="22" t="inlineStr">
        <is>
          <t>Blue</t>
        </is>
      </c>
      <c r="F115" s="22" t="inlineStr">
        <is>
          <t>The Hermit</t>
        </is>
      </c>
      <c r="G115" s="22" t="inlineStr">
        <is>
          <t>Sunday · Noon</t>
        </is>
      </c>
    </row>
    <row r="116" ht="15" customHeight="1" s="18">
      <c r="A116" s="22" t="n">
        <v>115</v>
      </c>
      <c r="B116" s="22" t="inlineStr">
        <is>
          <t>Dreams, Intuition &amp; Spirituality</t>
        </is>
      </c>
      <c r="C116" s="22" t="inlineStr">
        <is>
          <t>The Silver Sleepgate</t>
        </is>
      </c>
      <c r="D116" s="22" t="inlineStr">
        <is>
          <t>Spell Bottle</t>
        </is>
      </c>
      <c r="E116" s="22" t="inlineStr">
        <is>
          <t>Purple</t>
        </is>
      </c>
      <c r="F116" s="22" t="inlineStr">
        <is>
          <t>The Moon</t>
        </is>
      </c>
      <c r="G116" s="22" t="inlineStr">
        <is>
          <t>Monday · Full Moon · Nightfall</t>
        </is>
      </c>
    </row>
    <row r="117" ht="15" customHeight="1" s="18">
      <c r="A117" s="22" t="n">
        <v>116</v>
      </c>
      <c r="B117" s="22" t="inlineStr">
        <is>
          <t>Transformation, New Beginnings &amp; Shadow Work</t>
        </is>
      </c>
      <c r="C117" s="22" t="inlineStr">
        <is>
          <t>The Phoenix's First Petal</t>
        </is>
      </c>
      <c r="D117" s="22" t="inlineStr">
        <is>
          <t>Potion</t>
        </is>
      </c>
      <c r="E117" s="22" t="inlineStr">
        <is>
          <t>Red</t>
        </is>
      </c>
      <c r="F117" s="22" t="inlineStr">
        <is>
          <t>Judgement</t>
        </is>
      </c>
      <c r="G117" s="22" t="inlineStr">
        <is>
          <t>Ostara · Sunrise</t>
        </is>
      </c>
    </row>
    <row r="118" ht="15" customHeight="1" s="18">
      <c r="A118" s="22" t="n">
        <v>117</v>
      </c>
      <c r="B118" s="22" t="inlineStr">
        <is>
          <t>Transformation, New Beginnings &amp; Shadow Work</t>
        </is>
      </c>
      <c r="C118" s="22" t="inlineStr">
        <is>
          <t>The Cocoon Key</t>
        </is>
      </c>
      <c r="D118" s="22" t="inlineStr">
        <is>
          <t>Poppet</t>
        </is>
      </c>
      <c r="E118" s="22" t="inlineStr">
        <is>
          <t>Black</t>
        </is>
      </c>
      <c r="F118" s="22" t="inlineStr">
        <is>
          <t>Death</t>
        </is>
      </c>
      <c r="G118" s="22" t="inlineStr">
        <is>
          <t>Samhain · Waning Moon</t>
        </is>
      </c>
    </row>
    <row r="119" ht="15" customHeight="1" s="18">
      <c r="A119" s="22" t="n">
        <v>118</v>
      </c>
      <c r="B119" s="22" t="inlineStr">
        <is>
          <t>Transformation, New Beginnings &amp; Shadow Work</t>
        </is>
      </c>
      <c r="C119" s="22" t="inlineStr">
        <is>
          <t>The Severed Loop</t>
        </is>
      </c>
      <c r="D119" s="22" t="inlineStr">
        <is>
          <t>Witch's Ladder</t>
        </is>
      </c>
      <c r="E119" s="22" t="inlineStr">
        <is>
          <t>Black</t>
        </is>
      </c>
      <c r="F119" s="22" t="inlineStr">
        <is>
          <t>The Tower</t>
        </is>
      </c>
      <c r="G119" s="22" t="inlineStr">
        <is>
          <t>Saturday · Waning Moon</t>
        </is>
      </c>
    </row>
    <row r="120" ht="15" customHeight="1" s="18">
      <c r="A120" s="22" t="n">
        <v>119</v>
      </c>
      <c r="B120" s="22" t="inlineStr">
        <is>
          <t>Transformation, New Beginnings &amp; Shadow Work</t>
        </is>
      </c>
      <c r="C120" s="22" t="inlineStr">
        <is>
          <t>The Thousandth Version</t>
        </is>
      </c>
      <c r="D120" s="22" t="inlineStr">
        <is>
          <t>Glamour</t>
        </is>
      </c>
      <c r="E120" s="22" t="inlineStr">
        <is>
          <t>Purple</t>
        </is>
      </c>
      <c r="F120" s="22" t="inlineStr">
        <is>
          <t>Wheel of Fortune</t>
        </is>
      </c>
      <c r="G120" s="22" t="inlineStr">
        <is>
          <t>New Moon</t>
        </is>
      </c>
    </row>
    <row r="121" ht="15" customHeight="1" s="18">
      <c r="A121" s="22" t="n">
        <v>120</v>
      </c>
      <c r="B121" s="22" t="inlineStr">
        <is>
          <t>Transformation, New Beginnings &amp; Shadow Work</t>
        </is>
      </c>
      <c r="C121" s="22" t="inlineStr">
        <is>
          <t>The Mirror Below</t>
        </is>
      </c>
      <c r="D121" s="22" t="inlineStr">
        <is>
          <t>Hand Mirror</t>
        </is>
      </c>
      <c r="E121" s="22" t="inlineStr">
        <is>
          <t>Purple</t>
        </is>
      </c>
      <c r="F121" s="22" t="inlineStr">
        <is>
          <t>Justice</t>
        </is>
      </c>
      <c r="G121" s="22" t="inlineStr">
        <is>
          <t>Dark Moon · Nightfall</t>
        </is>
      </c>
    </row>
    <row r="122" ht="15" customHeight="1" s="18">
      <c r="A122" s="22" t="n">
        <v>121</v>
      </c>
      <c r="B122" s="22" t="inlineStr">
        <is>
          <t>Moon &amp; Celestial Magic</t>
        </is>
      </c>
      <c r="C122" s="22" t="inlineStr">
        <is>
          <t>The First Crescent</t>
        </is>
      </c>
      <c r="D122" s="22" t="inlineStr">
        <is>
          <t>Sigil</t>
        </is>
      </c>
      <c r="E122" s="22" t="inlineStr">
        <is>
          <t>White</t>
        </is>
      </c>
      <c r="F122" s="22" t="inlineStr">
        <is>
          <t>The High Priestess</t>
        </is>
      </c>
      <c r="G122" s="22" t="inlineStr">
        <is>
          <t>New Moon</t>
        </is>
      </c>
    </row>
    <row r="123" ht="15" customHeight="1" s="18">
      <c r="A123" s="22" t="n">
        <v>122</v>
      </c>
      <c r="B123" s="22" t="inlineStr">
        <is>
          <t>Moon &amp; Celestial Magic</t>
        </is>
      </c>
      <c r="C123" s="22" t="inlineStr">
        <is>
          <t>The Waning Veil</t>
        </is>
      </c>
      <c r="D123" s="22" t="inlineStr">
        <is>
          <t>Bath Salt</t>
        </is>
      </c>
      <c r="E123" s="22" t="inlineStr">
        <is>
          <t>White</t>
        </is>
      </c>
      <c r="F123" s="22" t="inlineStr">
        <is>
          <t>—</t>
        </is>
      </c>
      <c r="G123" s="22" t="inlineStr">
        <is>
          <t>Waning Gibbous</t>
        </is>
      </c>
    </row>
    <row r="124" ht="15" customHeight="1" s="18">
      <c r="A124" s="22" t="n">
        <v>123</v>
      </c>
      <c r="B124" s="22" t="inlineStr">
        <is>
          <t>Moon &amp; Celestial Magic</t>
        </is>
      </c>
      <c r="C124" s="22" t="inlineStr">
        <is>
          <t>Twelve Moons, One Heart</t>
        </is>
      </c>
      <c r="D124" s="22" t="inlineStr">
        <is>
          <t>Tea</t>
        </is>
      </c>
      <c r="E124" s="22" t="inlineStr">
        <is>
          <t>Silver</t>
        </is>
      </c>
      <c r="F124" s="22" t="inlineStr">
        <is>
          <t>The Hierophant</t>
        </is>
      </c>
      <c r="G124" s="22" t="inlineStr">
        <is>
          <t>Waning Gibbous</t>
        </is>
      </c>
    </row>
    <row r="125" ht="15" customHeight="1" s="18">
      <c r="A125" s="22" t="n">
        <v>124</v>
      </c>
      <c r="B125" s="22" t="inlineStr">
        <is>
          <t>Moon &amp; Celestial Magic</t>
        </is>
      </c>
      <c r="C125" s="22" t="inlineStr">
        <is>
          <t>The Shadowed Halo</t>
        </is>
      </c>
      <c r="D125" s="22" t="inlineStr">
        <is>
          <t>Spell Bottle</t>
        </is>
      </c>
      <c r="E125" s="22" t="inlineStr">
        <is>
          <t>Black</t>
        </is>
      </c>
      <c r="F125" s="22" t="inlineStr">
        <is>
          <t>Wheel of Fortune</t>
        </is>
      </c>
      <c r="G125" s="22" t="inlineStr">
        <is>
          <t>Eclipse (rare event)</t>
        </is>
      </c>
    </row>
    <row r="126" ht="15" customHeight="1" s="18">
      <c r="A126" s="22" t="n">
        <v>125</v>
      </c>
      <c r="B126" s="22" t="inlineStr">
        <is>
          <t>Moon &amp; Celestial Magic</t>
        </is>
      </c>
      <c r="C126" s="22" t="inlineStr">
        <is>
          <t>A Thousand Open Eyes</t>
        </is>
      </c>
      <c r="D126" s="22" t="inlineStr">
        <is>
          <t>Water</t>
        </is>
      </c>
      <c r="E126" s="22" t="inlineStr">
        <is>
          <t>Silver</t>
        </is>
      </c>
      <c r="F126" s="22" t="inlineStr">
        <is>
          <t>The Star</t>
        </is>
      </c>
      <c r="G126" s="22" t="inlineStr">
        <is>
          <t>Clear starry night</t>
        </is>
      </c>
    </row>
    <row r="127" ht="15" customHeight="1" s="18">
      <c r="A127" s="22" t="n">
        <v>126</v>
      </c>
      <c r="B127" s="22" t="inlineStr">
        <is>
          <t>Moon &amp; Celestial Magic</t>
        </is>
      </c>
      <c r="C127" s="22" t="inlineStr">
        <is>
          <t>The Cosmic Thread</t>
        </is>
      </c>
      <c r="D127" s="22" t="inlineStr">
        <is>
          <t>Talisman</t>
        </is>
      </c>
      <c r="E127" s="22" t="inlineStr">
        <is>
          <t>Purple</t>
        </is>
      </c>
      <c r="F127" s="22" t="inlineStr">
        <is>
          <t>The World</t>
        </is>
      </c>
      <c r="G127" s="22" t="inlineStr">
        <is>
          <t>New Moon</t>
        </is>
      </c>
    </row>
    <row r="128" ht="15" customHeight="1" s="18">
      <c r="A128" s="22" t="n">
        <v>127</v>
      </c>
      <c r="B128" s="22" t="inlineStr">
        <is>
          <t>Moon &amp; Celestial Magic</t>
        </is>
      </c>
      <c r="C128" s="22" t="inlineStr">
        <is>
          <t>The Growing Silver</t>
        </is>
      </c>
      <c r="D128" s="22" t="inlineStr">
        <is>
          <t>Oil</t>
        </is>
      </c>
      <c r="E128" s="22" t="inlineStr">
        <is>
          <t>Silver</t>
        </is>
      </c>
      <c r="F128" s="22" t="inlineStr">
        <is>
          <t>—</t>
        </is>
      </c>
      <c r="G128" s="22" t="inlineStr">
        <is>
          <t>Waxing Gibbous</t>
        </is>
      </c>
    </row>
    <row r="129" ht="15" customHeight="1" s="18">
      <c r="A129" s="22" t="n">
        <v>128</v>
      </c>
      <c r="B129" s="22" t="inlineStr">
        <is>
          <t>Moon &amp; Celestial Magic</t>
        </is>
      </c>
      <c r="C129" s="22" t="inlineStr">
        <is>
          <t>The Gentle Dimming</t>
        </is>
      </c>
      <c r="D129" s="22" t="inlineStr">
        <is>
          <t>Incense</t>
        </is>
      </c>
      <c r="E129" s="22" t="inlineStr">
        <is>
          <t>Grey</t>
        </is>
      </c>
      <c r="F129" s="22" t="inlineStr">
        <is>
          <t>—</t>
        </is>
      </c>
      <c r="G129" s="22" t="inlineStr">
        <is>
          <t>Waning Crescent</t>
        </is>
      </c>
    </row>
    <row r="130" ht="15" customHeight="1" s="18">
      <c r="A130" s="22" t="n">
        <v>129</v>
      </c>
      <c r="B130" s="22" t="inlineStr">
        <is>
          <t>Moon &amp; Celestial Magic</t>
        </is>
      </c>
      <c r="C130" s="22" t="inlineStr">
        <is>
          <t>Sunrise in a Teacup</t>
        </is>
      </c>
      <c r="D130" s="22" t="inlineStr">
        <is>
          <t>Potion</t>
        </is>
      </c>
      <c r="E130" s="22" t="inlineStr">
        <is>
          <t>Yellow</t>
        </is>
      </c>
      <c r="F130" s="22" t="inlineStr">
        <is>
          <t>The Sun</t>
        </is>
      </c>
      <c r="G130" s="22" t="inlineStr">
        <is>
          <t>Sunrise</t>
        </is>
      </c>
    </row>
    <row r="131" ht="15" customHeight="1" s="18">
      <c r="A131" s="22" t="n">
        <v>130</v>
      </c>
      <c r="B131" s="22" t="inlineStr">
        <is>
          <t>Moon &amp; Celestial Magic</t>
        </is>
      </c>
      <c r="C131" s="22" t="inlineStr">
        <is>
          <t>The Amber Hour</t>
        </is>
      </c>
      <c r="D131" s="22" t="inlineStr">
        <is>
          <t>Incense</t>
        </is>
      </c>
      <c r="E131" s="22" t="inlineStr">
        <is>
          <t>Lavender</t>
        </is>
      </c>
      <c r="F131" s="22" t="inlineStr">
        <is>
          <t>—</t>
        </is>
      </c>
      <c r="G131" s="22" t="inlineStr">
        <is>
          <t>Twilight</t>
        </is>
      </c>
    </row>
    <row r="132" ht="15" customHeight="1" s="18">
      <c r="A132" s="22" t="n">
        <v>131</v>
      </c>
      <c r="B132" s="22" t="inlineStr">
        <is>
          <t>Moon &amp; Celestial Magic</t>
        </is>
      </c>
      <c r="C132" s="22" t="inlineStr">
        <is>
          <t>The Starbound Self</t>
        </is>
      </c>
      <c r="D132" s="22" t="inlineStr">
        <is>
          <t>Hand Mirror</t>
        </is>
      </c>
      <c r="E132" s="22" t="inlineStr">
        <is>
          <t>—</t>
        </is>
      </c>
      <c r="F132" s="22" t="inlineStr">
        <is>
          <t>The Star</t>
        </is>
      </c>
      <c r="G132" s="22" t="inlineStr">
        <is>
          <t>Clear starry night</t>
        </is>
      </c>
    </row>
    <row r="133" ht="15" customHeight="1" s="18">
      <c r="A133" s="22" t="n">
        <v>132</v>
      </c>
      <c r="B133" s="22" t="inlineStr">
        <is>
          <t>Moon &amp; Celestial Magic</t>
        </is>
      </c>
      <c r="C133" s="22" t="inlineStr">
        <is>
          <t>Another Orbit Around the Sun</t>
        </is>
      </c>
      <c r="D133" s="22" t="inlineStr">
        <is>
          <t>Cookies</t>
        </is>
      </c>
      <c r="E133" s="22" t="inlineStr">
        <is>
          <t>Gold</t>
        </is>
      </c>
      <c r="F133" s="22" t="inlineStr">
        <is>
          <t>The Sun</t>
        </is>
      </c>
      <c r="G133" s="22" t="inlineStr">
        <is>
          <t>The customer's birthday (special)</t>
        </is>
      </c>
    </row>
    <row r="134" ht="15" customHeight="1" s="18">
      <c r="A134" s="22" t="n">
        <v>133</v>
      </c>
      <c r="B134" s="22" t="inlineStr">
        <is>
          <t>Moon &amp; Celestial Magic</t>
        </is>
      </c>
      <c r="C134" s="22" t="inlineStr">
        <is>
          <t>The Celestial Mapmaker</t>
        </is>
      </c>
      <c r="D134" s="22" t="inlineStr">
        <is>
          <t>Wand</t>
        </is>
      </c>
      <c r="E134" s="22" t="inlineStr">
        <is>
          <t>Purple</t>
        </is>
      </c>
      <c r="F134" s="22" t="inlineStr">
        <is>
          <t>—</t>
        </is>
      </c>
      <c r="G134" s="22" t="inlineStr">
        <is>
          <t>Clear starry night</t>
        </is>
      </c>
    </row>
    <row r="135" ht="15" customHeight="1" s="18">
      <c r="A135" s="22" t="n">
        <v>134</v>
      </c>
      <c r="B135" s="22" t="inlineStr">
        <is>
          <t>Moon &amp; Celestial Magic</t>
        </is>
      </c>
      <c r="C135" s="22" t="inlineStr">
        <is>
          <t>The Turning Leaf</t>
        </is>
      </c>
      <c r="D135" s="22" t="inlineStr">
        <is>
          <t>Rune</t>
        </is>
      </c>
      <c r="E135" s="22" t="inlineStr">
        <is>
          <t>Purple</t>
        </is>
      </c>
      <c r="F135" s="22" t="inlineStr">
        <is>
          <t>Wheel of Fortune</t>
        </is>
      </c>
      <c r="G135" s="22" t="inlineStr">
        <is>
          <t>Any equinox or solstice (Ostara, Litha, Mabon, Yule)</t>
        </is>
      </c>
    </row>
    <row r="136" ht="15" customHeight="1" s="18">
      <c r="A136" s="22" t="n">
        <v>135</v>
      </c>
      <c r="B136" s="22" t="inlineStr">
        <is>
          <t>Moon &amp; Celestial Magic</t>
        </is>
      </c>
      <c r="C136" s="22" t="inlineStr">
        <is>
          <t>The Green Comet</t>
        </is>
      </c>
      <c r="D136" s="22" t="inlineStr">
        <is>
          <t>Sachet</t>
        </is>
      </c>
      <c r="E136" s="22" t="inlineStr">
        <is>
          <t>Green</t>
        </is>
      </c>
      <c r="F136" s="22" t="inlineStr">
        <is>
          <t>—</t>
        </is>
      </c>
      <c r="G136" s="22" t="inlineStr">
        <is>
          <t>Imbolc</t>
        </is>
      </c>
    </row>
    <row r="137" ht="15" customHeight="1" s="18">
      <c r="A137" s="22" t="n">
        <v>136</v>
      </c>
      <c r="B137" s="22" t="inlineStr">
        <is>
          <t>Moon &amp; Celestial Magic</t>
        </is>
      </c>
      <c r="C137" s="22" t="inlineStr">
        <is>
          <t>The Wintering Star</t>
        </is>
      </c>
      <c r="D137" s="22" t="inlineStr">
        <is>
          <t>Butter</t>
        </is>
      </c>
      <c r="E137" s="22" t="inlineStr">
        <is>
          <t>Lavender</t>
        </is>
      </c>
      <c r="F137" s="22" t="inlineStr">
        <is>
          <t>—</t>
        </is>
      </c>
      <c r="G137" s="22" t="inlineStr">
        <is>
          <t>Yule</t>
        </is>
      </c>
    </row>
    <row r="138" ht="15" customHeight="1" s="18">
      <c r="A138" s="22" t="n">
        <v>137</v>
      </c>
      <c r="B138" s="22" t="inlineStr">
        <is>
          <t>Moon &amp; Celestial Magic</t>
        </is>
      </c>
      <c r="C138" s="22" t="inlineStr">
        <is>
          <t>Solstice Honey</t>
        </is>
      </c>
      <c r="D138" s="22" t="inlineStr">
        <is>
          <t>Glamour</t>
        </is>
      </c>
      <c r="E138" s="22" t="inlineStr">
        <is>
          <t>Gold</t>
        </is>
      </c>
      <c r="F138" s="22" t="inlineStr">
        <is>
          <t>The Sun</t>
        </is>
      </c>
      <c r="G138" s="22" t="inlineStr">
        <is>
          <t>Litha · Noon</t>
        </is>
      </c>
    </row>
    <row r="139" ht="15" customHeight="1" s="18">
      <c r="A139" s="22" t="n">
        <v>138</v>
      </c>
      <c r="B139" s="22" t="inlineStr">
        <is>
          <t>Moon &amp; Celestial Magic</t>
        </is>
      </c>
      <c r="C139" s="22" t="inlineStr">
        <is>
          <t>The Copper Moon</t>
        </is>
      </c>
      <c r="D139" s="22" t="inlineStr">
        <is>
          <t>Witch Salt</t>
        </is>
      </c>
      <c r="E139" s="22" t="inlineStr">
        <is>
          <t>Brown</t>
        </is>
      </c>
      <c r="F139" s="22" t="inlineStr">
        <is>
          <t>—</t>
        </is>
      </c>
      <c r="G139" s="22" t="inlineStr">
        <is>
          <t>Hunter's Moon (October full moon)</t>
        </is>
      </c>
    </row>
    <row r="140" ht="15" customHeight="1" s="18">
      <c r="A140" s="22" t="n">
        <v>139</v>
      </c>
      <c r="B140" s="22" t="inlineStr">
        <is>
          <t>Moon &amp; Celestial Magic</t>
        </is>
      </c>
      <c r="C140" s="22" t="inlineStr">
        <is>
          <t>The North Star Within</t>
        </is>
      </c>
      <c r="D140" s="22" t="inlineStr">
        <is>
          <t>Amulet</t>
        </is>
      </c>
      <c r="E140" s="22" t="inlineStr">
        <is>
          <t>White</t>
        </is>
      </c>
      <c r="F140" s="22" t="inlineStr">
        <is>
          <t>The Emperor</t>
        </is>
      </c>
      <c r="G140" s="22" t="inlineStr">
        <is>
          <t>Full Moon · Nightfall</t>
        </is>
      </c>
    </row>
    <row r="141" ht="15" customHeight="1" s="18">
      <c r="A141" s="22" t="n">
        <v>140</v>
      </c>
      <c r="B141" s="22" t="inlineStr">
        <is>
          <t>Moon &amp; Celestial Magic</t>
        </is>
      </c>
      <c r="C141" s="22" t="inlineStr">
        <is>
          <t>The Moonlit Appointment</t>
        </is>
      </c>
      <c r="D141" s="22" t="inlineStr">
        <is>
          <t>Witch's Ladder</t>
        </is>
      </c>
      <c r="E141" s="22" t="inlineStr">
        <is>
          <t>Silver</t>
        </is>
      </c>
      <c r="F141" s="22" t="inlineStr">
        <is>
          <t>—</t>
        </is>
      </c>
      <c r="G141" s="22" t="inlineStr">
        <is>
          <t>Full Moon</t>
        </is>
      </c>
    </row>
    <row r="142" ht="15" customHeight="1" s="18">
      <c r="A142" s="22" t="n">
        <v>141</v>
      </c>
      <c r="B142" s="22" t="inlineStr">
        <is>
          <t>Moon &amp; Celestial Magic</t>
        </is>
      </c>
      <c r="C142" s="22" t="inlineStr">
        <is>
          <t>Orbit of Becoming</t>
        </is>
      </c>
      <c r="D142" s="22" t="inlineStr">
        <is>
          <t>Poppet</t>
        </is>
      </c>
      <c r="E142" s="22" t="inlineStr">
        <is>
          <t>—</t>
        </is>
      </c>
      <c r="F142" s="22" t="inlineStr">
        <is>
          <t>Wheel of Fortune</t>
        </is>
      </c>
      <c r="G142" s="22" t="inlineStr">
        <is>
          <t>Sturgeon Moon (August full moon)</t>
        </is>
      </c>
    </row>
    <row r="143" ht="15" customHeight="1" s="18">
      <c r="A143" s="22" t="n">
        <v>142</v>
      </c>
      <c r="B143" s="22" t="inlineStr">
        <is>
          <t>Moon &amp; Celestial Magic</t>
        </is>
      </c>
      <c r="C143" s="22" t="inlineStr">
        <is>
          <t>Velvet Firmament</t>
        </is>
      </c>
      <c r="D143" s="22" t="inlineStr">
        <is>
          <t>Soap</t>
        </is>
      </c>
      <c r="E143" s="22" t="inlineStr">
        <is>
          <t>—</t>
        </is>
      </c>
      <c r="F143" s="22" t="inlineStr">
        <is>
          <t>—</t>
        </is>
      </c>
      <c r="G143" s="22" t="inlineStr">
        <is>
          <t>Full Moon · Clear starry night</t>
        </is>
      </c>
    </row>
    <row r="144" ht="15" customHeight="1" s="18">
      <c r="A144" s="22" t="n">
        <v>143</v>
      </c>
      <c r="B144" s="22" t="inlineStr">
        <is>
          <t>Moon &amp; Celestial Magic</t>
        </is>
      </c>
      <c r="C144" s="22" t="inlineStr">
        <is>
          <t>The Planetary Muse</t>
        </is>
      </c>
      <c r="D144" s="22" t="inlineStr">
        <is>
          <t>Powder</t>
        </is>
      </c>
      <c r="E144" s="22" t="inlineStr">
        <is>
          <t>—</t>
        </is>
      </c>
      <c r="F144" s="22" t="inlineStr">
        <is>
          <t>The Magician</t>
        </is>
      </c>
      <c r="G144" s="22" t="inlineStr">
        <is>
          <t>Made across a full week, starting on a Monday</t>
        </is>
      </c>
    </row>
    <row r="145" ht="15" customHeight="1" s="18">
      <c r="A145" s="22" t="n">
        <v>144</v>
      </c>
      <c r="B145" s="22" t="inlineStr">
        <is>
          <t>Moon &amp; Celestial Magic</t>
        </is>
      </c>
      <c r="C145" s="22" t="inlineStr">
        <is>
          <t>The Sun's Little Promise</t>
        </is>
      </c>
      <c r="D145" s="22" t="inlineStr">
        <is>
          <t>Charm</t>
        </is>
      </c>
      <c r="E145" s="22" t="inlineStr">
        <is>
          <t>Lavender</t>
        </is>
      </c>
      <c r="F145" s="22" t="inlineStr">
        <is>
          <t>The Sun</t>
        </is>
      </c>
      <c r="G145" s="22" t="inlineStr">
        <is>
          <t>Yule · Sunrise</t>
        </is>
      </c>
    </row>
    <row r="146" ht="15" customHeight="1" s="18">
      <c r="A146" s="22" t="n">
        <v>145</v>
      </c>
      <c r="B146" s="22" t="inlineStr">
        <is>
          <t>Moon &amp; Celestial Magic</t>
        </is>
      </c>
      <c r="C146" s="22" t="inlineStr">
        <is>
          <t>The Tidal Heart</t>
        </is>
      </c>
      <c r="D146" s="22" t="inlineStr">
        <is>
          <t>Tonic</t>
        </is>
      </c>
      <c r="E146" s="22" t="inlineStr">
        <is>
          <t>Blue</t>
        </is>
      </c>
      <c r="F146" s="22" t="inlineStr">
        <is>
          <t>—</t>
        </is>
      </c>
      <c r="G146" s="22" t="inlineStr">
        <is>
          <t>Waning Gibbous</t>
        </is>
      </c>
    </row>
    <row r="147" ht="15" customHeight="1" s="18">
      <c r="A147" s="22" t="n">
        <v>146</v>
      </c>
      <c r="B147" s="22" t="inlineStr">
        <is>
          <t>Moon &amp; Celestial Magic</t>
        </is>
      </c>
      <c r="C147" s="22" t="inlineStr">
        <is>
          <t>The Uncharted Sky</t>
        </is>
      </c>
      <c r="D147" s="22" t="inlineStr">
        <is>
          <t>Balm</t>
        </is>
      </c>
      <c r="E147" s="22" t="inlineStr">
        <is>
          <t>Light blue</t>
        </is>
      </c>
      <c r="F147" s="22" t="inlineStr">
        <is>
          <t>The Tower</t>
        </is>
      </c>
      <c r="G147" s="22" t="inlineStr">
        <is>
          <t>Windy</t>
        </is>
      </c>
    </row>
    <row r="148" ht="15" customHeight="1" s="18">
      <c r="A148" s="22" t="n">
        <v>147</v>
      </c>
      <c r="B148" s="22" t="inlineStr">
        <is>
          <t>Moon &amp; Celestial Magic</t>
        </is>
      </c>
      <c r="C148" s="22" t="inlineStr">
        <is>
          <t>Stardust Permission Slip</t>
        </is>
      </c>
      <c r="D148" s="22" t="inlineStr">
        <is>
          <t>Charm</t>
        </is>
      </c>
      <c r="E148" s="22" t="inlineStr">
        <is>
          <t>Yellow</t>
        </is>
      </c>
      <c r="F148" s="22" t="inlineStr">
        <is>
          <t>—</t>
        </is>
      </c>
      <c r="G148" s="22" t="inlineStr">
        <is>
          <t>Clear starry night</t>
        </is>
      </c>
    </row>
    <row r="149" ht="15" customHeight="1" s="18">
      <c r="A149" s="22" t="n">
        <v>148</v>
      </c>
      <c r="B149" s="22" t="inlineStr">
        <is>
          <t>Moon &amp; Celestial Magic</t>
        </is>
      </c>
      <c r="C149" s="22" t="inlineStr">
        <is>
          <t>The Lunar Keepsake</t>
        </is>
      </c>
      <c r="D149" s="22" t="inlineStr">
        <is>
          <t>Amulet</t>
        </is>
      </c>
      <c r="E149" s="22" t="inlineStr">
        <is>
          <t>Silver</t>
        </is>
      </c>
      <c r="F149" s="22" t="inlineStr">
        <is>
          <t>—</t>
        </is>
      </c>
      <c r="G149" s="22" t="inlineStr">
        <is>
          <t>Sunrise the morning after a Full Moon</t>
        </is>
      </c>
    </row>
    <row r="150" ht="15" customHeight="1" s="18">
      <c r="A150" s="22" t="n">
        <v>149</v>
      </c>
      <c r="B150" s="22" t="inlineStr">
        <is>
          <t>Moon &amp; Celestial Magic</t>
        </is>
      </c>
      <c r="C150" s="22" t="inlineStr">
        <is>
          <t>The Orbit Marker</t>
        </is>
      </c>
      <c r="D150" s="22" t="inlineStr">
        <is>
          <t>Powder</t>
        </is>
      </c>
      <c r="E150" s="22" t="inlineStr">
        <is>
          <t>Gold</t>
        </is>
      </c>
      <c r="F150" s="22" t="inlineStr">
        <is>
          <t>The World</t>
        </is>
      </c>
      <c r="G150" s="22" t="inlineStr">
        <is>
          <t>The day of the customer's milestone (special)</t>
        </is>
      </c>
    </row>
    <row r="151" ht="15" customHeight="1" s="18">
      <c r="A151" s="22" t="n">
        <v>150</v>
      </c>
      <c r="B151" s="22" t="inlineStr">
        <is>
          <t>Moon &amp; Celestial Magic</t>
        </is>
      </c>
      <c r="C151" s="22" t="inlineStr">
        <is>
          <t>The Promise of Blue Hour</t>
        </is>
      </c>
      <c r="D151" s="22" t="inlineStr">
        <is>
          <t>Oil</t>
        </is>
      </c>
      <c r="E151" s="22" t="inlineStr">
        <is>
          <t>Blue</t>
        </is>
      </c>
      <c r="F151" s="22" t="inlineStr">
        <is>
          <t>Temperance</t>
        </is>
      </c>
      <c r="G151" s="22" t="inlineStr">
        <is>
          <t>Ostara · Twilight</t>
        </is>
      </c>
    </row>
    <row r="152" ht="15" customHeight="1" s="18">
      <c r="A152" s="22" t="n">
        <v>151</v>
      </c>
      <c r="B152" s="22" t="inlineStr">
        <is>
          <t>Everyday Enchantment</t>
        </is>
      </c>
      <c r="C152" s="22" t="inlineStr">
        <is>
          <t>Rise, Little Flame</t>
        </is>
      </c>
      <c r="D152" s="22" t="inlineStr">
        <is>
          <t>Tonic</t>
        </is>
      </c>
      <c r="E152" s="22" t="inlineStr">
        <is>
          <t>Orange</t>
        </is>
      </c>
      <c r="F152" s="22" t="inlineStr">
        <is>
          <t>—</t>
        </is>
      </c>
      <c r="G152" s="22" t="inlineStr">
        <is>
          <t>Tuesday · Sunrise</t>
        </is>
      </c>
    </row>
    <row r="153" ht="15" customHeight="1" s="18">
      <c r="A153" s="22" t="n">
        <v>152</v>
      </c>
      <c r="B153" s="22" t="inlineStr">
        <is>
          <t>Everyday Enchantment</t>
        </is>
      </c>
      <c r="C153" s="22" t="inlineStr">
        <is>
          <t>The Traveling Teacup</t>
        </is>
      </c>
      <c r="D153" s="22" t="inlineStr">
        <is>
          <t>Amulet</t>
        </is>
      </c>
      <c r="E153" s="22" t="inlineStr">
        <is>
          <t>—</t>
        </is>
      </c>
      <c r="F153" s="22" t="inlineStr">
        <is>
          <t>The Chariot</t>
        </is>
      </c>
      <c r="G153" s="22" t="inlineStr">
        <is>
          <t>Wednesday</t>
        </is>
      </c>
    </row>
    <row r="154" ht="15" customHeight="1" s="18">
      <c r="A154" s="22" t="n">
        <v>153</v>
      </c>
      <c r="B154" s="22" t="inlineStr">
        <is>
          <t>Everyday Enchantment</t>
        </is>
      </c>
      <c r="C154" s="22" t="inlineStr">
        <is>
          <t>The Order of Little Things</t>
        </is>
      </c>
      <c r="D154" s="22" t="inlineStr">
        <is>
          <t>Powder</t>
        </is>
      </c>
      <c r="E154" s="22" t="inlineStr">
        <is>
          <t>Yellow</t>
        </is>
      </c>
      <c r="F154" s="22" t="inlineStr">
        <is>
          <t>—</t>
        </is>
      </c>
      <c r="G154" s="22" t="inlineStr">
        <is>
          <t>Monday</t>
        </is>
      </c>
    </row>
    <row r="155" ht="15" customHeight="1" s="18">
      <c r="A155" s="22" t="n">
        <v>154</v>
      </c>
      <c r="B155" s="22" t="inlineStr">
        <is>
          <t>Everyday Enchantment</t>
        </is>
      </c>
      <c r="C155" s="22" t="inlineStr">
        <is>
          <t>The Silver Shopping Star</t>
        </is>
      </c>
      <c r="D155" s="22" t="inlineStr">
        <is>
          <t>Charm</t>
        </is>
      </c>
      <c r="E155" s="22" t="inlineStr">
        <is>
          <t>Green</t>
        </is>
      </c>
      <c r="F155" s="22" t="inlineStr">
        <is>
          <t>—</t>
        </is>
      </c>
      <c r="G155" s="22" t="inlineStr">
        <is>
          <t>Thursday</t>
        </is>
      </c>
    </row>
    <row r="156" ht="15" customHeight="1" s="18">
      <c r="A156" s="22" t="n">
        <v>155</v>
      </c>
      <c r="B156" s="22" t="inlineStr">
        <is>
          <t>Everyday Enchantment</t>
        </is>
      </c>
      <c r="C156" s="22" t="inlineStr">
        <is>
          <t>The Blanket Fort Blessing</t>
        </is>
      </c>
      <c r="D156" s="22" t="inlineStr">
        <is>
          <t>Butter</t>
        </is>
      </c>
      <c r="E156" s="22" t="inlineStr">
        <is>
          <t>—</t>
        </is>
      </c>
      <c r="F156" s="22" t="inlineStr">
        <is>
          <t>—</t>
        </is>
      </c>
      <c r="G156" s="22" t="inlineStr">
        <is>
          <t>Clear &amp; sunny</t>
        </is>
      </c>
    </row>
    <row r="157" ht="15" customHeight="1" s="18">
      <c r="A157" s="22" t="n">
        <v>156</v>
      </c>
      <c r="B157" s="22" t="inlineStr">
        <is>
          <t>Everyday Enchantment</t>
        </is>
      </c>
      <c r="C157" s="22" t="inlineStr">
        <is>
          <t>The Supper of Small Wonders</t>
        </is>
      </c>
      <c r="D157" s="22" t="inlineStr">
        <is>
          <t>Tea</t>
        </is>
      </c>
      <c r="E157" s="22" t="inlineStr">
        <is>
          <t>—</t>
        </is>
      </c>
      <c r="F157" s="22" t="inlineStr">
        <is>
          <t>—</t>
        </is>
      </c>
      <c r="G157" s="22" t="inlineStr">
        <is>
          <t>Twilight</t>
        </is>
      </c>
    </row>
    <row r="158" ht="15" customHeight="1" s="18">
      <c r="A158" s="22" t="n">
        <v>157</v>
      </c>
      <c r="B158" s="22" t="inlineStr">
        <is>
          <t>Everyday Enchantment</t>
        </is>
      </c>
      <c r="C158" s="22" t="inlineStr">
        <is>
          <t>The Honeyed Hello</t>
        </is>
      </c>
      <c r="D158" s="22" t="inlineStr">
        <is>
          <t>Cookies</t>
        </is>
      </c>
      <c r="E158" s="22" t="inlineStr">
        <is>
          <t>—</t>
        </is>
      </c>
      <c r="F158" s="22" t="inlineStr">
        <is>
          <t>—</t>
        </is>
      </c>
      <c r="G158" s="22" t="inlineStr">
        <is>
          <t>Wednesday</t>
        </is>
      </c>
    </row>
    <row r="159" ht="15" customHeight="1" s="18">
      <c r="A159" s="22" t="n">
        <v>158</v>
      </c>
      <c r="B159" s="22" t="inlineStr">
        <is>
          <t>Everyday Enchantment</t>
        </is>
      </c>
      <c r="C159" s="22" t="inlineStr">
        <is>
          <t>Pocketful of Sunbeams</t>
        </is>
      </c>
      <c r="D159" s="22" t="inlineStr">
        <is>
          <t>Sachet</t>
        </is>
      </c>
      <c r="E159" s="22" t="inlineStr">
        <is>
          <t>—</t>
        </is>
      </c>
      <c r="F159" s="22" t="inlineStr">
        <is>
          <t>The Sun</t>
        </is>
      </c>
      <c r="G159" s="22" t="inlineStr">
        <is>
          <t>Sunrise · Clear &amp; sunny</t>
        </is>
      </c>
    </row>
    <row r="160" ht="15" customHeight="1" s="18">
      <c r="A160" s="22" t="n">
        <v>159</v>
      </c>
      <c r="B160" s="22" t="inlineStr">
        <is>
          <t>Everyday Enchantment</t>
        </is>
      </c>
      <c r="C160" s="22" t="inlineStr">
        <is>
          <t>Rain on the Windowsill</t>
        </is>
      </c>
      <c r="D160" s="22" t="inlineStr">
        <is>
          <t>Bath Salt</t>
        </is>
      </c>
      <c r="E160" s="22" t="inlineStr">
        <is>
          <t>—</t>
        </is>
      </c>
      <c r="F160" s="22" t="inlineStr">
        <is>
          <t>—</t>
        </is>
      </c>
      <c r="G160" s="22" t="inlineStr">
        <is>
          <t>Rain</t>
        </is>
      </c>
    </row>
    <row r="161" ht="15" customHeight="1" s="18">
      <c r="A161" s="22" t="n">
        <v>160</v>
      </c>
      <c r="B161" s="22" t="inlineStr">
        <is>
          <t>Everyday Enchantment</t>
        </is>
      </c>
      <c r="C161" s="22" t="inlineStr">
        <is>
          <t>The Finder's Flicker</t>
        </is>
      </c>
      <c r="D161" s="22" t="inlineStr">
        <is>
          <t>Wand</t>
        </is>
      </c>
      <c r="E161" s="22" t="inlineStr">
        <is>
          <t>Blue</t>
        </is>
      </c>
      <c r="F161" s="22" t="inlineStr">
        <is>
          <t>—</t>
        </is>
      </c>
      <c r="G161" s="22" t="inlineStr">
        <is>
          <t>Wednesday · Waxing Moon</t>
        </is>
      </c>
    </row>
    <row r="162" ht="15" customHeight="1" s="18">
      <c r="A162" s="22" t="n">
        <v>161</v>
      </c>
      <c r="B162" s="22" t="inlineStr">
        <is>
          <t>Everyday Enchantment</t>
        </is>
      </c>
      <c r="C162" s="22" t="inlineStr">
        <is>
          <t>The Fresh Linen Familiar</t>
        </is>
      </c>
      <c r="D162" s="22" t="inlineStr">
        <is>
          <t>Soap</t>
        </is>
      </c>
      <c r="E162" s="22" t="inlineStr">
        <is>
          <t>—</t>
        </is>
      </c>
      <c r="F162" s="22" t="inlineStr">
        <is>
          <t>—</t>
        </is>
      </c>
      <c r="G162" s="22" t="inlineStr">
        <is>
          <t>Rain</t>
        </is>
      </c>
    </row>
    <row r="163" ht="15" customHeight="1" s="18">
      <c r="A163" s="22" t="n">
        <v>162</v>
      </c>
      <c r="B163" s="22" t="inlineStr">
        <is>
          <t>Everyday Enchantment</t>
        </is>
      </c>
      <c r="C163" s="22" t="inlineStr">
        <is>
          <t>The Errand Sprite</t>
        </is>
      </c>
      <c r="D163" s="22" t="inlineStr">
        <is>
          <t>Potion</t>
        </is>
      </c>
      <c r="E163" s="22" t="inlineStr">
        <is>
          <t>—</t>
        </is>
      </c>
      <c r="F163" s="22" t="inlineStr">
        <is>
          <t>—</t>
        </is>
      </c>
      <c r="G163" s="22" t="inlineStr">
        <is>
          <t>Wednesday · Sunrise</t>
        </is>
      </c>
    </row>
    <row r="164" ht="15" customHeight="1" s="18">
      <c r="A164" s="22" t="n">
        <v>163</v>
      </c>
      <c r="B164" s="22" t="inlineStr">
        <is>
          <t>Everyday Enchantment</t>
        </is>
      </c>
      <c r="C164" s="22" t="inlineStr">
        <is>
          <t>The Unhurried Hour</t>
        </is>
      </c>
      <c r="D164" s="22" t="inlineStr">
        <is>
          <t>Oil</t>
        </is>
      </c>
      <c r="E164" s="22" t="inlineStr">
        <is>
          <t>Blue</t>
        </is>
      </c>
      <c r="F164" s="22" t="inlineStr">
        <is>
          <t>—</t>
        </is>
      </c>
      <c r="G164" s="22" t="inlineStr">
        <is>
          <t>Sunday</t>
        </is>
      </c>
    </row>
    <row r="165" ht="15" customHeight="1" s="18">
      <c r="A165" s="22" t="n">
        <v>164</v>
      </c>
      <c r="B165" s="22" t="inlineStr">
        <is>
          <t>Everyday Enchantment</t>
        </is>
      </c>
      <c r="C165" s="22" t="inlineStr">
        <is>
          <t>The Desk of Possibilities</t>
        </is>
      </c>
      <c r="D165" s="22" t="inlineStr">
        <is>
          <t>Incense</t>
        </is>
      </c>
      <c r="E165" s="22" t="inlineStr">
        <is>
          <t>Yellow</t>
        </is>
      </c>
      <c r="F165" s="22" t="inlineStr">
        <is>
          <t>—</t>
        </is>
      </c>
      <c r="G165" s="22" t="inlineStr">
        <is>
          <t>Wednesday</t>
        </is>
      </c>
    </row>
    <row r="166" ht="15" customHeight="1" s="18">
      <c r="A166" s="22" t="n">
        <v>165</v>
      </c>
      <c r="B166" s="22" t="inlineStr">
        <is>
          <t>Everyday Enchantment</t>
        </is>
      </c>
      <c r="C166" s="22" t="inlineStr">
        <is>
          <t>The Solitude Sweetspot</t>
        </is>
      </c>
      <c r="D166" s="22" t="inlineStr">
        <is>
          <t>Tea</t>
        </is>
      </c>
      <c r="E166" s="22" t="inlineStr">
        <is>
          <t>—</t>
        </is>
      </c>
      <c r="F166" s="22" t="inlineStr">
        <is>
          <t>The Hermit</t>
        </is>
      </c>
      <c r="G166" s="22" t="inlineStr">
        <is>
          <t>Cold Moon (December full moon)</t>
        </is>
      </c>
    </row>
    <row r="167" ht="15" customHeight="1" s="18">
      <c r="A167" s="22" t="n">
        <v>166</v>
      </c>
      <c r="B167" s="22" t="inlineStr">
        <is>
          <t>Everyday Enchantment</t>
        </is>
      </c>
      <c r="C167" s="22" t="inlineStr">
        <is>
          <t>The Pocket-Sized Hearth</t>
        </is>
      </c>
      <c r="D167" s="22" t="inlineStr">
        <is>
          <t>Witch Salt</t>
        </is>
      </c>
      <c r="E167" s="22" t="inlineStr">
        <is>
          <t>Lavender</t>
        </is>
      </c>
      <c r="F167" s="22" t="inlineStr">
        <is>
          <t>—</t>
        </is>
      </c>
      <c r="G167" s="22" t="inlineStr">
        <is>
          <t>Any time</t>
        </is>
      </c>
    </row>
    <row r="168" ht="15" customHeight="1" s="18">
      <c r="A168" s="22" t="n">
        <v>167</v>
      </c>
      <c r="B168" s="22" t="inlineStr">
        <is>
          <t>Everyday Enchantment</t>
        </is>
      </c>
      <c r="C168" s="22" t="inlineStr">
        <is>
          <t>The Unexpected Ribbon</t>
        </is>
      </c>
      <c r="D168" s="22" t="inlineStr">
        <is>
          <t>Spell Bottle</t>
        </is>
      </c>
      <c r="E168" s="22" t="inlineStr">
        <is>
          <t>—</t>
        </is>
      </c>
      <c r="F168" s="22" t="inlineStr">
        <is>
          <t>—</t>
        </is>
      </c>
      <c r="G168" s="22" t="inlineStr">
        <is>
          <t>Rainbow (rare event)</t>
        </is>
      </c>
    </row>
    <row r="169" ht="15" customHeight="1" s="18">
      <c r="A169" s="22" t="n">
        <v>168</v>
      </c>
      <c r="B169" s="22" t="inlineStr">
        <is>
          <t>Everyday Enchantment</t>
        </is>
      </c>
      <c r="C169" s="22" t="inlineStr">
        <is>
          <t>The Waiting Room Oracle</t>
        </is>
      </c>
      <c r="D169" s="22" t="inlineStr">
        <is>
          <t>Rune</t>
        </is>
      </c>
      <c r="E169" s="22" t="inlineStr">
        <is>
          <t>—</t>
        </is>
      </c>
      <c r="F169" s="22" t="inlineStr">
        <is>
          <t>The Hanged Man</t>
        </is>
      </c>
      <c r="G169" s="22" t="inlineStr">
        <is>
          <t>Any time</t>
        </is>
      </c>
    </row>
    <row r="170" ht="15" customHeight="1" s="18">
      <c r="A170" s="22" t="n">
        <v>169</v>
      </c>
      <c r="B170" s="22" t="inlineStr">
        <is>
          <t>Everyday Enchantment</t>
        </is>
      </c>
      <c r="C170" s="22" t="inlineStr">
        <is>
          <t>The Ritual of Ordinary Things</t>
        </is>
      </c>
      <c r="D170" s="22" t="inlineStr">
        <is>
          <t>Glamour</t>
        </is>
      </c>
      <c r="E170" s="22" t="inlineStr">
        <is>
          <t>—</t>
        </is>
      </c>
      <c r="F170" s="22" t="inlineStr">
        <is>
          <t>—</t>
        </is>
      </c>
      <c r="G170" s="22" t="inlineStr">
        <is>
          <t>Sunrise</t>
        </is>
      </c>
    </row>
    <row r="171" ht="15" customHeight="1" s="18">
      <c r="A171" s="22" t="n">
        <v>170</v>
      </c>
      <c r="B171" s="22" t="inlineStr">
        <is>
          <t>Everyday Enchantment</t>
        </is>
      </c>
      <c r="C171" s="22" t="inlineStr">
        <is>
          <t>The Doorstep Clover</t>
        </is>
      </c>
      <c r="D171" s="22" t="inlineStr">
        <is>
          <t>Talisman</t>
        </is>
      </c>
      <c r="E171" s="22" t="inlineStr">
        <is>
          <t>Green</t>
        </is>
      </c>
      <c r="F171" s="22" t="inlineStr">
        <is>
          <t>—</t>
        </is>
      </c>
      <c r="G171" s="22" t="inlineStr">
        <is>
          <t>Thursday · Nightfall</t>
        </is>
      </c>
    </row>
    <row r="172" ht="15" customHeight="1" s="18">
      <c r="A172" s="22" t="n">
        <v>171</v>
      </c>
      <c r="B172" s="22" t="inlineStr">
        <is>
          <t>Everyday Enchantment</t>
        </is>
      </c>
      <c r="C172" s="22" t="inlineStr">
        <is>
          <t>The Pillow Fort Moon</t>
        </is>
      </c>
      <c r="D172" s="22" t="inlineStr">
        <is>
          <t>Sachet</t>
        </is>
      </c>
      <c r="E172" s="22" t="inlineStr">
        <is>
          <t>—</t>
        </is>
      </c>
      <c r="F172" s="22" t="inlineStr">
        <is>
          <t>—</t>
        </is>
      </c>
      <c r="G172" s="22" t="inlineStr">
        <is>
          <t>Nightfall</t>
        </is>
      </c>
    </row>
    <row r="173" ht="15" customHeight="1" s="18">
      <c r="A173" s="22" t="n">
        <v>172</v>
      </c>
      <c r="B173" s="22" t="inlineStr">
        <is>
          <t>Everyday Enchantment</t>
        </is>
      </c>
      <c r="C173" s="22" t="inlineStr">
        <is>
          <t>The Sleepy Stardrop</t>
        </is>
      </c>
      <c r="D173" s="22" t="inlineStr">
        <is>
          <t>Balm</t>
        </is>
      </c>
      <c r="E173" s="22" t="inlineStr">
        <is>
          <t>Lavender</t>
        </is>
      </c>
      <c r="F173" s="22" t="inlineStr">
        <is>
          <t>—</t>
        </is>
      </c>
      <c r="G173" s="22" t="inlineStr">
        <is>
          <t>Monday · Nightfall</t>
        </is>
      </c>
    </row>
    <row r="174" ht="15" customHeight="1" s="18">
      <c r="A174" s="22" t="n">
        <v>173</v>
      </c>
      <c r="B174" s="22" t="inlineStr">
        <is>
          <t>Everyday Enchantment</t>
        </is>
      </c>
      <c r="C174" s="22" t="inlineStr">
        <is>
          <t>One Tiny Task at a Time</t>
        </is>
      </c>
      <c r="D174" s="22" t="inlineStr">
        <is>
          <t>Witch's Ladder</t>
        </is>
      </c>
      <c r="E174" s="22" t="inlineStr">
        <is>
          <t>—</t>
        </is>
      </c>
      <c r="F174" s="22" t="inlineStr">
        <is>
          <t>The Magician</t>
        </is>
      </c>
      <c r="G174" s="22" t="inlineStr">
        <is>
          <t>Any time</t>
        </is>
      </c>
    </row>
    <row r="175" ht="15" customHeight="1" s="18">
      <c r="A175" s="22" t="n">
        <v>174</v>
      </c>
      <c r="B175" s="22" t="inlineStr">
        <is>
          <t>Everyday Enchantment</t>
        </is>
      </c>
      <c r="C175" s="22" t="inlineStr">
        <is>
          <t>The Offline Garden</t>
        </is>
      </c>
      <c r="D175" s="22" t="inlineStr">
        <is>
          <t>Water</t>
        </is>
      </c>
      <c r="E175" s="22" t="inlineStr">
        <is>
          <t>Silver</t>
        </is>
      </c>
      <c r="F175" s="22" t="inlineStr">
        <is>
          <t>—</t>
        </is>
      </c>
      <c r="G175" s="22" t="inlineStr">
        <is>
          <t>Snow</t>
        </is>
      </c>
    </row>
    <row r="176" ht="15" customHeight="1" s="18">
      <c r="A176" s="22" t="n">
        <v>175</v>
      </c>
      <c r="B176" s="22" t="inlineStr">
        <is>
          <t>Everyday Enchantment</t>
        </is>
      </c>
      <c r="C176" s="22" t="inlineStr">
        <is>
          <t>The Everyday Jester</t>
        </is>
      </c>
      <c r="D176" s="22" t="inlineStr">
        <is>
          <t>Poppet</t>
        </is>
      </c>
      <c r="E176" s="22" t="inlineStr">
        <is>
          <t>Orange</t>
        </is>
      </c>
      <c r="F176" s="22" t="inlineStr">
        <is>
          <t>The Fool</t>
        </is>
      </c>
      <c r="G176" s="22" t="inlineStr">
        <is>
          <t>Sunday</t>
        </is>
      </c>
    </row>
    <row r="177" ht="15" customHeight="1" s="18">
      <c r="A177" s="22" t="n">
        <v>176</v>
      </c>
      <c r="B177" s="22" t="inlineStr">
        <is>
          <t>Everyday Enchantment</t>
        </is>
      </c>
      <c r="C177" s="22" t="inlineStr">
        <is>
          <t>The Sunday Softening</t>
        </is>
      </c>
      <c r="D177" s="22" t="inlineStr">
        <is>
          <t>Bath Salt</t>
        </is>
      </c>
      <c r="E177" s="22" t="inlineStr">
        <is>
          <t>—</t>
        </is>
      </c>
      <c r="F177" s="22" t="inlineStr">
        <is>
          <t>—</t>
        </is>
      </c>
      <c r="G177" s="22" t="inlineStr">
        <is>
          <t>Sunday</t>
        </is>
      </c>
    </row>
    <row r="178" ht="15" customHeight="1" s="18">
      <c r="A178" s="22" t="n">
        <v>177</v>
      </c>
      <c r="B178" s="22" t="inlineStr">
        <is>
          <t>Everyday Enchantment</t>
        </is>
      </c>
      <c r="C178" s="22" t="inlineStr">
        <is>
          <t>The Nesting Spell</t>
        </is>
      </c>
      <c r="D178" s="22" t="inlineStr">
        <is>
          <t>Hand Mirror</t>
        </is>
      </c>
      <c r="E178" s="22" t="inlineStr">
        <is>
          <t>—</t>
        </is>
      </c>
      <c r="F178" s="22" t="inlineStr">
        <is>
          <t>The Empress</t>
        </is>
      </c>
      <c r="G178" s="22" t="inlineStr">
        <is>
          <t>Any time</t>
        </is>
      </c>
    </row>
    <row r="179" ht="15" customHeight="1" s="18">
      <c r="A179" s="22" t="n">
        <v>178</v>
      </c>
      <c r="B179" s="22" t="inlineStr">
        <is>
          <t>Everyday Enchantment</t>
        </is>
      </c>
      <c r="C179" s="22" t="inlineStr">
        <is>
          <t>The Rain-Rinse Ritual</t>
        </is>
      </c>
      <c r="D179" s="22" t="inlineStr">
        <is>
          <t>Soap</t>
        </is>
      </c>
      <c r="E179" s="22" t="inlineStr">
        <is>
          <t>—</t>
        </is>
      </c>
      <c r="F179" s="22" t="inlineStr">
        <is>
          <t>—</t>
        </is>
      </c>
      <c r="G179" s="22" t="inlineStr">
        <is>
          <t>Rain</t>
        </is>
      </c>
    </row>
    <row r="180" ht="15" customHeight="1" s="18">
      <c r="A180" s="22" t="n">
        <v>179</v>
      </c>
      <c r="B180" s="22" t="inlineStr">
        <is>
          <t>Everyday Enchantment</t>
        </is>
      </c>
      <c r="C180" s="22" t="inlineStr">
        <is>
          <t>The Path of Least Fuss</t>
        </is>
      </c>
      <c r="D180" s="22" t="inlineStr">
        <is>
          <t>Charm</t>
        </is>
      </c>
      <c r="E180" s="22" t="inlineStr">
        <is>
          <t>—</t>
        </is>
      </c>
      <c r="F180" s="22" t="inlineStr">
        <is>
          <t>—</t>
        </is>
      </c>
      <c r="G180" s="22" t="inlineStr">
        <is>
          <t>Any time</t>
        </is>
      </c>
    </row>
    <row r="181" ht="15" customHeight="1" s="18">
      <c r="A181" s="22" t="n">
        <v>180</v>
      </c>
      <c r="B181" s="22" t="inlineStr">
        <is>
          <t>Everyday Enchantment</t>
        </is>
      </c>
      <c r="C181" s="22" t="inlineStr">
        <is>
          <t>The Little Victory Bell</t>
        </is>
      </c>
      <c r="D181" s="22" t="inlineStr">
        <is>
          <t>Powder</t>
        </is>
      </c>
      <c r="E181" s="22" t="inlineStr">
        <is>
          <t>—</t>
        </is>
      </c>
      <c r="F181" s="22" t="inlineStr">
        <is>
          <t>—</t>
        </is>
      </c>
      <c r="G181" s="22" t="inlineStr">
        <is>
          <t>Twilight</t>
        </is>
      </c>
    </row>
    <row r="182" ht="15" customHeight="1" s="18">
      <c r="A182" s="22" t="n">
        <v>181</v>
      </c>
      <c r="B182" s="22" t="inlineStr">
        <is>
          <t>Shadow &amp; Inner Work</t>
        </is>
      </c>
      <c r="C182" s="22" t="inlineStr">
        <is>
          <t>The Pattern Beneath</t>
        </is>
      </c>
      <c r="D182" s="22" t="inlineStr">
        <is>
          <t>Hand Mirror</t>
        </is>
      </c>
      <c r="E182" s="22" t="inlineStr">
        <is>
          <t>Purple</t>
        </is>
      </c>
      <c r="F182" s="22" t="inlineStr">
        <is>
          <t>The Moon</t>
        </is>
      </c>
      <c r="G182" s="22" t="inlineStr">
        <is>
          <t>New Moon</t>
        </is>
      </c>
    </row>
    <row r="183" ht="15" customHeight="1" s="18">
      <c r="A183" s="22" t="n">
        <v>182</v>
      </c>
      <c r="B183" s="22" t="inlineStr">
        <is>
          <t>Shadow &amp; Inner Work</t>
        </is>
      </c>
      <c r="C183" s="22" t="inlineStr">
        <is>
          <t>The Door You Know</t>
        </is>
      </c>
      <c r="D183" s="22" t="inlineStr">
        <is>
          <t>Wand</t>
        </is>
      </c>
      <c r="E183" s="22" t="inlineStr">
        <is>
          <t>Red</t>
        </is>
      </c>
      <c r="F183" s="22" t="inlineStr">
        <is>
          <t>Strength</t>
        </is>
      </c>
      <c r="G183" s="22" t="inlineStr">
        <is>
          <t>Tuesday · New Moon</t>
        </is>
      </c>
    </row>
    <row r="184" ht="15" customHeight="1" s="18">
      <c r="A184" s="22" t="n">
        <v>183</v>
      </c>
      <c r="B184" s="22" t="inlineStr">
        <is>
          <t>Shadow &amp; Inner Work</t>
        </is>
      </c>
      <c r="C184" s="22" t="inlineStr">
        <is>
          <t>The Hand on the Wheel</t>
        </is>
      </c>
      <c r="D184" s="22" t="inlineStr">
        <is>
          <t>Talisman</t>
        </is>
      </c>
      <c r="E184" s="22" t="inlineStr">
        <is>
          <t>Gold</t>
        </is>
      </c>
      <c r="F184" s="22" t="inlineStr">
        <is>
          <t>The Chariot</t>
        </is>
      </c>
      <c r="G184" s="22" t="inlineStr">
        <is>
          <t>Sunday · Noon</t>
        </is>
      </c>
    </row>
    <row r="185" ht="15" customHeight="1" s="18">
      <c r="A185" s="22" t="n">
        <v>184</v>
      </c>
      <c r="B185" s="22" t="inlineStr">
        <is>
          <t>Shadow &amp; Inner Work</t>
        </is>
      </c>
      <c r="C185" s="22" t="inlineStr">
        <is>
          <t>The Guiltless Garden</t>
        </is>
      </c>
      <c r="D185" s="22" t="inlineStr">
        <is>
          <t>Water</t>
        </is>
      </c>
      <c r="E185" s="22" t="inlineStr">
        <is>
          <t>Pink</t>
        </is>
      </c>
      <c r="F185" s="22" t="inlineStr">
        <is>
          <t>—</t>
        </is>
      </c>
      <c r="G185" s="22" t="inlineStr">
        <is>
          <t>after Rain</t>
        </is>
      </c>
    </row>
    <row r="186" ht="15" customHeight="1" s="18">
      <c r="A186" s="22" t="n">
        <v>185</v>
      </c>
      <c r="B186" s="22" t="inlineStr">
        <is>
          <t>Shadow &amp; Inner Work</t>
        </is>
      </c>
      <c r="C186" s="22" t="inlineStr">
        <is>
          <t>The Ember Keeper</t>
        </is>
      </c>
      <c r="D186" s="22" t="inlineStr">
        <is>
          <t>Oil</t>
        </is>
      </c>
      <c r="E186" s="22" t="inlineStr">
        <is>
          <t>Red</t>
        </is>
      </c>
      <c r="F186" s="22" t="inlineStr">
        <is>
          <t>Strength</t>
        </is>
      </c>
      <c r="G186" s="22" t="inlineStr">
        <is>
          <t>Tuesday · Waning Moon</t>
        </is>
      </c>
    </row>
    <row r="187" ht="15" customHeight="1" s="18">
      <c r="A187" s="22" t="n">
        <v>186</v>
      </c>
      <c r="B187" s="22" t="inlineStr">
        <is>
          <t>Shadow &amp; Inner Work</t>
        </is>
      </c>
      <c r="C187" s="22" t="inlineStr">
        <is>
          <t>The Unapologetic Gate</t>
        </is>
      </c>
      <c r="D187" s="22" t="inlineStr">
        <is>
          <t>Sigil</t>
        </is>
      </c>
      <c r="E187" s="22" t="inlineStr">
        <is>
          <t>Red</t>
        </is>
      </c>
      <c r="F187" s="22" t="inlineStr">
        <is>
          <t>Justice</t>
        </is>
      </c>
      <c r="G187" s="22" t="inlineStr">
        <is>
          <t>Saturday</t>
        </is>
      </c>
    </row>
    <row r="188" ht="15" customHeight="1" s="18">
      <c r="A188" s="22" t="n">
        <v>187</v>
      </c>
      <c r="B188" s="22" t="inlineStr">
        <is>
          <t>Shadow &amp; Inner Work</t>
        </is>
      </c>
      <c r="C188" s="22" t="inlineStr">
        <is>
          <t>The Unseated Guest</t>
        </is>
      </c>
      <c r="D188" s="22" t="inlineStr">
        <is>
          <t>Poppet</t>
        </is>
      </c>
      <c r="E188" s="22" t="inlineStr">
        <is>
          <t>Grey</t>
        </is>
      </c>
      <c r="F188" s="22" t="inlineStr">
        <is>
          <t>—</t>
        </is>
      </c>
      <c r="G188" s="22" t="inlineStr">
        <is>
          <t>Rain</t>
        </is>
      </c>
    </row>
    <row r="189" ht="15" customHeight="1" s="18">
      <c r="A189" s="22" t="n">
        <v>188</v>
      </c>
      <c r="B189" s="22" t="inlineStr">
        <is>
          <t>Shadow &amp; Inner Work</t>
        </is>
      </c>
      <c r="C189" s="22" t="inlineStr">
        <is>
          <t>The Green-Eyed Lantern</t>
        </is>
      </c>
      <c r="D189" s="22" t="inlineStr">
        <is>
          <t>Incense</t>
        </is>
      </c>
      <c r="E189" s="22" t="inlineStr">
        <is>
          <t>Grey</t>
        </is>
      </c>
      <c r="F189" s="22" t="inlineStr">
        <is>
          <t>—</t>
        </is>
      </c>
      <c r="G189" s="22" t="inlineStr">
        <is>
          <t>Waning Moon · Twilight</t>
        </is>
      </c>
    </row>
    <row r="190" ht="15" customHeight="1" s="18">
      <c r="A190" s="22" t="n">
        <v>189</v>
      </c>
      <c r="B190" s="22" t="inlineStr">
        <is>
          <t>Shadow &amp; Inner Work</t>
        </is>
      </c>
      <c r="C190" s="22" t="inlineStr">
        <is>
          <t>The Cracked Porcelain Crown</t>
        </is>
      </c>
      <c r="D190" s="22" t="inlineStr">
        <is>
          <t>Soap</t>
        </is>
      </c>
      <c r="E190" s="22" t="inlineStr">
        <is>
          <t>—</t>
        </is>
      </c>
      <c r="F190" s="22" t="inlineStr">
        <is>
          <t>—</t>
        </is>
      </c>
      <c r="G190" s="22" t="inlineStr">
        <is>
          <t>Any time</t>
        </is>
      </c>
    </row>
    <row r="191" ht="15" customHeight="1" s="18">
      <c r="A191" s="22" t="n">
        <v>190</v>
      </c>
      <c r="B191" s="22" t="inlineStr">
        <is>
          <t>Shadow &amp; Inner Work</t>
        </is>
      </c>
      <c r="C191" s="22" t="inlineStr">
        <is>
          <t>The Unpinned Mask</t>
        </is>
      </c>
      <c r="D191" s="22" t="inlineStr">
        <is>
          <t>Glamour</t>
        </is>
      </c>
      <c r="E191" s="22" t="inlineStr">
        <is>
          <t>—</t>
        </is>
      </c>
      <c r="F191" s="22" t="inlineStr">
        <is>
          <t>The Tower</t>
        </is>
      </c>
      <c r="G191" s="22" t="inlineStr">
        <is>
          <t>Samhain</t>
        </is>
      </c>
    </row>
    <row r="192" ht="15" customHeight="1" s="18">
      <c r="A192" s="22" t="n">
        <v>191</v>
      </c>
      <c r="B192" s="22" t="inlineStr">
        <is>
          <t>Shadow &amp; Inner Work</t>
        </is>
      </c>
      <c r="C192" s="22" t="inlineStr">
        <is>
          <t>The Forgotten Room</t>
        </is>
      </c>
      <c r="D192" s="22" t="inlineStr">
        <is>
          <t>Sachet</t>
        </is>
      </c>
      <c r="E192" s="22" t="inlineStr">
        <is>
          <t>—</t>
        </is>
      </c>
      <c r="F192" s="22" t="inlineStr">
        <is>
          <t>The Hierophant</t>
        </is>
      </c>
      <c r="G192" s="22" t="inlineStr">
        <is>
          <t>Fog / Mist</t>
        </is>
      </c>
    </row>
    <row r="193" ht="15" customHeight="1" s="18">
      <c r="A193" s="22" t="n">
        <v>192</v>
      </c>
      <c r="B193" s="22" t="inlineStr">
        <is>
          <t>Shadow &amp; Inner Work</t>
        </is>
      </c>
      <c r="C193" s="22" t="inlineStr">
        <is>
          <t>The Unwritten Rule</t>
        </is>
      </c>
      <c r="D193" s="22" t="inlineStr">
        <is>
          <t>Rune</t>
        </is>
      </c>
      <c r="E193" s="22" t="inlineStr">
        <is>
          <t>—</t>
        </is>
      </c>
      <c r="F193" s="22" t="inlineStr">
        <is>
          <t>The Hierophant</t>
        </is>
      </c>
      <c r="G193" s="22" t="inlineStr">
        <is>
          <t>Any time</t>
        </is>
      </c>
    </row>
    <row r="194" ht="15" customHeight="1" s="18">
      <c r="A194" s="22" t="n">
        <v>193</v>
      </c>
      <c r="B194" s="22" t="inlineStr">
        <is>
          <t>Shadow &amp; Inner Work</t>
        </is>
      </c>
      <c r="C194" s="22" t="inlineStr">
        <is>
          <t>The Full-Sized Flame</t>
        </is>
      </c>
      <c r="D194" s="22" t="inlineStr">
        <is>
          <t>Powder</t>
        </is>
      </c>
      <c r="E194" s="22" t="inlineStr">
        <is>
          <t>Red</t>
        </is>
      </c>
      <c r="F194" s="22" t="inlineStr">
        <is>
          <t>Strength</t>
        </is>
      </c>
      <c r="G194" s="22" t="inlineStr">
        <is>
          <t>Sunday</t>
        </is>
      </c>
    </row>
    <row r="195" ht="15" customHeight="1" s="18">
      <c r="A195" s="22" t="n">
        <v>194</v>
      </c>
      <c r="B195" s="22" t="inlineStr">
        <is>
          <t>Shadow &amp; Inner Work</t>
        </is>
      </c>
      <c r="C195" s="22" t="inlineStr">
        <is>
          <t>The Inner Housekeeper</t>
        </is>
      </c>
      <c r="D195" s="22" t="inlineStr">
        <is>
          <t>Tea</t>
        </is>
      </c>
      <c r="E195" s="22" t="inlineStr">
        <is>
          <t>—</t>
        </is>
      </c>
      <c r="F195" s="22" t="inlineStr">
        <is>
          <t>—</t>
        </is>
      </c>
      <c r="G195" s="22" t="inlineStr">
        <is>
          <t>Any time</t>
        </is>
      </c>
    </row>
    <row r="196" ht="15" customHeight="1" s="18">
      <c r="A196" s="22" t="n">
        <v>195</v>
      </c>
      <c r="B196" s="22" t="inlineStr">
        <is>
          <t>Shadow &amp; Inner Work</t>
        </is>
      </c>
      <c r="C196" s="22" t="inlineStr">
        <is>
          <t>The Younger Moon</t>
        </is>
      </c>
      <c r="D196" s="22" t="inlineStr">
        <is>
          <t>Balm</t>
        </is>
      </c>
      <c r="E196" s="22" t="inlineStr">
        <is>
          <t>Pink</t>
        </is>
      </c>
      <c r="F196" s="22" t="inlineStr">
        <is>
          <t>The Star</t>
        </is>
      </c>
      <c r="G196" s="22" t="inlineStr">
        <is>
          <t>Waning Gibbous</t>
        </is>
      </c>
    </row>
    <row r="197" ht="15" customHeight="1" s="18">
      <c r="A197" s="22" t="n">
        <v>196</v>
      </c>
      <c r="B197" s="22" t="inlineStr">
        <is>
          <t>Shadow &amp; Inner Work</t>
        </is>
      </c>
      <c r="C197" s="22" t="inlineStr">
        <is>
          <t>The Retired Myth</t>
        </is>
      </c>
      <c r="D197" s="22" t="inlineStr">
        <is>
          <t>Spell Bottle</t>
        </is>
      </c>
      <c r="E197" s="22" t="inlineStr">
        <is>
          <t>Black</t>
        </is>
      </c>
      <c r="F197" s="22" t="inlineStr">
        <is>
          <t>Death</t>
        </is>
      </c>
      <c r="G197" s="22" t="inlineStr">
        <is>
          <t>Waning Crescent</t>
        </is>
      </c>
    </row>
    <row r="198" ht="15" customHeight="1" s="18">
      <c r="A198" s="22" t="n">
        <v>197</v>
      </c>
      <c r="B198" s="22" t="inlineStr">
        <is>
          <t>Shadow &amp; Inner Work</t>
        </is>
      </c>
      <c r="C198" s="22" t="inlineStr">
        <is>
          <t>The Two-Sided Star</t>
        </is>
      </c>
      <c r="D198" s="22" t="inlineStr">
        <is>
          <t>Amulet</t>
        </is>
      </c>
      <c r="E198" s="22" t="inlineStr">
        <is>
          <t>Grey</t>
        </is>
      </c>
      <c r="F198" s="22" t="inlineStr">
        <is>
          <t>Temperance</t>
        </is>
      </c>
      <c r="G198" s="22" t="inlineStr">
        <is>
          <t>Any equinox (Ostara or Mabon)</t>
        </is>
      </c>
    </row>
    <row r="199" ht="15" customHeight="1" s="18">
      <c r="A199" s="22" t="n">
        <v>198</v>
      </c>
      <c r="B199" s="22" t="inlineStr">
        <is>
          <t>Shadow &amp; Inner Work</t>
        </is>
      </c>
      <c r="C199" s="22" t="inlineStr">
        <is>
          <t>The Forgiving Tide</t>
        </is>
      </c>
      <c r="D199" s="22" t="inlineStr">
        <is>
          <t>Bath Salt</t>
        </is>
      </c>
      <c r="E199" s="22" t="inlineStr">
        <is>
          <t>Grey</t>
        </is>
      </c>
      <c r="F199" s="22" t="inlineStr">
        <is>
          <t>Judgement</t>
        </is>
      </c>
      <c r="G199" s="22" t="inlineStr">
        <is>
          <t>Waning Gibbous</t>
        </is>
      </c>
    </row>
    <row r="200" ht="15" customHeight="1" s="18">
      <c r="A200" s="22" t="n">
        <v>199</v>
      </c>
      <c r="B200" s="22" t="inlineStr">
        <is>
          <t>Shadow &amp; Inner Work</t>
        </is>
      </c>
      <c r="C200" s="22" t="inlineStr">
        <is>
          <t>The Brave Little Lantern</t>
        </is>
      </c>
      <c r="D200" s="22" t="inlineStr">
        <is>
          <t>Potion</t>
        </is>
      </c>
      <c r="E200" s="22" t="inlineStr">
        <is>
          <t>Black</t>
        </is>
      </c>
      <c r="F200" s="22" t="inlineStr">
        <is>
          <t>Strength</t>
        </is>
      </c>
      <c r="G200" s="22" t="inlineStr">
        <is>
          <t>Wolf Moon (January full moon)</t>
        </is>
      </c>
    </row>
    <row r="201" ht="15" customHeight="1" s="18">
      <c r="A201" s="22" t="n">
        <v>200</v>
      </c>
      <c r="B201" s="22" t="inlineStr">
        <is>
          <t>Shadow &amp; Inner Work</t>
        </is>
      </c>
      <c r="C201" s="22" t="inlineStr">
        <is>
          <t>The Broken Loop Key</t>
        </is>
      </c>
      <c r="D201" s="22" t="inlineStr">
        <is>
          <t>Witch's Ladder</t>
        </is>
      </c>
      <c r="E201" s="22" t="inlineStr">
        <is>
          <t>Grey</t>
        </is>
      </c>
      <c r="F201" s="22" t="inlineStr">
        <is>
          <t>The Tower</t>
        </is>
      </c>
      <c r="G201" s="22" t="inlineStr">
        <is>
          <t>Saturday</t>
        </is>
      </c>
    </row>
    <row r="202" ht="15" customHeight="1" s="18">
      <c r="A202" s="22" t="n">
        <v>201</v>
      </c>
      <c r="B202" s="22" t="inlineStr">
        <is>
          <t>Shadow &amp; Inner Work</t>
        </is>
      </c>
      <c r="C202" s="22" t="inlineStr">
        <is>
          <t>The Old Shield, Laid Down</t>
        </is>
      </c>
      <c r="D202" s="22" t="inlineStr">
        <is>
          <t>Witch Salt</t>
        </is>
      </c>
      <c r="E202" s="22" t="inlineStr">
        <is>
          <t>White</t>
        </is>
      </c>
      <c r="F202" s="22" t="inlineStr">
        <is>
          <t>Death</t>
        </is>
      </c>
      <c r="G202" s="22" t="inlineStr">
        <is>
          <t>Waning Moon</t>
        </is>
      </c>
    </row>
    <row r="203" ht="15" customHeight="1" s="18">
      <c r="A203" s="22" t="n">
        <v>202</v>
      </c>
      <c r="B203" s="22" t="inlineStr">
        <is>
          <t>Shadow &amp; Inner Work</t>
        </is>
      </c>
      <c r="C203" s="22" t="inlineStr">
        <is>
          <t>The Unconditional Pillow</t>
        </is>
      </c>
      <c r="D203" s="22" t="inlineStr">
        <is>
          <t>Butter</t>
        </is>
      </c>
      <c r="E203" s="22" t="inlineStr">
        <is>
          <t>—</t>
        </is>
      </c>
      <c r="F203" s="22" t="inlineStr">
        <is>
          <t>—</t>
        </is>
      </c>
      <c r="G203" s="22" t="inlineStr">
        <is>
          <t>Sunday</t>
        </is>
      </c>
    </row>
    <row r="204" ht="15" customHeight="1" s="18">
      <c r="A204" s="22" t="n">
        <v>203</v>
      </c>
      <c r="B204" s="22" t="inlineStr">
        <is>
          <t>Shadow &amp; Inner Work</t>
        </is>
      </c>
      <c r="C204" s="22" t="inlineStr">
        <is>
          <t>The First-Draft Witch</t>
        </is>
      </c>
      <c r="D204" s="22" t="inlineStr">
        <is>
          <t>Cookies</t>
        </is>
      </c>
      <c r="E204" s="22" t="inlineStr">
        <is>
          <t>—</t>
        </is>
      </c>
      <c r="F204" s="22" t="inlineStr">
        <is>
          <t>The Fool</t>
        </is>
      </c>
      <c r="G204" s="22" t="inlineStr">
        <is>
          <t>Any time</t>
        </is>
      </c>
    </row>
    <row r="205" ht="15" customHeight="1" s="18">
      <c r="A205" s="22" t="n">
        <v>204</v>
      </c>
      <c r="B205" s="22" t="inlineStr">
        <is>
          <t>Shadow &amp; Inner Work</t>
        </is>
      </c>
      <c r="C205" s="22" t="inlineStr">
        <is>
          <t>The Velvet Truth</t>
        </is>
      </c>
      <c r="D205" s="22" t="inlineStr">
        <is>
          <t>Hand Mirror</t>
        </is>
      </c>
      <c r="E205" s="22" t="inlineStr">
        <is>
          <t>Blue</t>
        </is>
      </c>
      <c r="F205" s="22" t="inlineStr">
        <is>
          <t>Justice</t>
        </is>
      </c>
      <c r="G205" s="22" t="inlineStr">
        <is>
          <t>Wednesday</t>
        </is>
      </c>
    </row>
    <row r="206" ht="15" customHeight="1" s="18">
      <c r="A206" s="22" t="n">
        <v>205</v>
      </c>
      <c r="B206" s="22" t="inlineStr">
        <is>
          <t>Shadow &amp; Inner Work</t>
        </is>
      </c>
      <c r="C206" s="22" t="inlineStr">
        <is>
          <t>The Empty Frame</t>
        </is>
      </c>
      <c r="D206" s="22" t="inlineStr">
        <is>
          <t>Water</t>
        </is>
      </c>
      <c r="E206" s="22" t="inlineStr">
        <is>
          <t>White</t>
        </is>
      </c>
      <c r="F206" s="22" t="inlineStr">
        <is>
          <t>—</t>
        </is>
      </c>
      <c r="G206" s="22" t="inlineStr">
        <is>
          <t>Waning Moon</t>
        </is>
      </c>
    </row>
    <row r="207" ht="15" customHeight="1" s="18">
      <c r="A207" s="22" t="n">
        <v>206</v>
      </c>
      <c r="B207" s="22" t="inlineStr">
        <is>
          <t>Shadow &amp; Inner Work</t>
        </is>
      </c>
      <c r="C207" s="22" t="inlineStr">
        <is>
          <t>The Clear Bell</t>
        </is>
      </c>
      <c r="D207" s="22" t="inlineStr">
        <is>
          <t>Tonic</t>
        </is>
      </c>
      <c r="E207" s="22" t="inlineStr">
        <is>
          <t>White</t>
        </is>
      </c>
      <c r="F207" s="22" t="inlineStr">
        <is>
          <t>The High Priestess</t>
        </is>
      </c>
      <c r="G207" s="22" t="inlineStr">
        <is>
          <t>Twilight</t>
        </is>
      </c>
    </row>
    <row r="208" ht="15" customHeight="1" s="18">
      <c r="A208" s="22" t="n">
        <v>207</v>
      </c>
      <c r="B208" s="22" t="inlineStr">
        <is>
          <t>Shadow &amp; Inner Work</t>
        </is>
      </c>
      <c r="C208" s="22" t="inlineStr">
        <is>
          <t>The Spiral Staircase</t>
        </is>
      </c>
      <c r="D208" s="22" t="inlineStr">
        <is>
          <t>Rune</t>
        </is>
      </c>
      <c r="E208" s="22" t="inlineStr">
        <is>
          <t>—</t>
        </is>
      </c>
      <c r="F208" s="22" t="inlineStr">
        <is>
          <t>Wheel of Fortune</t>
        </is>
      </c>
      <c r="G208" s="22" t="inlineStr">
        <is>
          <t>Worm Moon (March full moon)</t>
        </is>
      </c>
    </row>
    <row r="209" ht="15" customHeight="1" s="18">
      <c r="A209" s="22" t="n">
        <v>208</v>
      </c>
      <c r="B209" s="22" t="inlineStr">
        <is>
          <t>Shadow &amp; Inner Work</t>
        </is>
      </c>
      <c r="C209" s="22" t="inlineStr">
        <is>
          <t>The Rain-Rooted Heart</t>
        </is>
      </c>
      <c r="D209" s="22" t="inlineStr">
        <is>
          <t>Incense</t>
        </is>
      </c>
      <c r="E209" s="22" t="inlineStr">
        <is>
          <t>Grey</t>
        </is>
      </c>
      <c r="F209" s="22" t="inlineStr">
        <is>
          <t>Judgement</t>
        </is>
      </c>
      <c r="G209" s="22" t="inlineStr">
        <is>
          <t>Rain</t>
        </is>
      </c>
    </row>
    <row r="210" ht="15" customHeight="1" s="18">
      <c r="A210" s="22" t="n">
        <v>209</v>
      </c>
      <c r="B210" s="22" t="inlineStr">
        <is>
          <t>Shadow &amp; Inner Work</t>
        </is>
      </c>
      <c r="C210" s="22" t="inlineStr">
        <is>
          <t>The Worth Beyond Work</t>
        </is>
      </c>
      <c r="D210" s="22" t="inlineStr">
        <is>
          <t>Charm</t>
        </is>
      </c>
      <c r="E210" s="22" t="inlineStr">
        <is>
          <t>Pink</t>
        </is>
      </c>
      <c r="F210" s="22" t="inlineStr">
        <is>
          <t>The Hermit</t>
        </is>
      </c>
      <c r="G210" s="22" t="inlineStr">
        <is>
          <t>Sunday</t>
        </is>
      </c>
    </row>
    <row r="211" ht="15" customHeight="1" s="18">
      <c r="A211" s="22" t="n">
        <v>210</v>
      </c>
      <c r="B211" s="22" t="inlineStr">
        <is>
          <t>Shadow &amp; Inner Work</t>
        </is>
      </c>
      <c r="C211" s="22" t="inlineStr">
        <is>
          <t>The Kind Voice Within</t>
        </is>
      </c>
      <c r="D211" s="22" t="inlineStr">
        <is>
          <t>Tea</t>
        </is>
      </c>
      <c r="E211" s="22" t="inlineStr">
        <is>
          <t>Pink</t>
        </is>
      </c>
      <c r="F211" s="22" t="inlineStr">
        <is>
          <t>The Empress</t>
        </is>
      </c>
      <c r="G211" s="22" t="inlineStr">
        <is>
          <t>Any time</t>
        </is>
      </c>
    </row>
    <row r="212" ht="15" customHeight="1" s="18">
      <c r="A212" s="22" t="n">
        <v>211</v>
      </c>
      <c r="B212" s="22" t="inlineStr">
        <is>
          <t>Playful &amp; Niche Intentions</t>
        </is>
      </c>
      <c r="C212" s="22" t="inlineStr">
        <is>
          <t>The Glittering Entrance</t>
        </is>
      </c>
      <c r="D212" s="22" t="inlineStr">
        <is>
          <t>Glamour</t>
        </is>
      </c>
      <c r="E212" s="22" t="inlineStr">
        <is>
          <t>Gold</t>
        </is>
      </c>
      <c r="F212" s="22" t="inlineStr">
        <is>
          <t>The Sun</t>
        </is>
      </c>
      <c r="G212" s="22" t="inlineStr">
        <is>
          <t>Friday · Sunrise</t>
        </is>
      </c>
    </row>
    <row r="213" ht="15" customHeight="1" s="18">
      <c r="A213" s="22" t="n">
        <v>212</v>
      </c>
      <c r="B213" s="22" t="inlineStr">
        <is>
          <t>Playful &amp; Niche Intentions</t>
        </is>
      </c>
      <c r="C213" s="22" t="inlineStr">
        <is>
          <t>The Silken Halo</t>
        </is>
      </c>
      <c r="D213" s="22" t="inlineStr">
        <is>
          <t>Oil</t>
        </is>
      </c>
      <c r="E213" s="22" t="inlineStr">
        <is>
          <t>—</t>
        </is>
      </c>
      <c r="F213" s="22" t="inlineStr">
        <is>
          <t>—</t>
        </is>
      </c>
      <c r="G213" s="22" t="inlineStr">
        <is>
          <t>Flower Moon (May full moon)</t>
        </is>
      </c>
    </row>
    <row r="214" ht="15" customHeight="1" s="18">
      <c r="A214" s="22" t="n">
        <v>213</v>
      </c>
      <c r="B214" s="22" t="inlineStr">
        <is>
          <t>Playful &amp; Niche Intentions</t>
        </is>
      </c>
      <c r="C214" s="22" t="inlineStr">
        <is>
          <t>The Lost-and-Found Familiar</t>
        </is>
      </c>
      <c r="D214" s="22" t="inlineStr">
        <is>
          <t>Wand</t>
        </is>
      </c>
      <c r="E214" s="22" t="inlineStr">
        <is>
          <t>—</t>
        </is>
      </c>
      <c r="F214" s="22" t="inlineStr">
        <is>
          <t>—</t>
        </is>
      </c>
      <c r="G214" s="22" t="inlineStr">
        <is>
          <t>Wednesday</t>
        </is>
      </c>
    </row>
    <row r="215" ht="15" customHeight="1" s="18">
      <c r="A215" s="22" t="n">
        <v>214</v>
      </c>
      <c r="B215" s="22" t="inlineStr">
        <is>
          <t>Playful &amp; Niche Intentions</t>
        </is>
      </c>
      <c r="C215" s="22" t="inlineStr">
        <is>
          <t>The Main-Character Morning</t>
        </is>
      </c>
      <c r="D215" s="22" t="inlineStr">
        <is>
          <t>Potion</t>
        </is>
      </c>
      <c r="E215" s="22" t="inlineStr">
        <is>
          <t>Orange</t>
        </is>
      </c>
      <c r="F215" s="22" t="inlineStr">
        <is>
          <t>The Sun</t>
        </is>
      </c>
      <c r="G215" s="22" t="inlineStr">
        <is>
          <t>Sunrise</t>
        </is>
      </c>
    </row>
    <row r="216" ht="15" customHeight="1" s="18">
      <c r="A216" s="22" t="n">
        <v>215</v>
      </c>
      <c r="B216" s="22" t="inlineStr">
        <is>
          <t>Playful &amp; Niche Intentions</t>
        </is>
      </c>
      <c r="C216" s="22" t="inlineStr">
        <is>
          <t>The Lucky Pixel</t>
        </is>
      </c>
      <c r="D216" s="22" t="inlineStr">
        <is>
          <t>Talisman</t>
        </is>
      </c>
      <c r="E216" s="22" t="inlineStr">
        <is>
          <t>Green</t>
        </is>
      </c>
      <c r="F216" s="22" t="inlineStr">
        <is>
          <t>Wheel of Fortune</t>
        </is>
      </c>
      <c r="G216" s="22" t="inlineStr">
        <is>
          <t>Thursday</t>
        </is>
      </c>
    </row>
    <row r="217" ht="15" customHeight="1" s="18">
      <c r="A217" s="22" t="n">
        <v>216</v>
      </c>
      <c r="B217" s="22" t="inlineStr">
        <is>
          <t>Playful &amp; Niche Intentions</t>
        </is>
      </c>
      <c r="C217" s="22" t="inlineStr">
        <is>
          <t>The Compliment Constellation</t>
        </is>
      </c>
      <c r="D217" s="22" t="inlineStr">
        <is>
          <t>Charm</t>
        </is>
      </c>
      <c r="E217" s="22" t="inlineStr">
        <is>
          <t>Pink</t>
        </is>
      </c>
      <c r="F217" s="22" t="inlineStr">
        <is>
          <t>—</t>
        </is>
      </c>
      <c r="G217" s="22" t="inlineStr">
        <is>
          <t>Friday</t>
        </is>
      </c>
    </row>
    <row r="218" ht="15" customHeight="1" s="18">
      <c r="A218" s="22" t="n">
        <v>217</v>
      </c>
      <c r="B218" s="22" t="inlineStr">
        <is>
          <t>Playful &amp; Niche Intentions</t>
        </is>
      </c>
      <c r="C218" s="22" t="inlineStr">
        <is>
          <t>Everyday Stardust</t>
        </is>
      </c>
      <c r="D218" s="22" t="inlineStr">
        <is>
          <t>Powder</t>
        </is>
      </c>
      <c r="E218" s="22" t="inlineStr">
        <is>
          <t>—</t>
        </is>
      </c>
      <c r="F218" s="22" t="inlineStr">
        <is>
          <t>—</t>
        </is>
      </c>
      <c r="G218" s="22" t="inlineStr">
        <is>
          <t>Any time</t>
        </is>
      </c>
    </row>
    <row r="219" ht="15" customHeight="1" s="18">
      <c r="A219" s="22" t="n">
        <v>218</v>
      </c>
      <c r="B219" s="22" t="inlineStr">
        <is>
          <t>Playful &amp; Niche Intentions</t>
        </is>
      </c>
      <c r="C219" s="22" t="inlineStr">
        <is>
          <t>The Outfit Oracle</t>
        </is>
      </c>
      <c r="D219" s="22" t="inlineStr">
        <is>
          <t>Hand Mirror</t>
        </is>
      </c>
      <c r="E219" s="22" t="inlineStr">
        <is>
          <t>—</t>
        </is>
      </c>
      <c r="F219" s="22" t="inlineStr">
        <is>
          <t>The Empress</t>
        </is>
      </c>
      <c r="G219" s="22" t="inlineStr">
        <is>
          <t>Friday · Noon</t>
        </is>
      </c>
    </row>
    <row r="220" ht="15" customHeight="1" s="18">
      <c r="A220" s="22" t="n">
        <v>219</v>
      </c>
      <c r="B220" s="22" t="inlineStr">
        <is>
          <t>Playful &amp; Niche Intentions</t>
        </is>
      </c>
      <c r="C220" s="22" t="inlineStr">
        <is>
          <t>The Hello Spell</t>
        </is>
      </c>
      <c r="D220" s="22" t="inlineStr">
        <is>
          <t>Sachet</t>
        </is>
      </c>
      <c r="E220" s="22" t="inlineStr">
        <is>
          <t>Pink</t>
        </is>
      </c>
      <c r="F220" s="22" t="inlineStr">
        <is>
          <t>The Devil</t>
        </is>
      </c>
      <c r="G220" s="22" t="inlineStr">
        <is>
          <t>Wednesday</t>
        </is>
      </c>
    </row>
    <row r="221" ht="15" customHeight="1" s="18">
      <c r="A221" s="22" t="n">
        <v>220</v>
      </c>
      <c r="B221" s="22" t="inlineStr">
        <is>
          <t>Playful &amp; Niche Intentions</t>
        </is>
      </c>
      <c r="C221" s="22" t="inlineStr">
        <is>
          <t>The Sweet Little Detour</t>
        </is>
      </c>
      <c r="D221" s="22" t="inlineStr">
        <is>
          <t>Cookies</t>
        </is>
      </c>
      <c r="E221" s="22" t="inlineStr">
        <is>
          <t>—</t>
        </is>
      </c>
      <c r="F221" s="22" t="inlineStr">
        <is>
          <t>—</t>
        </is>
      </c>
      <c r="G221" s="22" t="inlineStr">
        <is>
          <t>Any time</t>
        </is>
      </c>
    </row>
    <row r="222" ht="15" customHeight="1" s="18">
      <c r="A222" s="22" t="n">
        <v>221</v>
      </c>
      <c r="B222" s="22" t="inlineStr">
        <is>
          <t>Playful &amp; Niche Intentions</t>
        </is>
      </c>
      <c r="C222" s="22" t="inlineStr">
        <is>
          <t>The Soundtrack Summoner</t>
        </is>
      </c>
      <c r="D222" s="22" t="inlineStr">
        <is>
          <t>Incense</t>
        </is>
      </c>
      <c r="E222" s="22" t="inlineStr">
        <is>
          <t>—</t>
        </is>
      </c>
      <c r="F222" s="22" t="inlineStr">
        <is>
          <t>—</t>
        </is>
      </c>
      <c r="G222" s="22" t="inlineStr">
        <is>
          <t>Windy</t>
        </is>
      </c>
    </row>
    <row r="223" ht="15" customHeight="1" s="18">
      <c r="A223" s="22" t="n">
        <v>222</v>
      </c>
      <c r="B223" s="22" t="inlineStr">
        <is>
          <t>Playful &amp; Niche Intentions</t>
        </is>
      </c>
      <c r="C223" s="22" t="inlineStr">
        <is>
          <t>The Camera Loves You</t>
        </is>
      </c>
      <c r="D223" s="22" t="inlineStr">
        <is>
          <t>Glamour</t>
        </is>
      </c>
      <c r="E223" s="22" t="inlineStr">
        <is>
          <t>—</t>
        </is>
      </c>
      <c r="F223" s="22" t="inlineStr">
        <is>
          <t>The Devil</t>
        </is>
      </c>
      <c r="G223" s="22" t="inlineStr">
        <is>
          <t>Twilight (golden hour)</t>
        </is>
      </c>
    </row>
    <row r="224" ht="15" customHeight="1" s="18">
      <c r="A224" s="22" t="n">
        <v>223</v>
      </c>
      <c r="B224" s="22" t="inlineStr">
        <is>
          <t>Playful &amp; Niche Intentions</t>
        </is>
      </c>
      <c r="C224" s="22" t="inlineStr">
        <is>
          <t>The Rhythm of Doing</t>
        </is>
      </c>
      <c r="D224" s="22" t="inlineStr">
        <is>
          <t>Tonic</t>
        </is>
      </c>
      <c r="E224" s="22" t="inlineStr">
        <is>
          <t>—</t>
        </is>
      </c>
      <c r="F224" s="22" t="inlineStr">
        <is>
          <t>—</t>
        </is>
      </c>
      <c r="G224" s="22" t="inlineStr">
        <is>
          <t>Wednesday</t>
        </is>
      </c>
    </row>
    <row r="225" ht="15" customHeight="1" s="18">
      <c r="A225" s="22" t="n">
        <v>224</v>
      </c>
      <c r="B225" s="22" t="inlineStr">
        <is>
          <t>Playful &amp; Niche Intentions</t>
        </is>
      </c>
      <c r="C225" s="22" t="inlineStr">
        <is>
          <t>The Finishing Charm</t>
        </is>
      </c>
      <c r="D225" s="22" t="inlineStr">
        <is>
          <t>Amulet</t>
        </is>
      </c>
      <c r="E225" s="22" t="inlineStr">
        <is>
          <t>—</t>
        </is>
      </c>
      <c r="F225" s="22" t="inlineStr">
        <is>
          <t>—</t>
        </is>
      </c>
      <c r="G225" s="22" t="inlineStr">
        <is>
          <t>Any time</t>
        </is>
      </c>
    </row>
    <row r="226" ht="15" customHeight="1" s="18">
      <c r="A226" s="22" t="n">
        <v>225</v>
      </c>
      <c r="B226" s="22" t="inlineStr">
        <is>
          <t>Playful &amp; Niche Intentions</t>
        </is>
      </c>
      <c r="C226" s="22" t="inlineStr">
        <is>
          <t>The Tiny Treasure Hunt</t>
        </is>
      </c>
      <c r="D226" s="22" t="inlineStr">
        <is>
          <t>Spell Bottle</t>
        </is>
      </c>
      <c r="E226" s="22" t="inlineStr">
        <is>
          <t>—</t>
        </is>
      </c>
      <c r="F226" s="22" t="inlineStr">
        <is>
          <t>—</t>
        </is>
      </c>
      <c r="G226" s="22" t="inlineStr">
        <is>
          <t>Any time</t>
        </is>
      </c>
    </row>
    <row r="227" ht="15" customHeight="1" s="18">
      <c r="A227" s="22" t="n">
        <v>226</v>
      </c>
      <c r="B227" s="22" t="inlineStr">
        <is>
          <t>Playful &amp; Niche Intentions</t>
        </is>
      </c>
      <c r="C227" s="22" t="inlineStr">
        <is>
          <t>The Quicksilver Quip</t>
        </is>
      </c>
      <c r="D227" s="22" t="inlineStr">
        <is>
          <t>Tea</t>
        </is>
      </c>
      <c r="E227" s="22" t="inlineStr">
        <is>
          <t>Yellow</t>
        </is>
      </c>
      <c r="F227" s="22" t="inlineStr">
        <is>
          <t>The Fool</t>
        </is>
      </c>
      <c r="G227" s="22" t="inlineStr">
        <is>
          <t>Wednesday</t>
        </is>
      </c>
    </row>
    <row r="228" ht="15" customHeight="1" s="18">
      <c r="A228" s="22" t="n">
        <v>227</v>
      </c>
      <c r="B228" s="22" t="inlineStr">
        <is>
          <t>Playful &amp; Niche Intentions</t>
        </is>
      </c>
      <c r="C228" s="22" t="inlineStr">
        <is>
          <t>The Cozy-Cute Conjuring</t>
        </is>
      </c>
      <c r="D228" s="22" t="inlineStr">
        <is>
          <t>Witch Salt</t>
        </is>
      </c>
      <c r="E228" s="22" t="inlineStr">
        <is>
          <t>Brown</t>
        </is>
      </c>
      <c r="F228" s="22" t="inlineStr">
        <is>
          <t>—</t>
        </is>
      </c>
      <c r="G228" s="22" t="inlineStr">
        <is>
          <t>Any time</t>
        </is>
      </c>
    </row>
    <row r="229" ht="15" customHeight="1" s="18">
      <c r="A229" s="22" t="n">
        <v>228</v>
      </c>
      <c r="B229" s="22" t="inlineStr">
        <is>
          <t>Playful &amp; Niche Intentions</t>
        </is>
      </c>
      <c r="C229" s="22" t="inlineStr">
        <is>
          <t>The Accidental Star</t>
        </is>
      </c>
      <c r="D229" s="22" t="inlineStr">
        <is>
          <t>Rune</t>
        </is>
      </c>
      <c r="E229" s="22" t="inlineStr">
        <is>
          <t>—</t>
        </is>
      </c>
      <c r="F229" s="22" t="inlineStr">
        <is>
          <t>—</t>
        </is>
      </c>
      <c r="G229" s="22" t="inlineStr">
        <is>
          <t>Shooting star (rare event)</t>
        </is>
      </c>
    </row>
    <row r="230" ht="15" customHeight="1" s="18">
      <c r="A230" s="22" t="n">
        <v>229</v>
      </c>
      <c r="B230" s="22" t="inlineStr">
        <is>
          <t>Playful &amp; Niche Intentions</t>
        </is>
      </c>
      <c r="C230" s="22" t="inlineStr">
        <is>
          <t>The Little Spotlight</t>
        </is>
      </c>
      <c r="D230" s="22" t="inlineStr">
        <is>
          <t>Sigil</t>
        </is>
      </c>
      <c r="E230" s="22" t="inlineStr">
        <is>
          <t>—</t>
        </is>
      </c>
      <c r="F230" s="22" t="inlineStr">
        <is>
          <t>—</t>
        </is>
      </c>
      <c r="G230" s="22" t="inlineStr">
        <is>
          <t>Sunday</t>
        </is>
      </c>
    </row>
    <row r="231" ht="15" customHeight="1" s="18">
      <c r="A231" s="22" t="n">
        <v>230</v>
      </c>
      <c r="B231" s="22" t="inlineStr">
        <is>
          <t>Playful &amp; Niche Intentions</t>
        </is>
      </c>
      <c r="C231" s="22" t="inlineStr">
        <is>
          <t>The Sticker Spell</t>
        </is>
      </c>
      <c r="D231" s="22" t="inlineStr">
        <is>
          <t>Witch's Ladder</t>
        </is>
      </c>
      <c r="E231" s="22" t="inlineStr">
        <is>
          <t>—</t>
        </is>
      </c>
      <c r="F231" s="22" t="inlineStr">
        <is>
          <t>—</t>
        </is>
      </c>
      <c r="G231" s="22" t="inlineStr">
        <is>
          <t>Any time</t>
        </is>
      </c>
    </row>
    <row r="232" ht="15" customHeight="1" s="18">
      <c r="A232" s="22" t="n">
        <v>231</v>
      </c>
      <c r="B232" s="22" t="inlineStr">
        <is>
          <t>Playful &amp; Niche Intentions</t>
        </is>
      </c>
      <c r="C232" s="22" t="inlineStr">
        <is>
          <t>The Pocket Quest</t>
        </is>
      </c>
      <c r="D232" s="22" t="inlineStr">
        <is>
          <t>Talisman</t>
        </is>
      </c>
      <c r="E232" s="22" t="inlineStr">
        <is>
          <t>—</t>
        </is>
      </c>
      <c r="F232" s="22" t="inlineStr">
        <is>
          <t>The Fool</t>
        </is>
      </c>
      <c r="G232" s="22" t="inlineStr">
        <is>
          <t>Clear starry night</t>
        </is>
      </c>
    </row>
    <row r="233" ht="15" customHeight="1" s="18">
      <c r="A233" s="22" t="n">
        <v>232</v>
      </c>
      <c r="B233" s="22" t="inlineStr">
        <is>
          <t>Playful &amp; Niche Intentions</t>
        </is>
      </c>
      <c r="C233" s="22" t="inlineStr">
        <is>
          <t>The Critical-Hit Charm</t>
        </is>
      </c>
      <c r="D233" s="22" t="inlineStr">
        <is>
          <t>Charm</t>
        </is>
      </c>
      <c r="E233" s="22" t="inlineStr">
        <is>
          <t>Red</t>
        </is>
      </c>
      <c r="F233" s="22" t="inlineStr">
        <is>
          <t>—</t>
        </is>
      </c>
      <c r="G233" s="22" t="inlineStr">
        <is>
          <t>Tuesday</t>
        </is>
      </c>
    </row>
    <row r="234" ht="15" customHeight="1" s="18">
      <c r="A234" s="22" t="n">
        <v>233</v>
      </c>
      <c r="B234" s="22" t="inlineStr">
        <is>
          <t>Playful &amp; Niche Intentions</t>
        </is>
      </c>
      <c r="C234" s="22" t="inlineStr">
        <is>
          <t>The Casual Enchantment</t>
        </is>
      </c>
      <c r="D234" s="22" t="inlineStr">
        <is>
          <t>Glamour</t>
        </is>
      </c>
      <c r="E234" s="22" t="inlineStr">
        <is>
          <t>—</t>
        </is>
      </c>
      <c r="F234" s="22" t="inlineStr">
        <is>
          <t>—</t>
        </is>
      </c>
      <c r="G234" s="22" t="inlineStr">
        <is>
          <t>Any time</t>
        </is>
      </c>
    </row>
    <row r="235" ht="15" customHeight="1" s="18">
      <c r="A235" s="22" t="n">
        <v>234</v>
      </c>
      <c r="B235" s="22" t="inlineStr">
        <is>
          <t>Playful &amp; Niche Intentions</t>
        </is>
      </c>
      <c r="C235" s="22" t="inlineStr">
        <is>
          <t>The Pajama Moon</t>
        </is>
      </c>
      <c r="D235" s="22" t="inlineStr">
        <is>
          <t>Bath Salt</t>
        </is>
      </c>
      <c r="E235" s="22" t="inlineStr">
        <is>
          <t>—</t>
        </is>
      </c>
      <c r="F235" s="22" t="inlineStr">
        <is>
          <t>—</t>
        </is>
      </c>
      <c r="G235" s="22" t="inlineStr">
        <is>
          <t>Nightfall</t>
        </is>
      </c>
    </row>
    <row r="236" ht="15" customHeight="1" s="18">
      <c r="A236" s="22" t="n">
        <v>235</v>
      </c>
      <c r="B236" s="22" t="inlineStr">
        <is>
          <t>Playful &amp; Niche Intentions</t>
        </is>
      </c>
      <c r="C236" s="22" t="inlineStr">
        <is>
          <t>The Sweetness Permission</t>
        </is>
      </c>
      <c r="D236" s="22" t="inlineStr">
        <is>
          <t>Butter</t>
        </is>
      </c>
      <c r="E236" s="22" t="inlineStr">
        <is>
          <t>—</t>
        </is>
      </c>
      <c r="F236" s="22" t="inlineStr">
        <is>
          <t>—</t>
        </is>
      </c>
      <c r="G236" s="22" t="inlineStr">
        <is>
          <t>Any time</t>
        </is>
      </c>
    </row>
    <row r="237" ht="15" customHeight="1" s="18">
      <c r="A237" s="22" t="n">
        <v>236</v>
      </c>
      <c r="B237" s="22" t="inlineStr">
        <is>
          <t>Playful &amp; Niche Intentions</t>
        </is>
      </c>
      <c r="C237" s="22" t="inlineStr">
        <is>
          <t>The Next Obsession</t>
        </is>
      </c>
      <c r="D237" s="22" t="inlineStr">
        <is>
          <t>Potion</t>
        </is>
      </c>
      <c r="E237" s="22" t="inlineStr">
        <is>
          <t>—</t>
        </is>
      </c>
      <c r="F237" s="22" t="inlineStr">
        <is>
          <t>The Fool</t>
        </is>
      </c>
      <c r="G237" s="22" t="inlineStr">
        <is>
          <t>Any time</t>
        </is>
      </c>
    </row>
    <row r="238" ht="15" customHeight="1" s="18">
      <c r="A238" s="22" t="n">
        <v>237</v>
      </c>
      <c r="B238" s="22" t="inlineStr">
        <is>
          <t>Playful &amp; Niche Intentions</t>
        </is>
      </c>
      <c r="C238" s="22" t="inlineStr">
        <is>
          <t>The Side-Quest Spark</t>
        </is>
      </c>
      <c r="D238" s="22" t="inlineStr">
        <is>
          <t>Wand</t>
        </is>
      </c>
      <c r="E238" s="22" t="inlineStr">
        <is>
          <t>—</t>
        </is>
      </c>
      <c r="F238" s="22" t="inlineStr">
        <is>
          <t>—</t>
        </is>
      </c>
      <c r="G238" s="22" t="inlineStr">
        <is>
          <t>Any time</t>
        </is>
      </c>
    </row>
    <row r="239" ht="15" customHeight="1" s="18">
      <c r="A239" s="22" t="n">
        <v>238</v>
      </c>
      <c r="B239" s="22" t="inlineStr">
        <is>
          <t>Playful &amp; Niche Intentions</t>
        </is>
      </c>
      <c r="C239" s="22" t="inlineStr">
        <is>
          <t>The Personal Fan Club</t>
        </is>
      </c>
      <c r="D239" s="22" t="inlineStr">
        <is>
          <t>Balm</t>
        </is>
      </c>
      <c r="E239" s="22" t="inlineStr">
        <is>
          <t>Pink</t>
        </is>
      </c>
      <c r="F239" s="22" t="inlineStr">
        <is>
          <t>—</t>
        </is>
      </c>
      <c r="G239" s="22" t="inlineStr">
        <is>
          <t>Friday</t>
        </is>
      </c>
    </row>
    <row r="240" ht="15" customHeight="1" s="18">
      <c r="A240" s="22" t="n">
        <v>239</v>
      </c>
      <c r="B240" s="22" t="inlineStr">
        <is>
          <t>Playful &amp; Niche Intentions</t>
        </is>
      </c>
      <c r="C240" s="22" t="inlineStr">
        <is>
          <t>The Keepsake Minute</t>
        </is>
      </c>
      <c r="D240" s="22" t="inlineStr">
        <is>
          <t>Water</t>
        </is>
      </c>
      <c r="E240" s="22" t="inlineStr">
        <is>
          <t>Blue</t>
        </is>
      </c>
      <c r="F240" s="22" t="inlineStr">
        <is>
          <t>—</t>
        </is>
      </c>
      <c r="G240" s="22" t="inlineStr">
        <is>
          <t>Any time</t>
        </is>
      </c>
    </row>
    <row r="241" ht="15" customHeight="1" s="18">
      <c r="A241" s="22" t="n">
        <v>240</v>
      </c>
      <c r="B241" s="22" t="inlineStr">
        <is>
          <t>Playful &amp; Niche Intentions</t>
        </is>
      </c>
      <c r="C241" s="22" t="inlineStr">
        <is>
          <t>The Glitterbomb Muse</t>
        </is>
      </c>
      <c r="D241" s="22" t="inlineStr">
        <is>
          <t>Powder</t>
        </is>
      </c>
      <c r="E241" s="22" t="inlineStr">
        <is>
          <t>—</t>
        </is>
      </c>
      <c r="F241" s="22" t="inlineStr">
        <is>
          <t>The Fool</t>
        </is>
      </c>
      <c r="G241" s="22" t="inlineStr">
        <is>
          <t>Thunderstorm</t>
        </is>
      </c>
    </row>
  </sheetData>
  <autoFilter ref="A1:G2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5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7" min="1" max="1"/>
    <col width="26" customWidth="1" style="17" min="2" max="2"/>
    <col width="22" customWidth="1" style="17" min="3" max="3"/>
    <col width="12" customWidth="1" style="17" min="4" max="4"/>
    <col width="34" customWidth="1" style="17" min="5" max="5"/>
    <col width="12" customWidth="1" style="17" min="6" max="6"/>
    <col width="30" customWidth="1" style="17" min="7" max="7"/>
    <col width="34" customWidth="1" style="18" min="8" max="8"/>
  </cols>
  <sheetData>
    <row r="1" ht="21.75" customHeight="1" s="18">
      <c r="A1" s="26" t="inlineStr">
        <is>
          <t>Ingredient</t>
        </is>
      </c>
      <c r="B1" s="26" t="inlineStr">
        <is>
          <t>Category</t>
        </is>
      </c>
      <c r="C1" s="26" t="inlineStr">
        <is>
          <t>Where in shop</t>
        </is>
      </c>
      <c r="D1" s="26" t="inlineStr">
        <is>
          <t>Used in # spells</t>
        </is>
      </c>
      <c r="E1" s="26" t="inlineStr">
        <is>
          <t>Image file</t>
        </is>
      </c>
      <c r="F1" s="26" t="inlineStr">
        <is>
          <t>Status</t>
        </is>
      </c>
      <c r="G1" s="26" t="inlineStr">
        <is>
          <t>Notes</t>
        </is>
      </c>
      <c r="H1" s="35" t="inlineStr">
        <is>
          <t>Look (art brief)</t>
        </is>
      </c>
    </row>
    <row r="2" ht="15" customHeight="1" s="18">
      <c r="A2" s="27" t="inlineStr">
        <is>
          <t>Moonwater</t>
        </is>
      </c>
      <c r="B2" s="27" t="inlineStr">
        <is>
          <t>Base waters</t>
        </is>
      </c>
      <c r="C2" s="27" t="inlineStr">
        <is>
          <t>Left · Water bottles</t>
        </is>
      </c>
      <c r="D2" s="27">
        <f>COUNTIF('Recipe Usage'!$D$2:$D$1114,A2)</f>
        <v/>
      </c>
      <c r="E2" s="27" t="inlineStr">
        <is>
          <t>ing_moonwater.png</t>
        </is>
      </c>
      <c r="F2" s="28" t="inlineStr">
        <is>
          <t>To do</t>
        </is>
      </c>
      <c r="G2" s="27" t="n"/>
      <c r="H2" s="34" t="inlineStr">
        <is>
          <t>clear, with a silvery sheen</t>
        </is>
      </c>
    </row>
    <row r="3" ht="15" customHeight="1" s="18">
      <c r="A3" s="27" t="inlineStr">
        <is>
          <t>Sunwater</t>
        </is>
      </c>
      <c r="B3" s="27" t="inlineStr">
        <is>
          <t>Base waters</t>
        </is>
      </c>
      <c r="C3" s="27" t="inlineStr">
        <is>
          <t>Left · Water bottles</t>
        </is>
      </c>
      <c r="D3" s="27">
        <f>COUNTIF('Recipe Usage'!$D$2:$D$1114,A3)</f>
        <v/>
      </c>
      <c r="E3" s="27" t="inlineStr">
        <is>
          <t>ing_sunwater.png</t>
        </is>
      </c>
      <c r="F3" s="28" t="inlineStr">
        <is>
          <t>To do</t>
        </is>
      </c>
      <c r="G3" s="27" t="n"/>
      <c r="H3" s="34" t="inlineStr">
        <is>
          <t>clear, with a golden glint</t>
        </is>
      </c>
    </row>
    <row r="4" ht="15" customHeight="1" s="18">
      <c r="A4" s="27" t="inlineStr">
        <is>
          <t>Rainwater</t>
        </is>
      </c>
      <c r="B4" s="27" t="inlineStr">
        <is>
          <t>Base waters</t>
        </is>
      </c>
      <c r="C4" s="27" t="inlineStr">
        <is>
          <t>Left · Water bottles</t>
        </is>
      </c>
      <c r="D4" s="27">
        <f>COUNTIF('Recipe Usage'!$D$2:$D$1114,A4)</f>
        <v/>
      </c>
      <c r="E4" s="27" t="inlineStr">
        <is>
          <t>ing_rainwater.png</t>
        </is>
      </c>
      <c r="F4" s="28" t="inlineStr">
        <is>
          <t>To do</t>
        </is>
      </c>
      <c r="G4" s="27" t="n"/>
      <c r="H4" s="34" t="inlineStr">
        <is>
          <t>clear and plain</t>
        </is>
      </c>
    </row>
    <row r="5" ht="15" customHeight="1" s="18">
      <c r="A5" s="27" t="inlineStr">
        <is>
          <t>Dawn dew</t>
        </is>
      </c>
      <c r="B5" s="27" t="inlineStr">
        <is>
          <t>Base waters</t>
        </is>
      </c>
      <c r="C5" s="27" t="inlineStr">
        <is>
          <t>Left · Water bottles</t>
        </is>
      </c>
      <c r="D5" s="27">
        <f>COUNTIF('Recipe Usage'!$D$2:$D$1114,A5)</f>
        <v/>
      </c>
      <c r="E5" s="27" t="inlineStr">
        <is>
          <t>ing_dawn_dew.png</t>
        </is>
      </c>
      <c r="F5" s="28" t="inlineStr">
        <is>
          <t>To do</t>
        </is>
      </c>
      <c r="G5" s="27" t="n"/>
      <c r="H5" s="34" t="inlineStr">
        <is>
          <t>a few clear drops, cool to the touch</t>
        </is>
      </c>
    </row>
    <row r="6" ht="15" customHeight="1" s="18">
      <c r="A6" s="27" t="inlineStr">
        <is>
          <t>Sea Water</t>
        </is>
      </c>
      <c r="B6" s="27" t="inlineStr">
        <is>
          <t>Base waters</t>
        </is>
      </c>
      <c r="C6" s="27" t="inlineStr">
        <is>
          <t>Left · Water bottles</t>
        </is>
      </c>
      <c r="D6" s="27">
        <f>COUNTIF('Recipe Usage'!$D$2:$D$1114,A6)</f>
        <v/>
      </c>
      <c r="E6" s="27" t="inlineStr">
        <is>
          <t>ing_sea_water.png</t>
        </is>
      </c>
      <c r="F6" s="28" t="inlineStr">
        <is>
          <t>To do</t>
        </is>
      </c>
      <c r="G6" s="27" t="n"/>
      <c r="H6" s="34" t="inlineStr">
        <is>
          <t>cloudy and salty</t>
        </is>
      </c>
    </row>
    <row r="7" ht="15" customHeight="1" s="18">
      <c r="A7" s="27" t="inlineStr">
        <is>
          <t>Spring water</t>
        </is>
      </c>
      <c r="B7" s="27" t="inlineStr">
        <is>
          <t>Base waters</t>
        </is>
      </c>
      <c r="C7" s="27" t="inlineStr">
        <is>
          <t>Left · Water bottles</t>
        </is>
      </c>
      <c r="D7" s="27">
        <f>COUNTIF('Recipe Usage'!$D$2:$D$1114,A7)</f>
        <v/>
      </c>
      <c r="E7" s="27" t="inlineStr">
        <is>
          <t>ing_spring_water.png</t>
        </is>
      </c>
      <c r="F7" s="28" t="inlineStr">
        <is>
          <t>To do</t>
        </is>
      </c>
      <c r="G7" s="27" t="n"/>
      <c r="H7" s="34" t="inlineStr">
        <is>
          <t>clear and plain</t>
        </is>
      </c>
    </row>
    <row r="8" ht="15" customHeight="1" s="18">
      <c r="A8" s="27" t="inlineStr">
        <is>
          <t>Rosewater</t>
        </is>
      </c>
      <c r="B8" s="27" t="inlineStr">
        <is>
          <t>Base waters</t>
        </is>
      </c>
      <c r="C8" s="27" t="inlineStr">
        <is>
          <t>Left · Water bottles</t>
        </is>
      </c>
      <c r="D8" s="27">
        <f>COUNTIF('Recipe Usage'!$D$2:$D$1114,A8)</f>
        <v/>
      </c>
      <c r="E8" s="27" t="inlineStr">
        <is>
          <t>ing_rosewater.png</t>
        </is>
      </c>
      <c r="F8" s="28" t="inlineStr">
        <is>
          <t>To do</t>
        </is>
      </c>
      <c r="G8" s="27" t="n"/>
      <c r="H8" s="34" t="inlineStr">
        <is>
          <t>clear, with a pink blush</t>
        </is>
      </c>
    </row>
    <row r="9" ht="15" customHeight="1" s="18">
      <c r="A9" s="27" t="inlineStr">
        <is>
          <t>New Moon Water</t>
        </is>
      </c>
      <c r="B9" s="27" t="inlineStr">
        <is>
          <t>Base waters</t>
        </is>
      </c>
      <c r="C9" s="27" t="inlineStr">
        <is>
          <t>Left · Water bottles</t>
        </is>
      </c>
      <c r="D9" s="27">
        <f>COUNTIF('Recipe Usage'!$D$2:$D$1114,A9)</f>
        <v/>
      </c>
      <c r="E9" s="27" t="inlineStr">
        <is>
          <t>ing_new_moon_water.png</t>
        </is>
      </c>
      <c r="F9" s="28" t="inlineStr">
        <is>
          <t>To do</t>
        </is>
      </c>
      <c r="G9" s="27" t="n"/>
      <c r="H9" s="34" t="inlineStr">
        <is>
          <t>clear, and darker than it should be</t>
        </is>
      </c>
    </row>
    <row r="10" ht="15" customHeight="1" s="18">
      <c r="A10" s="27" t="inlineStr">
        <is>
          <t>Web Dew</t>
        </is>
      </c>
      <c r="B10" s="27" t="inlineStr">
        <is>
          <t>Base waters</t>
        </is>
      </c>
      <c r="C10" s="27" t="inlineStr">
        <is>
          <t>Left · Water bottles</t>
        </is>
      </c>
      <c r="D10" s="27">
        <f>COUNTIF('Recipe Usage'!$D$2:$D$1114,A10)</f>
        <v/>
      </c>
      <c r="E10" s="27" t="inlineStr">
        <is>
          <t>ing_web_dew.png</t>
        </is>
      </c>
      <c r="F10" s="28" t="inlineStr">
        <is>
          <t>To do</t>
        </is>
      </c>
      <c r="G10" s="27" t="n"/>
      <c r="H10" s="34" t="inlineStr">
        <is>
          <t>tiny bright beads on a thread</t>
        </is>
      </c>
    </row>
    <row r="11" ht="15" customHeight="1" s="18">
      <c r="A11" s="27" t="inlineStr">
        <is>
          <t>Snow Water</t>
        </is>
      </c>
      <c r="B11" s="27" t="inlineStr">
        <is>
          <t>Base waters</t>
        </is>
      </c>
      <c r="C11" s="27" t="inlineStr">
        <is>
          <t>Left · Water bottles</t>
        </is>
      </c>
      <c r="D11" s="27">
        <f>COUNTIF('Recipe Usage'!$D$2:$D$1114,A11)</f>
        <v/>
      </c>
      <c r="E11" s="27" t="inlineStr">
        <is>
          <t>ing_snow_water.png</t>
        </is>
      </c>
      <c r="F11" s="28" t="inlineStr">
        <is>
          <t>To do</t>
        </is>
      </c>
      <c r="G11" s="27" t="n"/>
      <c r="H11" s="34" t="inlineStr">
        <is>
          <t>clear and icy</t>
        </is>
      </c>
    </row>
    <row r="12" ht="15" customHeight="1" s="18">
      <c r="A12" s="27" t="inlineStr">
        <is>
          <t>Storm Water</t>
        </is>
      </c>
      <c r="B12" s="27" t="inlineStr">
        <is>
          <t>Base waters</t>
        </is>
      </c>
      <c r="C12" s="27" t="inlineStr">
        <is>
          <t>Left · Water bottles</t>
        </is>
      </c>
      <c r="D12" s="27">
        <f>COUNTIF('Recipe Usage'!$D$2:$D$1114,A12)</f>
        <v/>
      </c>
      <c r="E12" s="27" t="inlineStr">
        <is>
          <t>ing_storm_water.png</t>
        </is>
      </c>
      <c r="F12" s="28" t="inlineStr">
        <is>
          <t>To do</t>
        </is>
      </c>
      <c r="G12" s="27" t="n"/>
      <c r="H12" s="34" t="inlineStr">
        <is>
          <t>grey and restless</t>
        </is>
      </c>
    </row>
    <row r="13" ht="15" customHeight="1" s="18">
      <c r="A13" s="27" t="inlineStr">
        <is>
          <t>Almond oil</t>
        </is>
      </c>
      <c r="B13" s="27" t="inlineStr">
        <is>
          <t>Oils, butters &amp; waxes</t>
        </is>
      </c>
      <c r="C13" s="27" t="inlineStr">
        <is>
          <t>Left · Kitchen</t>
        </is>
      </c>
      <c r="D13" s="27">
        <f>COUNTIF('Recipe Usage'!$D$2:$D$1114,A13)</f>
        <v/>
      </c>
      <c r="E13" s="27" t="inlineStr">
        <is>
          <t>ing_almond_oil.png</t>
        </is>
      </c>
      <c r="F13" s="28" t="inlineStr">
        <is>
          <t>To do</t>
        </is>
      </c>
      <c r="G13" s="27" t="n"/>
      <c r="H13" s="34" t="inlineStr">
        <is>
          <t>pale and golden</t>
        </is>
      </c>
    </row>
    <row r="14" ht="15" customHeight="1" s="18">
      <c r="A14" s="27" t="inlineStr">
        <is>
          <t>Jojoba oil</t>
        </is>
      </c>
      <c r="B14" s="27" t="inlineStr">
        <is>
          <t>Oils, butters &amp; waxes</t>
        </is>
      </c>
      <c r="C14" s="27" t="inlineStr">
        <is>
          <t>Left · Kitchen</t>
        </is>
      </c>
      <c r="D14" s="27">
        <f>COUNTIF('Recipe Usage'!$D$2:$D$1114,A14)</f>
        <v/>
      </c>
      <c r="E14" s="27" t="inlineStr">
        <is>
          <t>ing_jojoba_oil.png</t>
        </is>
      </c>
      <c r="F14" s="28" t="inlineStr">
        <is>
          <t>To do</t>
        </is>
      </c>
      <c r="G14" s="27" t="n"/>
      <c r="H14" s="34" t="inlineStr">
        <is>
          <t>clear and golden</t>
        </is>
      </c>
    </row>
    <row r="15" ht="15" customHeight="1" s="18">
      <c r="A15" s="27" t="inlineStr">
        <is>
          <t>Olive oil</t>
        </is>
      </c>
      <c r="B15" s="27" t="inlineStr">
        <is>
          <t>Oils, butters &amp; waxes</t>
        </is>
      </c>
      <c r="C15" s="27" t="inlineStr">
        <is>
          <t>Left · Kitchen</t>
        </is>
      </c>
      <c r="D15" s="27">
        <f>COUNTIF('Recipe Usage'!$D$2:$D$1114,A15)</f>
        <v/>
      </c>
      <c r="E15" s="27" t="inlineStr">
        <is>
          <t>ing_olive_oil.png</t>
        </is>
      </c>
      <c r="F15" s="28" t="inlineStr">
        <is>
          <t>To do</t>
        </is>
      </c>
      <c r="G15" s="27" t="n"/>
      <c r="H15" s="34" t="inlineStr">
        <is>
          <t>green-gold</t>
        </is>
      </c>
    </row>
    <row r="16" ht="15" customHeight="1" s="18">
      <c r="A16" s="27" t="inlineStr">
        <is>
          <t>Sunflower oil</t>
        </is>
      </c>
      <c r="B16" s="27" t="inlineStr">
        <is>
          <t>Oils, butters &amp; waxes</t>
        </is>
      </c>
      <c r="C16" s="27" t="inlineStr">
        <is>
          <t>Left · Kitchen</t>
        </is>
      </c>
      <c r="D16" s="27">
        <f>COUNTIF('Recipe Usage'!$D$2:$D$1114,A16)</f>
        <v/>
      </c>
      <c r="E16" s="27" t="inlineStr">
        <is>
          <t>ing_sunflower_oil.png</t>
        </is>
      </c>
      <c r="F16" s="28" t="inlineStr">
        <is>
          <t>To do</t>
        </is>
      </c>
      <c r="G16" s="27" t="n"/>
      <c r="H16" s="34" t="inlineStr">
        <is>
          <t>pale yellow</t>
        </is>
      </c>
    </row>
    <row r="17" ht="15" customHeight="1" s="18">
      <c r="A17" s="27" t="inlineStr">
        <is>
          <t>Shea butter</t>
        </is>
      </c>
      <c r="B17" s="27" t="inlineStr">
        <is>
          <t>Oils, butters &amp; waxes</t>
        </is>
      </c>
      <c r="C17" s="27" t="inlineStr">
        <is>
          <t>Left · Kitchen</t>
        </is>
      </c>
      <c r="D17" s="27">
        <f>COUNTIF('Recipe Usage'!$D$2:$D$1114,A17)</f>
        <v/>
      </c>
      <c r="E17" s="27" t="inlineStr">
        <is>
          <t>ing_shea_butter.png</t>
        </is>
      </c>
      <c r="F17" s="28" t="inlineStr">
        <is>
          <t>To do</t>
        </is>
      </c>
      <c r="G17" s="27" t="n"/>
      <c r="H17" s="34" t="inlineStr">
        <is>
          <t>creamy white and soft</t>
        </is>
      </c>
    </row>
    <row r="18" ht="15" customHeight="1" s="18">
      <c r="A18" s="27" t="inlineStr">
        <is>
          <t>Beeswax</t>
        </is>
      </c>
      <c r="B18" s="27" t="inlineStr">
        <is>
          <t>Oils, butters &amp; waxes</t>
        </is>
      </c>
      <c r="C18" s="27" t="inlineStr">
        <is>
          <t>Left · Kitchen</t>
        </is>
      </c>
      <c r="D18" s="27">
        <f>COUNTIF('Recipe Usage'!$D$2:$D$1114,A18)</f>
        <v/>
      </c>
      <c r="E18" s="27" t="inlineStr">
        <is>
          <t>ing_beeswax.png</t>
        </is>
      </c>
      <c r="F18" s="28" t="inlineStr">
        <is>
          <t>To do</t>
        </is>
      </c>
      <c r="G18" s="27" t="n"/>
      <c r="H18" s="34" t="inlineStr">
        <is>
          <t>golden yellow and waxy</t>
        </is>
      </c>
    </row>
    <row r="19" ht="15" customHeight="1" s="18">
      <c r="A19" s="27" t="inlineStr">
        <is>
          <t>Butter</t>
        </is>
      </c>
      <c r="B19" s="27" t="inlineStr">
        <is>
          <t>Oils, butters &amp; waxes</t>
        </is>
      </c>
      <c r="C19" s="27" t="inlineStr">
        <is>
          <t>Left · Kitchen</t>
        </is>
      </c>
      <c r="D19" s="27">
        <f>COUNTIF('Recipe Usage'!$D$2:$D$1114,A19)</f>
        <v/>
      </c>
      <c r="E19" s="27" t="inlineStr">
        <is>
          <t>ing_butter.png</t>
        </is>
      </c>
      <c r="F19" s="28" t="inlineStr">
        <is>
          <t>To do</t>
        </is>
      </c>
      <c r="G19" s="27" t="n"/>
      <c r="H19" s="34" t="inlineStr">
        <is>
          <t>pale yellow and soft</t>
        </is>
      </c>
    </row>
    <row r="20" ht="15" customHeight="1" s="18">
      <c r="A20" s="27" t="inlineStr">
        <is>
          <t>Angelica root</t>
        </is>
      </c>
      <c r="B20" s="27" t="inlineStr">
        <is>
          <t>Herbs &amp; flowers</t>
        </is>
      </c>
      <c r="C20" s="27" t="inlineStr">
        <is>
          <t>Left · Herb rack</t>
        </is>
      </c>
      <c r="D20" s="27">
        <f>COUNTIF('Recipe Usage'!$D$2:$D$1114,A20)</f>
        <v/>
      </c>
      <c r="E20" s="27" t="inlineStr">
        <is>
          <t>ing_angelica_root.png</t>
        </is>
      </c>
      <c r="F20" s="28" t="inlineStr">
        <is>
          <t>To do</t>
        </is>
      </c>
      <c r="G20" s="27" t="n"/>
      <c r="H20" s="34" t="inlineStr">
        <is>
          <t>a pale, knobbly root</t>
        </is>
      </c>
    </row>
    <row r="21" ht="15" customHeight="1" s="18">
      <c r="A21" s="27" t="inlineStr">
        <is>
          <t>Basil</t>
        </is>
      </c>
      <c r="B21" s="27" t="inlineStr">
        <is>
          <t>Herbs &amp; flowers</t>
        </is>
      </c>
      <c r="C21" s="27" t="inlineStr">
        <is>
          <t>Left · Herb rack</t>
        </is>
      </c>
      <c r="D21" s="27">
        <f>COUNTIF('Recipe Usage'!$D$2:$D$1114,A21)</f>
        <v/>
      </c>
      <c r="E21" s="27" t="inlineStr">
        <is>
          <t>ing_basil.png</t>
        </is>
      </c>
      <c r="F21" s="28" t="inlineStr">
        <is>
          <t>To do</t>
        </is>
      </c>
      <c r="G21" s="27" t="n"/>
      <c r="H21" s="34" t="inlineStr">
        <is>
          <t>bright green leaves, sweet-smelling</t>
        </is>
      </c>
    </row>
    <row r="22" ht="15" customHeight="1" s="18">
      <c r="A22" s="27" t="inlineStr">
        <is>
          <t>Bay leaf</t>
        </is>
      </c>
      <c r="B22" s="27" t="inlineStr">
        <is>
          <t>Herbs &amp; flowers</t>
        </is>
      </c>
      <c r="C22" s="27" t="inlineStr">
        <is>
          <t>Left · Herb rack</t>
        </is>
      </c>
      <c r="D22" s="27">
        <f>COUNTIF('Recipe Usage'!$D$2:$D$1114,A22)</f>
        <v/>
      </c>
      <c r="E22" s="27" t="inlineStr">
        <is>
          <t>ing_bay_leaf.png</t>
        </is>
      </c>
      <c r="F22" s="28" t="inlineStr">
        <is>
          <t>To do</t>
        </is>
      </c>
      <c r="G22" s="27" t="n"/>
      <c r="H22" s="34" t="inlineStr">
        <is>
          <t>a stiff, glossy green leaf</t>
        </is>
      </c>
    </row>
    <row r="23" ht="15" customHeight="1" s="18">
      <c r="A23" s="27" t="inlineStr">
        <is>
          <t>Calendula</t>
        </is>
      </c>
      <c r="B23" s="27" t="inlineStr">
        <is>
          <t>Herbs &amp; flowers</t>
        </is>
      </c>
      <c r="C23" s="27" t="inlineStr">
        <is>
          <t>Left · Herb rack</t>
        </is>
      </c>
      <c r="D23" s="27">
        <f>COUNTIF('Recipe Usage'!$D$2:$D$1114,A23)</f>
        <v/>
      </c>
      <c r="E23" s="27" t="inlineStr">
        <is>
          <t>ing_calendula.png</t>
        </is>
      </c>
      <c r="F23" s="28" t="inlineStr">
        <is>
          <t>To do</t>
        </is>
      </c>
      <c r="G23" s="27" t="n"/>
      <c r="H23" s="34" t="inlineStr">
        <is>
          <t>bright orange petals</t>
        </is>
      </c>
    </row>
    <row r="24" ht="15" customHeight="1" s="18">
      <c r="A24" s="27" t="inlineStr">
        <is>
          <t>Chamomile</t>
        </is>
      </c>
      <c r="B24" s="27" t="inlineStr">
        <is>
          <t>Herbs &amp; flowers</t>
        </is>
      </c>
      <c r="C24" s="27" t="inlineStr">
        <is>
          <t>Left · Herb rack</t>
        </is>
      </c>
      <c r="D24" s="27">
        <f>COUNTIF('Recipe Usage'!$D$2:$D$1114,A24)</f>
        <v/>
      </c>
      <c r="E24" s="27" t="inlineStr">
        <is>
          <t>ing_chamomile.png</t>
        </is>
      </c>
      <c r="F24" s="28" t="inlineStr">
        <is>
          <t>To do</t>
        </is>
      </c>
      <c r="G24" s="27" t="n"/>
      <c r="H24" s="34" t="inlineStr">
        <is>
          <t>small, white and yellow-eyed</t>
        </is>
      </c>
    </row>
    <row r="25" ht="15" customHeight="1" s="18">
      <c r="A25" s="27" t="inlineStr">
        <is>
          <t>Clover</t>
        </is>
      </c>
      <c r="B25" s="27" t="inlineStr">
        <is>
          <t>Herbs &amp; flowers</t>
        </is>
      </c>
      <c r="C25" s="27" t="inlineStr">
        <is>
          <t>Left · Herb rack</t>
        </is>
      </c>
      <c r="D25" s="27">
        <f>COUNTIF('Recipe Usage'!$D$2:$D$1114,A25)</f>
        <v/>
      </c>
      <c r="E25" s="27" t="inlineStr">
        <is>
          <t>ing_clover.png</t>
        </is>
      </c>
      <c r="F25" s="28" t="inlineStr">
        <is>
          <t>To do</t>
        </is>
      </c>
      <c r="G25" s="27" t="n"/>
      <c r="H25" s="34" t="inlineStr">
        <is>
          <t>green leaves in threes</t>
        </is>
      </c>
    </row>
    <row r="26" ht="15" customHeight="1" s="18">
      <c r="A26" s="27" t="inlineStr">
        <is>
          <t>Comfrey leaf</t>
        </is>
      </c>
      <c r="B26" s="27" t="inlineStr">
        <is>
          <t>Herbs &amp; flowers</t>
        </is>
      </c>
      <c r="C26" s="27" t="inlineStr">
        <is>
          <t>Left · Herb rack</t>
        </is>
      </c>
      <c r="D26" s="27">
        <f>COUNTIF('Recipe Usage'!$D$2:$D$1114,A26)</f>
        <v/>
      </c>
      <c r="E26" s="27" t="inlineStr">
        <is>
          <t>ing_comfrey_leaf.png</t>
        </is>
      </c>
      <c r="F26" s="28" t="inlineStr">
        <is>
          <t>To do</t>
        </is>
      </c>
      <c r="G26" s="27" t="n"/>
      <c r="H26" s="34" t="inlineStr">
        <is>
          <t>a large, fuzzy green leaf</t>
        </is>
      </c>
    </row>
    <row r="27" ht="15" customHeight="1" s="18">
      <c r="A27" s="27" t="inlineStr">
        <is>
          <t>Cornflower</t>
        </is>
      </c>
      <c r="B27" s="27" t="inlineStr">
        <is>
          <t>Herbs &amp; flowers</t>
        </is>
      </c>
      <c r="C27" s="27" t="inlineStr">
        <is>
          <t>Left · Herb rack</t>
        </is>
      </c>
      <c r="D27" s="27">
        <f>COUNTIF('Recipe Usage'!$D$2:$D$1114,A27)</f>
        <v/>
      </c>
      <c r="E27" s="27" t="inlineStr">
        <is>
          <t>ing_cornflower.png</t>
        </is>
      </c>
      <c r="F27" s="28" t="inlineStr">
        <is>
          <t>To do</t>
        </is>
      </c>
      <c r="G27" s="27" t="n"/>
      <c r="H27" s="34" t="inlineStr">
        <is>
          <t>bright blue and frilly</t>
        </is>
      </c>
    </row>
    <row r="28" ht="15" customHeight="1" s="18">
      <c r="A28" s="27" t="inlineStr">
        <is>
          <t>Daisy</t>
        </is>
      </c>
      <c r="B28" s="27" t="inlineStr">
        <is>
          <t>Herbs &amp; flowers</t>
        </is>
      </c>
      <c r="C28" s="27" t="inlineStr">
        <is>
          <t>Left · Herb rack</t>
        </is>
      </c>
      <c r="D28" s="27">
        <f>COUNTIF('Recipe Usage'!$D$2:$D$1114,A28)</f>
        <v/>
      </c>
      <c r="E28" s="27" t="inlineStr">
        <is>
          <t>ing_daisy.png</t>
        </is>
      </c>
      <c r="F28" s="28" t="inlineStr">
        <is>
          <t>To do</t>
        </is>
      </c>
      <c r="G28" s="27" t="n"/>
      <c r="H28" s="34" t="inlineStr">
        <is>
          <t>small, white and yellow-eyed</t>
        </is>
      </c>
    </row>
    <row r="29" ht="15" customHeight="1" s="18">
      <c r="A29" s="27" t="inlineStr">
        <is>
          <t>Dandelion</t>
        </is>
      </c>
      <c r="B29" s="27" t="inlineStr">
        <is>
          <t>Herbs &amp; flowers</t>
        </is>
      </c>
      <c r="C29" s="27" t="inlineStr">
        <is>
          <t>Left · Herb rack</t>
        </is>
      </c>
      <c r="D29" s="27">
        <f>COUNTIF('Recipe Usage'!$D$2:$D$1114,A29)</f>
        <v/>
      </c>
      <c r="E29" s="27" t="inlineStr">
        <is>
          <t>ing_dandelion.png</t>
        </is>
      </c>
      <c r="F29" s="28" t="inlineStr">
        <is>
          <t>To do</t>
        </is>
      </c>
      <c r="G29" s="27" t="n"/>
      <c r="H29" s="34" t="inlineStr">
        <is>
          <t>yellow and fluffy</t>
        </is>
      </c>
    </row>
    <row r="30" ht="15" customHeight="1" s="18">
      <c r="A30" s="27" t="inlineStr">
        <is>
          <t>Dandelion root</t>
        </is>
      </c>
      <c r="B30" s="27" t="inlineStr">
        <is>
          <t>Herbs &amp; flowers</t>
        </is>
      </c>
      <c r="C30" s="27" t="inlineStr">
        <is>
          <t>Left · Herb rack</t>
        </is>
      </c>
      <c r="D30" s="27">
        <f>COUNTIF('Recipe Usage'!$D$2:$D$1114,A30)</f>
        <v/>
      </c>
      <c r="E30" s="27" t="inlineStr">
        <is>
          <t>ing_dandelion_root.png</t>
        </is>
      </c>
      <c r="F30" s="28" t="inlineStr">
        <is>
          <t>To do</t>
        </is>
      </c>
      <c r="G30" s="27" t="n"/>
      <c r="H30" s="34" t="inlineStr">
        <is>
          <t>a long, brown, bitter root</t>
        </is>
      </c>
    </row>
    <row r="31" ht="15" customHeight="1" s="18">
      <c r="A31" s="27" t="inlineStr">
        <is>
          <t>Elderflower</t>
        </is>
      </c>
      <c r="B31" s="27" t="inlineStr">
        <is>
          <t>Herbs &amp; flowers</t>
        </is>
      </c>
      <c r="C31" s="27" t="inlineStr">
        <is>
          <t>Left · Herb rack</t>
        </is>
      </c>
      <c r="D31" s="27">
        <f>COUNTIF('Recipe Usage'!$D$2:$D$1114,A31)</f>
        <v/>
      </c>
      <c r="E31" s="27" t="inlineStr">
        <is>
          <t>ing_elderflower.png</t>
        </is>
      </c>
      <c r="F31" s="28" t="inlineStr">
        <is>
          <t>To do</t>
        </is>
      </c>
      <c r="G31" s="27" t="n"/>
      <c r="H31" s="34" t="inlineStr">
        <is>
          <t>a cloud of tiny cream flowers</t>
        </is>
      </c>
    </row>
    <row r="32" ht="15" customHeight="1" s="18">
      <c r="A32" s="27" t="inlineStr">
        <is>
          <t>Eucalyptus</t>
        </is>
      </c>
      <c r="B32" s="27" t="inlineStr">
        <is>
          <t>Herbs &amp; flowers</t>
        </is>
      </c>
      <c r="C32" s="27" t="inlineStr">
        <is>
          <t>Left · Herb rack</t>
        </is>
      </c>
      <c r="D32" s="27">
        <f>COUNTIF('Recipe Usage'!$D$2:$D$1114,A32)</f>
        <v/>
      </c>
      <c r="E32" s="27" t="inlineStr">
        <is>
          <t>ing_eucalyptus.png</t>
        </is>
      </c>
      <c r="F32" s="28" t="inlineStr">
        <is>
          <t>To do</t>
        </is>
      </c>
      <c r="G32" s="27" t="n"/>
      <c r="H32" s="34" t="inlineStr">
        <is>
          <t>grey-green, round leaves</t>
        </is>
      </c>
    </row>
    <row r="33" ht="15" customHeight="1" s="18">
      <c r="A33" s="27" t="inlineStr">
        <is>
          <t>Fern</t>
        </is>
      </c>
      <c r="B33" s="27" t="inlineStr">
        <is>
          <t>Herbs &amp; flowers</t>
        </is>
      </c>
      <c r="C33" s="27" t="inlineStr">
        <is>
          <t>Left · Herb rack</t>
        </is>
      </c>
      <c r="D33" s="27">
        <f>COUNTIF('Recipe Usage'!$D$2:$D$1114,A33)</f>
        <v/>
      </c>
      <c r="E33" s="27" t="inlineStr">
        <is>
          <t>ing_fern.png</t>
        </is>
      </c>
      <c r="F33" s="28" t="inlineStr">
        <is>
          <t>To do</t>
        </is>
      </c>
      <c r="G33" s="27" t="n"/>
      <c r="H33" s="34" t="inlineStr">
        <is>
          <t>feathery green fronds</t>
        </is>
      </c>
    </row>
    <row r="34" ht="15" customHeight="1" s="18">
      <c r="A34" s="27" t="inlineStr">
        <is>
          <t>Four-leaf clover</t>
        </is>
      </c>
      <c r="B34" s="27" t="inlineStr">
        <is>
          <t>Herbs &amp; flowers</t>
        </is>
      </c>
      <c r="C34" s="27" t="inlineStr">
        <is>
          <t>Left · Herb rack</t>
        </is>
      </c>
      <c r="D34" s="27">
        <f>COUNTIF('Recipe Usage'!$D$2:$D$1114,A34)</f>
        <v/>
      </c>
      <c r="E34" s="27" t="inlineStr">
        <is>
          <t>ing_four_leaf_clover.png</t>
        </is>
      </c>
      <c r="F34" s="28" t="inlineStr">
        <is>
          <t>To do</t>
        </is>
      </c>
      <c r="G34" s="27" t="n"/>
      <c r="H34" s="34" t="inlineStr">
        <is>
          <t>green leaves in fours</t>
        </is>
      </c>
    </row>
    <row r="35" ht="15" customHeight="1" s="18">
      <c r="A35" s="27" t="inlineStr">
        <is>
          <t>Garden sage</t>
        </is>
      </c>
      <c r="B35" s="27" t="inlineStr">
        <is>
          <t>Herbs &amp; flowers</t>
        </is>
      </c>
      <c r="C35" s="27" t="inlineStr">
        <is>
          <t>Left · Herb rack</t>
        </is>
      </c>
      <c r="D35" s="27">
        <f>COUNTIF('Recipe Usage'!$D$2:$D$1114,A35)</f>
        <v/>
      </c>
      <c r="E35" s="27" t="inlineStr">
        <is>
          <t>ing_garden_sage.png</t>
        </is>
      </c>
      <c r="F35" s="28" t="inlineStr">
        <is>
          <t>To do</t>
        </is>
      </c>
      <c r="G35" s="27" t="n"/>
      <c r="H35" s="34" t="inlineStr">
        <is>
          <t>soft, grey-green leaves</t>
        </is>
      </c>
    </row>
    <row r="36" ht="15" customHeight="1" s="18">
      <c r="A36" s="27" t="inlineStr">
        <is>
          <t>Hibiscus</t>
        </is>
      </c>
      <c r="B36" s="27" t="inlineStr">
        <is>
          <t>Herbs &amp; flowers</t>
        </is>
      </c>
      <c r="C36" s="27" t="inlineStr">
        <is>
          <t>Left · Herb rack</t>
        </is>
      </c>
      <c r="D36" s="27">
        <f>COUNTIF('Recipe Usage'!$D$2:$D$1114,A36)</f>
        <v/>
      </c>
      <c r="E36" s="27" t="inlineStr">
        <is>
          <t>ing_hibiscus.png</t>
        </is>
      </c>
      <c r="F36" s="28" t="inlineStr">
        <is>
          <t>To do</t>
        </is>
      </c>
      <c r="G36" s="27" t="n"/>
      <c r="H36" s="34" t="inlineStr">
        <is>
          <t>deep red petals</t>
        </is>
      </c>
    </row>
    <row r="37" ht="15" customHeight="1" s="18">
      <c r="A37" s="27" t="inlineStr">
        <is>
          <t>Hops</t>
        </is>
      </c>
      <c r="B37" s="27" t="inlineStr">
        <is>
          <t>Herbs &amp; flowers</t>
        </is>
      </c>
      <c r="C37" s="27" t="inlineStr">
        <is>
          <t>Left · Herb rack</t>
        </is>
      </c>
      <c r="D37" s="27">
        <f>COUNTIF('Recipe Usage'!$D$2:$D$1114,A37)</f>
        <v/>
      </c>
      <c r="E37" s="27" t="inlineStr">
        <is>
          <t>ing_hops.png</t>
        </is>
      </c>
      <c r="F37" s="28" t="inlineStr">
        <is>
          <t>To do</t>
        </is>
      </c>
      <c r="G37" s="27" t="n"/>
      <c r="H37" s="34" t="inlineStr">
        <is>
          <t>pale green cones</t>
        </is>
      </c>
    </row>
    <row r="38" ht="15" customHeight="1" s="18">
      <c r="A38" s="27" t="inlineStr">
        <is>
          <t>Jasmine</t>
        </is>
      </c>
      <c r="B38" s="27" t="inlineStr">
        <is>
          <t>Herbs &amp; flowers</t>
        </is>
      </c>
      <c r="C38" s="27" t="inlineStr">
        <is>
          <t>Left · Herb rack</t>
        </is>
      </c>
      <c r="D38" s="27">
        <f>COUNTIF('Recipe Usage'!$D$2:$D$1114,A38)</f>
        <v/>
      </c>
      <c r="E38" s="27" t="inlineStr">
        <is>
          <t>ing_jasmine.png</t>
        </is>
      </c>
      <c r="F38" s="28" t="inlineStr">
        <is>
          <t>To do</t>
        </is>
      </c>
      <c r="G38" s="27" t="n"/>
      <c r="H38" s="34" t="inlineStr">
        <is>
          <t>small, white and starry</t>
        </is>
      </c>
    </row>
    <row r="39" ht="15" customHeight="1" s="18">
      <c r="A39" s="27" t="inlineStr">
        <is>
          <t>Lavender</t>
        </is>
      </c>
      <c r="B39" s="27" t="inlineStr">
        <is>
          <t>Herbs &amp; flowers</t>
        </is>
      </c>
      <c r="C39" s="27" t="inlineStr">
        <is>
          <t>Left · Herb rack</t>
        </is>
      </c>
      <c r="D39" s="27">
        <f>COUNTIF('Recipe Usage'!$D$2:$D$1114,A39)</f>
        <v/>
      </c>
      <c r="E39" s="27" t="inlineStr">
        <is>
          <t>ing_lavender.png</t>
        </is>
      </c>
      <c r="F39" s="28" t="inlineStr">
        <is>
          <t>To do</t>
        </is>
      </c>
      <c r="G39" s="27" t="n"/>
      <c r="H39" s="34" t="inlineStr">
        <is>
          <t>purple and spiky</t>
        </is>
      </c>
    </row>
    <row r="40" ht="15" customHeight="1" s="18">
      <c r="A40" s="27" t="inlineStr">
        <is>
          <t>Lemon balm</t>
        </is>
      </c>
      <c r="B40" s="27" t="inlineStr">
        <is>
          <t>Herbs &amp; flowers</t>
        </is>
      </c>
      <c r="C40" s="27" t="inlineStr">
        <is>
          <t>Left · Herb rack</t>
        </is>
      </c>
      <c r="D40" s="27">
        <f>COUNTIF('Recipe Usage'!$D$2:$D$1114,A40)</f>
        <v/>
      </c>
      <c r="E40" s="27" t="inlineStr">
        <is>
          <t>ing_lemon_balm.png</t>
        </is>
      </c>
      <c r="F40" s="28" t="inlineStr">
        <is>
          <t>To do</t>
        </is>
      </c>
      <c r="G40" s="27" t="n"/>
      <c r="H40" s="34" t="inlineStr">
        <is>
          <t>soft green leaves that smell of lemon</t>
        </is>
      </c>
    </row>
    <row r="41" ht="15" customHeight="1" s="18">
      <c r="A41" s="27" t="inlineStr">
        <is>
          <t>Lemongrass</t>
        </is>
      </c>
      <c r="B41" s="27" t="inlineStr">
        <is>
          <t>Herbs &amp; flowers</t>
        </is>
      </c>
      <c r="C41" s="27" t="inlineStr">
        <is>
          <t>Left · Herb rack</t>
        </is>
      </c>
      <c r="D41" s="27">
        <f>COUNTIF('Recipe Usage'!$D$2:$D$1114,A41)</f>
        <v/>
      </c>
      <c r="E41" s="27" t="inlineStr">
        <is>
          <t>ing_lemongrass.png</t>
        </is>
      </c>
      <c r="F41" s="28" t="inlineStr">
        <is>
          <t>To do</t>
        </is>
      </c>
      <c r="G41" s="27" t="n"/>
      <c r="H41" s="34" t="inlineStr">
        <is>
          <t>tall, pale green stalks</t>
        </is>
      </c>
    </row>
    <row r="42" ht="15" customHeight="1" s="18">
      <c r="A42" s="27" t="inlineStr">
        <is>
          <t>Licorice root</t>
        </is>
      </c>
      <c r="B42" s="27" t="inlineStr">
        <is>
          <t>Herbs &amp; flowers</t>
        </is>
      </c>
      <c r="C42" s="27" t="inlineStr">
        <is>
          <t>Left · Herb rack</t>
        </is>
      </c>
      <c r="D42" s="27">
        <f>COUNTIF('Recipe Usage'!$D$2:$D$1114,A42)</f>
        <v/>
      </c>
      <c r="E42" s="27" t="inlineStr">
        <is>
          <t>ing_licorice_root.png</t>
        </is>
      </c>
      <c r="F42" s="28" t="inlineStr">
        <is>
          <t>To do</t>
        </is>
      </c>
      <c r="G42" s="27" t="n"/>
      <c r="H42" s="34" t="inlineStr">
        <is>
          <t>dark, woody sticks</t>
        </is>
      </c>
    </row>
    <row r="43" ht="15" customHeight="1" s="18">
      <c r="A43" s="27" t="inlineStr">
        <is>
          <t>Lilac</t>
        </is>
      </c>
      <c r="B43" s="27" t="inlineStr">
        <is>
          <t>Herbs &amp; flowers</t>
        </is>
      </c>
      <c r="C43" s="27" t="inlineStr">
        <is>
          <t>Left · Herb rack</t>
        </is>
      </c>
      <c r="D43" s="27">
        <f>COUNTIF('Recipe Usage'!$D$2:$D$1114,A43)</f>
        <v/>
      </c>
      <c r="E43" s="27" t="inlineStr">
        <is>
          <t>ing_lilac.png</t>
        </is>
      </c>
      <c r="F43" s="28" t="inlineStr">
        <is>
          <t>To do</t>
        </is>
      </c>
      <c r="G43" s="27" t="n"/>
      <c r="H43" s="34" t="inlineStr">
        <is>
          <t>small purple flowers in clusters</t>
        </is>
      </c>
    </row>
    <row r="44" ht="15" customHeight="1" s="18">
      <c r="A44" s="27" t="inlineStr">
        <is>
          <t>Lotus</t>
        </is>
      </c>
      <c r="B44" s="27" t="inlineStr">
        <is>
          <t>Herbs &amp; flowers</t>
        </is>
      </c>
      <c r="C44" s="27" t="inlineStr">
        <is>
          <t>Left · Herb rack</t>
        </is>
      </c>
      <c r="D44" s="27">
        <f>COUNTIF('Recipe Usage'!$D$2:$D$1114,A44)</f>
        <v/>
      </c>
      <c r="E44" s="27" t="inlineStr">
        <is>
          <t>ing_lotus.png</t>
        </is>
      </c>
      <c r="F44" s="28" t="inlineStr">
        <is>
          <t>To do</t>
        </is>
      </c>
      <c r="G44" s="27" t="n"/>
      <c r="H44" s="34" t="inlineStr">
        <is>
          <t>large, pale and many-petalled</t>
        </is>
      </c>
    </row>
    <row r="45" ht="15" customHeight="1" s="18">
      <c r="A45" s="27" t="inlineStr">
        <is>
          <t>Mint</t>
        </is>
      </c>
      <c r="B45" s="27" t="inlineStr">
        <is>
          <t>Herbs &amp; flowers</t>
        </is>
      </c>
      <c r="C45" s="27" t="inlineStr">
        <is>
          <t>Left · Herb rack</t>
        </is>
      </c>
      <c r="D45" s="27">
        <f>COUNTIF('Recipe Usage'!$D$2:$D$1114,A45)</f>
        <v/>
      </c>
      <c r="E45" s="27" t="inlineStr">
        <is>
          <t>ing_mint.png</t>
        </is>
      </c>
      <c r="F45" s="28" t="inlineStr">
        <is>
          <t>To do</t>
        </is>
      </c>
      <c r="G45" s="27" t="n"/>
      <c r="H45" s="34" t="inlineStr">
        <is>
          <t>bright green leaves</t>
        </is>
      </c>
    </row>
    <row r="46" ht="15" customHeight="1" s="18">
      <c r="A46" s="27" t="inlineStr">
        <is>
          <t>Mugwort</t>
        </is>
      </c>
      <c r="B46" s="27" t="inlineStr">
        <is>
          <t>Herbs &amp; flowers</t>
        </is>
      </c>
      <c r="C46" s="27" t="inlineStr">
        <is>
          <t>Left · Herb rack</t>
        </is>
      </c>
      <c r="D46" s="27">
        <f>COUNTIF('Recipe Usage'!$D$2:$D$1114,A46)</f>
        <v/>
      </c>
      <c r="E46" s="27" t="inlineStr">
        <is>
          <t>ing_mugwort.png</t>
        </is>
      </c>
      <c r="F46" s="28" t="inlineStr">
        <is>
          <t>To do</t>
        </is>
      </c>
      <c r="G46" s="27" t="n"/>
      <c r="H46" s="34" t="inlineStr">
        <is>
          <t>silvery-green leaves</t>
        </is>
      </c>
    </row>
    <row r="47" ht="15" customHeight="1" s="18">
      <c r="A47" s="27" t="inlineStr">
        <is>
          <t>Nettle</t>
        </is>
      </c>
      <c r="B47" s="27" t="inlineStr">
        <is>
          <t>Herbs &amp; flowers</t>
        </is>
      </c>
      <c r="C47" s="27" t="inlineStr">
        <is>
          <t>Left · Herb rack</t>
        </is>
      </c>
      <c r="D47" s="27">
        <f>COUNTIF('Recipe Usage'!$D$2:$D$1114,A47)</f>
        <v/>
      </c>
      <c r="E47" s="27" t="inlineStr">
        <is>
          <t>ing_nettle.png</t>
        </is>
      </c>
      <c r="F47" s="28" t="inlineStr">
        <is>
          <t>To do</t>
        </is>
      </c>
      <c r="G47" s="27" t="n"/>
      <c r="H47" s="34" t="inlineStr">
        <is>
          <t>green, jagged and a little hairy</t>
        </is>
      </c>
    </row>
    <row r="48" ht="15" customHeight="1" s="18">
      <c r="A48" s="27" t="inlineStr">
        <is>
          <t>Oak moss</t>
        </is>
      </c>
      <c r="B48" s="27" t="inlineStr">
        <is>
          <t>Herbs &amp; flowers</t>
        </is>
      </c>
      <c r="C48" s="27" t="inlineStr">
        <is>
          <t>Left · Herb rack</t>
        </is>
      </c>
      <c r="D48" s="27">
        <f>COUNTIF('Recipe Usage'!$D$2:$D$1114,A48)</f>
        <v/>
      </c>
      <c r="E48" s="27" t="inlineStr">
        <is>
          <t>ing_oak_moss.png</t>
        </is>
      </c>
      <c r="F48" s="28" t="inlineStr">
        <is>
          <t>To do</t>
        </is>
      </c>
      <c r="G48" s="27" t="n"/>
      <c r="H48" s="34" t="inlineStr">
        <is>
          <t>grey-green and crinkled</t>
        </is>
      </c>
    </row>
    <row r="49" ht="15" customHeight="1" s="18">
      <c r="A49" s="27" t="inlineStr">
        <is>
          <t>Orange blossom</t>
        </is>
      </c>
      <c r="B49" s="27" t="inlineStr">
        <is>
          <t>Herbs &amp; flowers</t>
        </is>
      </c>
      <c r="C49" s="27" t="inlineStr">
        <is>
          <t>Left · Herb rack</t>
        </is>
      </c>
      <c r="D49" s="27">
        <f>COUNTIF('Recipe Usage'!$D$2:$D$1114,A49)</f>
        <v/>
      </c>
      <c r="E49" s="27" t="inlineStr">
        <is>
          <t>ing_orange_blossom.png</t>
        </is>
      </c>
      <c r="F49" s="28" t="inlineStr">
        <is>
          <t>To do</t>
        </is>
      </c>
      <c r="G49" s="27" t="n"/>
      <c r="H49" s="34" t="inlineStr">
        <is>
          <t>small, white and waxy</t>
        </is>
      </c>
    </row>
    <row r="50" ht="15" customHeight="1" s="18">
      <c r="A50" s="27" t="inlineStr">
        <is>
          <t>Orris root</t>
        </is>
      </c>
      <c r="B50" s="27" t="inlineStr">
        <is>
          <t>Herbs &amp; flowers</t>
        </is>
      </c>
      <c r="C50" s="27" t="inlineStr">
        <is>
          <t>Left · Herb rack</t>
        </is>
      </c>
      <c r="D50" s="27">
        <f>COUNTIF('Recipe Usage'!$D$2:$D$1114,A50)</f>
        <v/>
      </c>
      <c r="E50" s="27" t="inlineStr">
        <is>
          <t>ing_orris_root.png</t>
        </is>
      </c>
      <c r="F50" s="28" t="inlineStr">
        <is>
          <t>To do</t>
        </is>
      </c>
      <c r="G50" s="27" t="n"/>
      <c r="H50" s="34" t="inlineStr">
        <is>
          <t>a pale, powdery root</t>
        </is>
      </c>
    </row>
    <row r="51" ht="15" customHeight="1" s="18">
      <c r="A51" s="27" t="inlineStr">
        <is>
          <t>Peppermint</t>
        </is>
      </c>
      <c r="B51" s="27" t="inlineStr">
        <is>
          <t>Herbs &amp; flowers</t>
        </is>
      </c>
      <c r="C51" s="27" t="inlineStr">
        <is>
          <t>Left · Herb rack</t>
        </is>
      </c>
      <c r="D51" s="27">
        <f>COUNTIF('Recipe Usage'!$D$2:$D$1114,A51)</f>
        <v/>
      </c>
      <c r="E51" s="27" t="inlineStr">
        <is>
          <t>ing_peppermint.png</t>
        </is>
      </c>
      <c r="F51" s="28" t="inlineStr">
        <is>
          <t>To do</t>
        </is>
      </c>
      <c r="G51" s="27" t="n"/>
      <c r="H51" s="34" t="inlineStr">
        <is>
          <t>bright green leaves</t>
        </is>
      </c>
    </row>
    <row r="52" ht="15" customHeight="1" s="18">
      <c r="A52" s="27" t="inlineStr">
        <is>
          <t>Rose</t>
        </is>
      </c>
      <c r="B52" s="27" t="inlineStr">
        <is>
          <t>Herbs &amp; flowers</t>
        </is>
      </c>
      <c r="C52" s="27" t="inlineStr">
        <is>
          <t>Left · Herb rack</t>
        </is>
      </c>
      <c r="D52" s="27">
        <f>COUNTIF('Recipe Usage'!$D$2:$D$1114,A52)</f>
        <v/>
      </c>
      <c r="E52" s="27" t="inlineStr">
        <is>
          <t>ing_rose.png</t>
        </is>
      </c>
      <c r="F52" s="28" t="inlineStr">
        <is>
          <t>To do</t>
        </is>
      </c>
      <c r="G52" s="27" t="n"/>
      <c r="H52" s="34" t="inlineStr">
        <is>
          <t>a full red flower</t>
        </is>
      </c>
    </row>
    <row r="53" ht="15" customHeight="1" s="18">
      <c r="A53" s="27" t="inlineStr">
        <is>
          <t>Rose petals</t>
        </is>
      </c>
      <c r="B53" s="27" t="inlineStr">
        <is>
          <t>Herbs &amp; flowers</t>
        </is>
      </c>
      <c r="C53" s="27" t="inlineStr">
        <is>
          <t>Left · Herb rack</t>
        </is>
      </c>
      <c r="D53" s="27">
        <f>COUNTIF('Recipe Usage'!$D$2:$D$1114,A53)</f>
        <v/>
      </c>
      <c r="E53" s="27" t="inlineStr">
        <is>
          <t>ing_rose_petals.png</t>
        </is>
      </c>
      <c r="F53" s="28" t="inlineStr">
        <is>
          <t>To do</t>
        </is>
      </c>
      <c r="G53" s="27" t="n"/>
      <c r="H53" s="34" t="inlineStr">
        <is>
          <t>soft pink petals</t>
        </is>
      </c>
    </row>
    <row r="54" ht="15" customHeight="1" s="18">
      <c r="A54" s="27" t="inlineStr">
        <is>
          <t>Rosebud</t>
        </is>
      </c>
      <c r="B54" s="27" t="inlineStr">
        <is>
          <t>Herbs &amp; flowers</t>
        </is>
      </c>
      <c r="C54" s="27" t="inlineStr">
        <is>
          <t>Left · Herb rack</t>
        </is>
      </c>
      <c r="D54" s="27">
        <f>COUNTIF('Recipe Usage'!$D$2:$D$1114,A54)</f>
        <v/>
      </c>
      <c r="E54" s="27" t="inlineStr">
        <is>
          <t>ing_rosebud.png</t>
        </is>
      </c>
      <c r="F54" s="28" t="inlineStr">
        <is>
          <t>To do</t>
        </is>
      </c>
      <c r="G54" s="27" t="n"/>
      <c r="H54" s="34" t="inlineStr">
        <is>
          <t>a small, tight pink bud</t>
        </is>
      </c>
    </row>
    <row r="55" ht="15" customHeight="1" s="18">
      <c r="A55" s="27" t="inlineStr">
        <is>
          <t>Rose thorns</t>
        </is>
      </c>
      <c r="B55" s="27" t="inlineStr">
        <is>
          <t>Herbs &amp; flowers</t>
        </is>
      </c>
      <c r="C55" s="27" t="inlineStr">
        <is>
          <t>Left · Herb rack</t>
        </is>
      </c>
      <c r="D55" s="27">
        <f>COUNTIF('Recipe Usage'!$D$2:$D$1114,A55)</f>
        <v/>
      </c>
      <c r="E55" s="27" t="inlineStr">
        <is>
          <t>ing_rose_thorns.png</t>
        </is>
      </c>
      <c r="F55" s="28" t="inlineStr">
        <is>
          <t>To do</t>
        </is>
      </c>
      <c r="G55" s="27" t="n"/>
      <c r="H55" s="34" t="inlineStr">
        <is>
          <t>small, sharp and curved</t>
        </is>
      </c>
    </row>
    <row r="56" ht="15" customHeight="1" s="18">
      <c r="A56" s="27" t="inlineStr">
        <is>
          <t>Rosemary</t>
        </is>
      </c>
      <c r="B56" s="27" t="inlineStr">
        <is>
          <t>Herbs &amp; flowers</t>
        </is>
      </c>
      <c r="C56" s="27" t="inlineStr">
        <is>
          <t>Left · Herb rack</t>
        </is>
      </c>
      <c r="D56" s="27">
        <f>COUNTIF('Recipe Usage'!$D$2:$D$1114,A56)</f>
        <v/>
      </c>
      <c r="E56" s="27" t="inlineStr">
        <is>
          <t>ing_rosemary.png</t>
        </is>
      </c>
      <c r="F56" s="28" t="inlineStr">
        <is>
          <t>To do</t>
        </is>
      </c>
      <c r="G56" s="27" t="n"/>
      <c r="H56" s="34" t="inlineStr">
        <is>
          <t>green needles on a woody stem</t>
        </is>
      </c>
    </row>
    <row r="57" ht="15" customHeight="1" s="18">
      <c r="A57" s="27" t="inlineStr">
        <is>
          <t>Rue</t>
        </is>
      </c>
      <c r="B57" s="27" t="inlineStr">
        <is>
          <t>Herbs &amp; flowers</t>
        </is>
      </c>
      <c r="C57" s="27" t="inlineStr">
        <is>
          <t>Left · Herb rack</t>
        </is>
      </c>
      <c r="D57" s="27">
        <f>COUNTIF('Recipe Usage'!$D$2:$D$1114,A57)</f>
        <v/>
      </c>
      <c r="E57" s="27" t="inlineStr">
        <is>
          <t>ing_rue.png</t>
        </is>
      </c>
      <c r="F57" s="28" t="inlineStr">
        <is>
          <t>To do</t>
        </is>
      </c>
      <c r="G57" s="27" t="n"/>
      <c r="H57" s="34" t="inlineStr">
        <is>
          <t>blue-green, lobed leaves</t>
        </is>
      </c>
    </row>
    <row r="58" ht="15" customHeight="1" s="18">
      <c r="A58" s="27" t="inlineStr">
        <is>
          <t>Snowdrop</t>
        </is>
      </c>
      <c r="B58" s="27" t="inlineStr">
        <is>
          <t>Herbs &amp; flowers</t>
        </is>
      </c>
      <c r="C58" s="27" t="inlineStr">
        <is>
          <t>Left · Herb rack</t>
        </is>
      </c>
      <c r="D58" s="27">
        <f>COUNTIF('Recipe Usage'!$D$2:$D$1114,A58)</f>
        <v/>
      </c>
      <c r="E58" s="27" t="inlineStr">
        <is>
          <t>ing_snowdrop.png</t>
        </is>
      </c>
      <c r="F58" s="28" t="inlineStr">
        <is>
          <t>To do</t>
        </is>
      </c>
      <c r="G58" s="27" t="n"/>
      <c r="H58" s="34" t="inlineStr">
        <is>
          <t>small, white and drooping</t>
        </is>
      </c>
    </row>
    <row r="59" ht="15" customHeight="1" s="18">
      <c r="A59" s="27" t="inlineStr">
        <is>
          <t>Sunflower petals</t>
        </is>
      </c>
      <c r="B59" s="27" t="inlineStr">
        <is>
          <t>Herbs &amp; flowers</t>
        </is>
      </c>
      <c r="C59" s="27" t="inlineStr">
        <is>
          <t>Left · Herb rack</t>
        </is>
      </c>
      <c r="D59" s="27">
        <f>COUNTIF('Recipe Usage'!$D$2:$D$1114,A59)</f>
        <v/>
      </c>
      <c r="E59" s="27" t="inlineStr">
        <is>
          <t>ing_sunflower_petals.png</t>
        </is>
      </c>
      <c r="F59" s="28" t="inlineStr">
        <is>
          <t>To do</t>
        </is>
      </c>
      <c r="G59" s="27" t="n"/>
      <c r="H59" s="34" t="inlineStr">
        <is>
          <t>long yellow petals</t>
        </is>
      </c>
    </row>
    <row r="60" ht="15" customHeight="1" s="18">
      <c r="A60" s="27" t="inlineStr">
        <is>
          <t>Sweet pea</t>
        </is>
      </c>
      <c r="B60" s="27" t="inlineStr">
        <is>
          <t>Herbs &amp; flowers</t>
        </is>
      </c>
      <c r="C60" s="27" t="inlineStr">
        <is>
          <t>Left · Herb rack</t>
        </is>
      </c>
      <c r="D60" s="27">
        <f>COUNTIF('Recipe Usage'!$D$2:$D$1114,A60)</f>
        <v/>
      </c>
      <c r="E60" s="27" t="inlineStr">
        <is>
          <t>ing_sweet_pea.png</t>
        </is>
      </c>
      <c r="F60" s="28" t="inlineStr">
        <is>
          <t>To do</t>
        </is>
      </c>
      <c r="G60" s="27" t="n"/>
      <c r="H60" s="34" t="inlineStr">
        <is>
          <t>ruffled and pastel</t>
        </is>
      </c>
    </row>
    <row r="61" ht="15" customHeight="1" s="18">
      <c r="A61" s="27" t="inlineStr">
        <is>
          <t>Thyme</t>
        </is>
      </c>
      <c r="B61" s="27" t="inlineStr">
        <is>
          <t>Herbs &amp; flowers</t>
        </is>
      </c>
      <c r="C61" s="27" t="inlineStr">
        <is>
          <t>Left · Herb rack</t>
        </is>
      </c>
      <c r="D61" s="27">
        <f>COUNTIF('Recipe Usage'!$D$2:$D$1114,A61)</f>
        <v/>
      </c>
      <c r="E61" s="27" t="inlineStr">
        <is>
          <t>ing_thyme.png</t>
        </is>
      </c>
      <c r="F61" s="28" t="inlineStr">
        <is>
          <t>To do</t>
        </is>
      </c>
      <c r="G61" s="27" t="n"/>
      <c r="H61" s="34" t="inlineStr">
        <is>
          <t>tiny leaves on thin stems</t>
        </is>
      </c>
    </row>
    <row r="62" ht="15" customHeight="1" s="18">
      <c r="A62" s="27" t="inlineStr">
        <is>
          <t>Valerian</t>
        </is>
      </c>
      <c r="B62" s="27" t="inlineStr">
        <is>
          <t>Herbs &amp; flowers</t>
        </is>
      </c>
      <c r="C62" s="27" t="inlineStr">
        <is>
          <t>Left · Herb rack</t>
        </is>
      </c>
      <c r="D62" s="27">
        <f>COUNTIF('Recipe Usage'!$D$2:$D$1114,A62)</f>
        <v/>
      </c>
      <c r="E62" s="27" t="inlineStr">
        <is>
          <t>ing_valerian.png</t>
        </is>
      </c>
      <c r="F62" s="28" t="inlineStr">
        <is>
          <t>To do</t>
        </is>
      </c>
      <c r="G62" s="27" t="n"/>
      <c r="H62" s="34" t="inlineStr">
        <is>
          <t>small pink-white clusters</t>
        </is>
      </c>
    </row>
    <row r="63" ht="15" customHeight="1" s="18">
      <c r="A63" s="27" t="inlineStr">
        <is>
          <t>Violet</t>
        </is>
      </c>
      <c r="B63" s="27" t="inlineStr">
        <is>
          <t>Herbs &amp; flowers</t>
        </is>
      </c>
      <c r="C63" s="27" t="inlineStr">
        <is>
          <t>Left · Herb rack</t>
        </is>
      </c>
      <c r="D63" s="27">
        <f>COUNTIF('Recipe Usage'!$D$2:$D$1114,A63)</f>
        <v/>
      </c>
      <c r="E63" s="27" t="inlineStr">
        <is>
          <t>ing_violet.png</t>
        </is>
      </c>
      <c r="F63" s="28" t="inlineStr">
        <is>
          <t>To do</t>
        </is>
      </c>
      <c r="G63" s="27" t="n"/>
      <c r="H63" s="34" t="inlineStr">
        <is>
          <t>small and purple</t>
        </is>
      </c>
    </row>
    <row r="64" ht="15" customHeight="1" s="18">
      <c r="A64" s="27" t="inlineStr">
        <is>
          <t>White lily</t>
        </is>
      </c>
      <c r="B64" s="27" t="inlineStr">
        <is>
          <t>Herbs &amp; flowers</t>
        </is>
      </c>
      <c r="C64" s="27" t="inlineStr">
        <is>
          <t>Left · Herb rack</t>
        </is>
      </c>
      <c r="D64" s="27">
        <f>COUNTIF('Recipe Usage'!$D$2:$D$1114,A64)</f>
        <v/>
      </c>
      <c r="E64" s="27" t="inlineStr">
        <is>
          <t>ing_white_lily.png</t>
        </is>
      </c>
      <c r="F64" s="28" t="inlineStr">
        <is>
          <t>To do</t>
        </is>
      </c>
      <c r="G64" s="27" t="n"/>
      <c r="H64" s="34" t="inlineStr">
        <is>
          <t>tall, white and trumpet-shaped</t>
        </is>
      </c>
    </row>
    <row r="65" ht="15" customHeight="1" s="18">
      <c r="A65" s="27" t="inlineStr">
        <is>
          <t>Wormwood</t>
        </is>
      </c>
      <c r="B65" s="27" t="inlineStr">
        <is>
          <t>Herbs &amp; flowers</t>
        </is>
      </c>
      <c r="C65" s="27" t="inlineStr">
        <is>
          <t>Left · Herb rack</t>
        </is>
      </c>
      <c r="D65" s="27">
        <f>COUNTIF('Recipe Usage'!$D$2:$D$1114,A65)</f>
        <v/>
      </c>
      <c r="E65" s="27" t="inlineStr">
        <is>
          <t>ing_wormwood.png</t>
        </is>
      </c>
      <c r="F65" s="28" t="inlineStr">
        <is>
          <t>To do</t>
        </is>
      </c>
      <c r="G65" s="27" t="n"/>
      <c r="H65" s="34" t="inlineStr">
        <is>
          <t>silver-grey and feathery</t>
        </is>
      </c>
    </row>
    <row r="66" ht="15" customHeight="1" s="18">
      <c r="A66" s="27" t="inlineStr">
        <is>
          <t>Wheat</t>
        </is>
      </c>
      <c r="B66" s="27" t="inlineStr">
        <is>
          <t>Herbs &amp; flowers</t>
        </is>
      </c>
      <c r="C66" s="27" t="inlineStr">
        <is>
          <t>Left · Herb rack</t>
        </is>
      </c>
      <c r="D66" s="27">
        <f>COUNTIF('Recipe Usage'!$D$2:$D$1114,A66)</f>
        <v/>
      </c>
      <c r="E66" s="27" t="inlineStr">
        <is>
          <t>ing_wheat.png</t>
        </is>
      </c>
      <c r="F66" s="28" t="inlineStr">
        <is>
          <t>To do</t>
        </is>
      </c>
      <c r="G66" s="27" t="n"/>
      <c r="H66" s="34" t="inlineStr">
        <is>
          <t>golden stalks with full ears</t>
        </is>
      </c>
    </row>
    <row r="67" ht="15" customHeight="1" s="18">
      <c r="A67" s="27" t="inlineStr">
        <is>
          <t>Seaweed</t>
        </is>
      </c>
      <c r="B67" s="27" t="inlineStr">
        <is>
          <t>Herbs &amp; flowers</t>
        </is>
      </c>
      <c r="C67" s="27" t="inlineStr">
        <is>
          <t>Left · Herb rack</t>
        </is>
      </c>
      <c r="D67" s="27">
        <f>COUNTIF('Recipe Usage'!$D$2:$D$1114,A67)</f>
        <v/>
      </c>
      <c r="E67" s="27" t="inlineStr">
        <is>
          <t>ing_seaweed.png</t>
        </is>
      </c>
      <c r="F67" s="28" t="inlineStr">
        <is>
          <t>To do</t>
        </is>
      </c>
      <c r="G67" s="27" t="n"/>
      <c r="H67" s="34" t="inlineStr">
        <is>
          <t>dark green and slippery</t>
        </is>
      </c>
    </row>
    <row r="68" ht="15" customHeight="1" s="18">
      <c r="A68" s="27" t="inlineStr">
        <is>
          <t>Pressed moon petals</t>
        </is>
      </c>
      <c r="B68" s="27" t="inlineStr">
        <is>
          <t>Herbs &amp; flowers</t>
        </is>
      </c>
      <c r="C68" s="27" t="inlineStr">
        <is>
          <t>Left · Herb rack</t>
        </is>
      </c>
      <c r="D68" s="27">
        <f>COUNTIF('Recipe Usage'!$D$2:$D$1114,A68)</f>
        <v/>
      </c>
      <c r="E68" s="27" t="inlineStr">
        <is>
          <t>ing_pressed_moon_petals.png</t>
        </is>
      </c>
      <c r="F68" s="28" t="inlineStr">
        <is>
          <t>To do</t>
        </is>
      </c>
      <c r="G68" s="27" t="n"/>
      <c r="H68" s="34" t="inlineStr">
        <is>
          <t>flat, pale and papery</t>
        </is>
      </c>
    </row>
    <row r="69" ht="15" customHeight="1" s="18">
      <c r="A69" s="27" t="inlineStr">
        <is>
          <t>Black tea</t>
        </is>
      </c>
      <c r="B69" s="27" t="inlineStr">
        <is>
          <t>Herbs &amp; flowers</t>
        </is>
      </c>
      <c r="C69" s="27" t="inlineStr">
        <is>
          <t>Left · Herb rack</t>
        </is>
      </c>
      <c r="D69" s="27">
        <f>COUNTIF('Recipe Usage'!$D$2:$D$1114,A69)</f>
        <v/>
      </c>
      <c r="E69" s="27" t="inlineStr">
        <is>
          <t>ing_black_tea.png</t>
        </is>
      </c>
      <c r="F69" s="28" t="inlineStr">
        <is>
          <t>To do</t>
        </is>
      </c>
      <c r="G69" s="27" t="n"/>
      <c r="H69" s="34" t="inlineStr">
        <is>
          <t>dark, curled leaves</t>
        </is>
      </c>
    </row>
    <row r="70" ht="15" customHeight="1" s="18">
      <c r="A70" s="27" t="inlineStr">
        <is>
          <t>Cedar</t>
        </is>
      </c>
      <c r="B70" s="27" t="inlineStr">
        <is>
          <t>Herbs &amp; flowers</t>
        </is>
      </c>
      <c r="C70" s="27" t="inlineStr">
        <is>
          <t>Left · Herb rack</t>
        </is>
      </c>
      <c r="D70" s="27">
        <f>COUNTIF('Recipe Usage'!$D$2:$D$1114,A70)</f>
        <v/>
      </c>
      <c r="E70" s="27" t="inlineStr">
        <is>
          <t>ing_cedar.png</t>
        </is>
      </c>
      <c r="F70" s="28" t="inlineStr">
        <is>
          <t>To do</t>
        </is>
      </c>
      <c r="G70" s="27" t="n"/>
      <c r="H70" s="34" t="inlineStr">
        <is>
          <t>reddish wood and flat green sprigs</t>
        </is>
      </c>
    </row>
    <row r="71" ht="15" customHeight="1" s="18">
      <c r="A71" s="27" t="inlineStr">
        <is>
          <t>Cedar chips</t>
        </is>
      </c>
      <c r="B71" s="27" t="inlineStr">
        <is>
          <t>Herbs &amp; flowers</t>
        </is>
      </c>
      <c r="C71" s="27" t="inlineStr">
        <is>
          <t>Left · Herb rack</t>
        </is>
      </c>
      <c r="D71" s="27">
        <f>COUNTIF('Recipe Usage'!$D$2:$D$1114,A71)</f>
        <v/>
      </c>
      <c r="E71" s="27" t="inlineStr">
        <is>
          <t>ing_cedar_chips.png</t>
        </is>
      </c>
      <c r="F71" s="28" t="inlineStr">
        <is>
          <t>To do</t>
        </is>
      </c>
      <c r="G71" s="27" t="n"/>
      <c r="H71" s="34" t="inlineStr">
        <is>
          <t>reddish wood shavings</t>
        </is>
      </c>
    </row>
    <row r="72" ht="15" customHeight="1" s="18">
      <c r="A72" s="27" t="inlineStr">
        <is>
          <t>Cypress</t>
        </is>
      </c>
      <c r="B72" s="27" t="inlineStr">
        <is>
          <t>Herbs &amp; flowers</t>
        </is>
      </c>
      <c r="C72" s="27" t="inlineStr">
        <is>
          <t>Left · Herb rack</t>
        </is>
      </c>
      <c r="D72" s="27">
        <f>COUNTIF('Recipe Usage'!$D$2:$D$1114,A72)</f>
        <v/>
      </c>
      <c r="E72" s="27" t="inlineStr">
        <is>
          <t>ing_cypress.png</t>
        </is>
      </c>
      <c r="F72" s="28" t="inlineStr">
        <is>
          <t>To do</t>
        </is>
      </c>
      <c r="G72" s="27" t="n"/>
      <c r="H72" s="34" t="inlineStr">
        <is>
          <t>dark green sprigs</t>
        </is>
      </c>
    </row>
    <row r="73" ht="15" customHeight="1" s="18">
      <c r="A73" s="27" t="inlineStr">
        <is>
          <t>Juniper</t>
        </is>
      </c>
      <c r="B73" s="27" t="inlineStr">
        <is>
          <t>Herbs &amp; flowers</t>
        </is>
      </c>
      <c r="C73" s="27" t="inlineStr">
        <is>
          <t>Left · Herb rack</t>
        </is>
      </c>
      <c r="D73" s="27">
        <f>COUNTIF('Recipe Usage'!$D$2:$D$1114,A73)</f>
        <v/>
      </c>
      <c r="E73" s="27" t="inlineStr">
        <is>
          <t>ing_juniper.png</t>
        </is>
      </c>
      <c r="F73" s="28" t="inlineStr">
        <is>
          <t>To do</t>
        </is>
      </c>
      <c r="G73" s="27" t="n"/>
      <c r="H73" s="34" t="inlineStr">
        <is>
          <t>blue berries on prickly sprigs</t>
        </is>
      </c>
    </row>
    <row r="74" ht="15" customHeight="1" s="18">
      <c r="A74" s="27" t="inlineStr">
        <is>
          <t>Pine</t>
        </is>
      </c>
      <c r="B74" s="27" t="inlineStr">
        <is>
          <t>Herbs &amp; flowers</t>
        </is>
      </c>
      <c r="C74" s="27" t="inlineStr">
        <is>
          <t>Left · Herb rack</t>
        </is>
      </c>
      <c r="D74" s="27">
        <f>COUNTIF('Recipe Usage'!$D$2:$D$1114,A74)</f>
        <v/>
      </c>
      <c r="E74" s="27" t="inlineStr">
        <is>
          <t>ing_pine.png</t>
        </is>
      </c>
      <c r="F74" s="28" t="inlineStr">
        <is>
          <t>To do</t>
        </is>
      </c>
      <c r="G74" s="27" t="n"/>
      <c r="H74" s="34" t="inlineStr">
        <is>
          <t>green needles</t>
        </is>
      </c>
    </row>
    <row r="75" ht="15" customHeight="1" s="18">
      <c r="A75" s="27" t="inlineStr">
        <is>
          <t>Willow bark</t>
        </is>
      </c>
      <c r="B75" s="27" t="inlineStr">
        <is>
          <t>Herbs &amp; flowers</t>
        </is>
      </c>
      <c r="C75" s="27" t="inlineStr">
        <is>
          <t>Left · Herb rack</t>
        </is>
      </c>
      <c r="D75" s="27">
        <f>COUNTIF('Recipe Usage'!$D$2:$D$1114,A75)</f>
        <v/>
      </c>
      <c r="E75" s="27" t="inlineStr">
        <is>
          <t>ing_willow_bark.png</t>
        </is>
      </c>
      <c r="F75" s="28" t="inlineStr">
        <is>
          <t>To do</t>
        </is>
      </c>
      <c r="G75" s="27" t="n"/>
      <c r="H75" s="34" t="inlineStr">
        <is>
          <t>rough brown strips of bark</t>
        </is>
      </c>
    </row>
    <row r="76" ht="15" customHeight="1" s="18">
      <c r="A76" s="27" t="inlineStr">
        <is>
          <t>Autumn leaf</t>
        </is>
      </c>
      <c r="B76" s="27" t="inlineStr">
        <is>
          <t>Herbs &amp; flowers</t>
        </is>
      </c>
      <c r="C76" s="27" t="inlineStr">
        <is>
          <t>Left · Herb rack</t>
        </is>
      </c>
      <c r="D76" s="27">
        <f>COUNTIF('Recipe Usage'!$D$2:$D$1114,A76)</f>
        <v/>
      </c>
      <c r="E76" s="27" t="inlineStr">
        <is>
          <t>ing_autumn_leaf.png</t>
        </is>
      </c>
      <c r="F76" s="28" t="inlineStr">
        <is>
          <t>To do</t>
        </is>
      </c>
      <c r="G76" s="27" t="n"/>
      <c r="H76" s="34" t="inlineStr">
        <is>
          <t>a curled orange leaf</t>
        </is>
      </c>
    </row>
    <row r="77" ht="15" customHeight="1" s="18">
      <c r="A77" s="27" t="inlineStr">
        <is>
          <t>Apple</t>
        </is>
      </c>
      <c r="B77" s="27" t="inlineStr">
        <is>
          <t>Fruits</t>
        </is>
      </c>
      <c r="C77" s="27" t="inlineStr">
        <is>
          <t>Left · Kitchen</t>
        </is>
      </c>
      <c r="D77" s="27">
        <f>COUNTIF('Recipe Usage'!$D$2:$D$1114,A77)</f>
        <v/>
      </c>
      <c r="E77" s="27" t="inlineStr">
        <is>
          <t>ing_apple.png</t>
        </is>
      </c>
      <c r="F77" s="28" t="inlineStr">
        <is>
          <t>To do</t>
        </is>
      </c>
      <c r="G77" s="27" t="n"/>
      <c r="H77" s="34" t="inlineStr">
        <is>
          <t>round, red and shiny</t>
        </is>
      </c>
    </row>
    <row r="78" ht="15" customHeight="1" s="18">
      <c r="A78" s="27" t="inlineStr">
        <is>
          <t>Apple peel</t>
        </is>
      </c>
      <c r="B78" s="27" t="inlineStr">
        <is>
          <t>Fruits</t>
        </is>
      </c>
      <c r="C78" s="27" t="inlineStr">
        <is>
          <t>Left · Kitchen</t>
        </is>
      </c>
      <c r="D78" s="27">
        <f>COUNTIF('Recipe Usage'!$D$2:$D$1114,A78)</f>
        <v/>
      </c>
      <c r="E78" s="27" t="inlineStr">
        <is>
          <t>ing_apple_peel.png</t>
        </is>
      </c>
      <c r="F78" s="28" t="inlineStr">
        <is>
          <t>To do</t>
        </is>
      </c>
      <c r="G78" s="27" t="n"/>
      <c r="H78" s="34" t="inlineStr">
        <is>
          <t>a long red curl</t>
        </is>
      </c>
    </row>
    <row r="79" ht="15" customHeight="1" s="18">
      <c r="A79" s="27" t="inlineStr">
        <is>
          <t>Cherry</t>
        </is>
      </c>
      <c r="B79" s="27" t="inlineStr">
        <is>
          <t>Fruits</t>
        </is>
      </c>
      <c r="C79" s="27" t="inlineStr">
        <is>
          <t>Left · Kitchen</t>
        </is>
      </c>
      <c r="D79" s="27">
        <f>COUNTIF('Recipe Usage'!$D$2:$D$1114,A79)</f>
        <v/>
      </c>
      <c r="E79" s="27" t="inlineStr">
        <is>
          <t>ing_cherry.png</t>
        </is>
      </c>
      <c r="F79" s="28" t="inlineStr">
        <is>
          <t>To do</t>
        </is>
      </c>
      <c r="G79" s="27" t="n"/>
      <c r="H79" s="34" t="inlineStr">
        <is>
          <t>small, red and on a stalk</t>
        </is>
      </c>
    </row>
    <row r="80" ht="15" customHeight="1" s="18">
      <c r="A80" s="27" t="inlineStr">
        <is>
          <t>Grapes</t>
        </is>
      </c>
      <c r="B80" s="27" t="inlineStr">
        <is>
          <t>Fruits</t>
        </is>
      </c>
      <c r="C80" s="27" t="inlineStr">
        <is>
          <t>Left · Kitchen</t>
        </is>
      </c>
      <c r="D80" s="27">
        <f>COUNTIF('Recipe Usage'!$D$2:$D$1114,A80)</f>
        <v/>
      </c>
      <c r="E80" s="27" t="inlineStr">
        <is>
          <t>ing_grapes.png</t>
        </is>
      </c>
      <c r="F80" s="28" t="inlineStr">
        <is>
          <t>To do</t>
        </is>
      </c>
      <c r="G80" s="27" t="n"/>
      <c r="H80" s="34" t="inlineStr">
        <is>
          <t>small and round, in a bunch</t>
        </is>
      </c>
    </row>
    <row r="81" ht="15" customHeight="1" s="18">
      <c r="A81" s="27" t="inlineStr">
        <is>
          <t>Lemon</t>
        </is>
      </c>
      <c r="B81" s="27" t="inlineStr">
        <is>
          <t>Fruits</t>
        </is>
      </c>
      <c r="C81" s="27" t="inlineStr">
        <is>
          <t>Left · Kitchen</t>
        </is>
      </c>
      <c r="D81" s="27">
        <f>COUNTIF('Recipe Usage'!$D$2:$D$1114,A81)</f>
        <v/>
      </c>
      <c r="E81" s="27" t="inlineStr">
        <is>
          <t>ing_lemon.png</t>
        </is>
      </c>
      <c r="F81" s="28" t="inlineStr">
        <is>
          <t>To do</t>
        </is>
      </c>
      <c r="G81" s="27" t="n"/>
      <c r="H81" s="34" t="inlineStr">
        <is>
          <t>bright yellow and sour-smelling</t>
        </is>
      </c>
    </row>
    <row r="82" ht="15" customHeight="1" s="18">
      <c r="A82" s="27" t="inlineStr">
        <is>
          <t>Lemon peel</t>
        </is>
      </c>
      <c r="B82" s="27" t="inlineStr">
        <is>
          <t>Fruits</t>
        </is>
      </c>
      <c r="C82" s="27" t="inlineStr">
        <is>
          <t>Left · Kitchen</t>
        </is>
      </c>
      <c r="D82" s="27">
        <f>COUNTIF('Recipe Usage'!$D$2:$D$1114,A82)</f>
        <v/>
      </c>
      <c r="E82" s="27" t="inlineStr">
        <is>
          <t>ing_lemon_peel.png</t>
        </is>
      </c>
      <c r="F82" s="28" t="inlineStr">
        <is>
          <t>To do</t>
        </is>
      </c>
      <c r="G82" s="27" t="n"/>
      <c r="H82" s="34" t="inlineStr">
        <is>
          <t>bright yellow zest</t>
        </is>
      </c>
    </row>
    <row r="83" ht="15" customHeight="1" s="18">
      <c r="A83" s="27" t="inlineStr">
        <is>
          <t>Lime peel</t>
        </is>
      </c>
      <c r="B83" s="27" t="inlineStr">
        <is>
          <t>Fruits</t>
        </is>
      </c>
      <c r="C83" s="27" t="inlineStr">
        <is>
          <t>Left · Kitchen</t>
        </is>
      </c>
      <c r="D83" s="27">
        <f>COUNTIF('Recipe Usage'!$D$2:$D$1114,A83)</f>
        <v/>
      </c>
      <c r="E83" s="27" t="inlineStr">
        <is>
          <t>ing_lime_peel.png</t>
        </is>
      </c>
      <c r="F83" s="28" t="inlineStr">
        <is>
          <t>To do</t>
        </is>
      </c>
      <c r="G83" s="27" t="n"/>
      <c r="H83" s="34" t="inlineStr">
        <is>
          <t>bright green zest</t>
        </is>
      </c>
    </row>
    <row r="84" ht="15" customHeight="1" s="18">
      <c r="A84" s="27" t="inlineStr">
        <is>
          <t>Orange</t>
        </is>
      </c>
      <c r="B84" s="27" t="inlineStr">
        <is>
          <t>Fruits</t>
        </is>
      </c>
      <c r="C84" s="27" t="inlineStr">
        <is>
          <t>Left · Kitchen</t>
        </is>
      </c>
      <c r="D84" s="27">
        <f>COUNTIF('Recipe Usage'!$D$2:$D$1114,A84)</f>
        <v/>
      </c>
      <c r="E84" s="27" t="inlineStr">
        <is>
          <t>ing_orange.png</t>
        </is>
      </c>
      <c r="F84" s="28" t="inlineStr">
        <is>
          <t>To do</t>
        </is>
      </c>
      <c r="G84" s="27" t="n"/>
      <c r="H84" s="34" t="inlineStr">
        <is>
          <t>round and orange</t>
        </is>
      </c>
    </row>
    <row r="85" ht="15" customHeight="1" s="18">
      <c r="A85" s="27" t="inlineStr">
        <is>
          <t>Orange peel</t>
        </is>
      </c>
      <c r="B85" s="27" t="inlineStr">
        <is>
          <t>Fruits</t>
        </is>
      </c>
      <c r="C85" s="27" t="inlineStr">
        <is>
          <t>Left · Kitchen</t>
        </is>
      </c>
      <c r="D85" s="27">
        <f>COUNTIF('Recipe Usage'!$D$2:$D$1114,A85)</f>
        <v/>
      </c>
      <c r="E85" s="27" t="inlineStr">
        <is>
          <t>ing_orange_peel.png</t>
        </is>
      </c>
      <c r="F85" s="28" t="inlineStr">
        <is>
          <t>To do</t>
        </is>
      </c>
      <c r="G85" s="27" t="n"/>
      <c r="H85" s="34" t="inlineStr">
        <is>
          <t>orange zest</t>
        </is>
      </c>
    </row>
    <row r="86" ht="15" customHeight="1" s="18">
      <c r="A86" s="27" t="inlineStr">
        <is>
          <t>Peach</t>
        </is>
      </c>
      <c r="B86" s="27" t="inlineStr">
        <is>
          <t>Fruits</t>
        </is>
      </c>
      <c r="C86" s="27" t="inlineStr">
        <is>
          <t>Left · Kitchen</t>
        </is>
      </c>
      <c r="D86" s="27">
        <f>COUNTIF('Recipe Usage'!$D$2:$D$1114,A86)</f>
        <v/>
      </c>
      <c r="E86" s="27" t="inlineStr">
        <is>
          <t>ing_peach.png</t>
        </is>
      </c>
      <c r="F86" s="28" t="inlineStr">
        <is>
          <t>To do</t>
        </is>
      </c>
      <c r="G86" s="27" t="n"/>
      <c r="H86" s="34" t="inlineStr">
        <is>
          <t>soft, fuzzy and blushing</t>
        </is>
      </c>
    </row>
    <row r="87" ht="15" customHeight="1" s="18">
      <c r="A87" s="27" t="inlineStr">
        <is>
          <t>Pomegranate seeds</t>
        </is>
      </c>
      <c r="B87" s="27" t="inlineStr">
        <is>
          <t>Fruits</t>
        </is>
      </c>
      <c r="C87" s="27" t="inlineStr">
        <is>
          <t>Left · Kitchen</t>
        </is>
      </c>
      <c r="D87" s="27">
        <f>COUNTIF('Recipe Usage'!$D$2:$D$1114,A87)</f>
        <v/>
      </c>
      <c r="E87" s="27" t="inlineStr">
        <is>
          <t>ing_pomegranate_seeds.png</t>
        </is>
      </c>
      <c r="F87" s="28" t="inlineStr">
        <is>
          <t>To do</t>
        </is>
      </c>
      <c r="G87" s="27" t="n"/>
      <c r="H87" s="34" t="inlineStr">
        <is>
          <t>jewel-red seeds</t>
        </is>
      </c>
    </row>
    <row r="88" ht="15" customHeight="1" s="18">
      <c r="A88" s="27" t="inlineStr">
        <is>
          <t>Rose hips</t>
        </is>
      </c>
      <c r="B88" s="27" t="inlineStr">
        <is>
          <t>Fruits</t>
        </is>
      </c>
      <c r="C88" s="27" t="inlineStr">
        <is>
          <t>Left · Kitchen</t>
        </is>
      </c>
      <c r="D88" s="27">
        <f>COUNTIF('Recipe Usage'!$D$2:$D$1114,A88)</f>
        <v/>
      </c>
      <c r="E88" s="27" t="inlineStr">
        <is>
          <t>ing_rose_hips.png</t>
        </is>
      </c>
      <c r="F88" s="28" t="inlineStr">
        <is>
          <t>To do</t>
        </is>
      </c>
      <c r="G88" s="27" t="n"/>
      <c r="H88" s="34" t="inlineStr">
        <is>
          <t>small, oval and red</t>
        </is>
      </c>
    </row>
    <row r="89" ht="15" customHeight="1" s="18">
      <c r="A89" s="27" t="inlineStr">
        <is>
          <t>Strawberry</t>
        </is>
      </c>
      <c r="B89" s="27" t="inlineStr">
        <is>
          <t>Fruits</t>
        </is>
      </c>
      <c r="C89" s="27" t="inlineStr">
        <is>
          <t>Left · Kitchen</t>
        </is>
      </c>
      <c r="D89" s="27">
        <f>COUNTIF('Recipe Usage'!$D$2:$D$1114,A89)</f>
        <v/>
      </c>
      <c r="E89" s="27" t="inlineStr">
        <is>
          <t>ing_strawberry.png</t>
        </is>
      </c>
      <c r="F89" s="28" t="inlineStr">
        <is>
          <t>To do</t>
        </is>
      </c>
      <c r="G89" s="27" t="n"/>
      <c r="H89" s="34" t="inlineStr">
        <is>
          <t>small, red and seedy</t>
        </is>
      </c>
    </row>
    <row r="90" ht="15" customHeight="1" s="18">
      <c r="A90" s="27" t="inlineStr">
        <is>
          <t>Raisins</t>
        </is>
      </c>
      <c r="B90" s="27" t="inlineStr">
        <is>
          <t>Fruits</t>
        </is>
      </c>
      <c r="C90" s="27" t="inlineStr">
        <is>
          <t>Left · Kitchen</t>
        </is>
      </c>
      <c r="D90" s="27">
        <f>COUNTIF('Recipe Usage'!$D$2:$D$1114,A90)</f>
        <v/>
      </c>
      <c r="E90" s="27" t="inlineStr">
        <is>
          <t>ing_raisins.png</t>
        </is>
      </c>
      <c r="F90" s="28" t="inlineStr">
        <is>
          <t>To do</t>
        </is>
      </c>
      <c r="G90" s="27" t="n"/>
      <c r="H90" s="34" t="inlineStr">
        <is>
          <t>small, dark and shrivelled</t>
        </is>
      </c>
    </row>
    <row r="91" ht="15" customHeight="1" s="18">
      <c r="A91" s="27" t="inlineStr">
        <is>
          <t>Beetroot powder</t>
        </is>
      </c>
      <c r="B91" s="27" t="inlineStr">
        <is>
          <t>Fruits</t>
        </is>
      </c>
      <c r="C91" s="27" t="inlineStr">
        <is>
          <t>Left · Kitchen</t>
        </is>
      </c>
      <c r="D91" s="27">
        <f>COUNTIF('Recipe Usage'!$D$2:$D$1114,A91)</f>
        <v/>
      </c>
      <c r="E91" s="27" t="inlineStr">
        <is>
          <t>ing_beetroot_powder.png</t>
        </is>
      </c>
      <c r="F91" s="28" t="inlineStr">
        <is>
          <t>To do</t>
        </is>
      </c>
      <c r="G91" s="27" t="n"/>
      <c r="H91" s="34" t="inlineStr">
        <is>
          <t>deep magenta powder</t>
        </is>
      </c>
    </row>
    <row r="92" ht="15" customHeight="1" s="18">
      <c r="A92" s="27" t="inlineStr">
        <is>
          <t>Allspice</t>
        </is>
      </c>
      <c r="B92" s="27" t="inlineStr">
        <is>
          <t>Spices</t>
        </is>
      </c>
      <c r="C92" s="27" t="inlineStr">
        <is>
          <t>Left · Spice shelf</t>
        </is>
      </c>
      <c r="D92" s="27">
        <f>COUNTIF('Recipe Usage'!$D$2:$D$1114,A92)</f>
        <v/>
      </c>
      <c r="E92" s="27" t="inlineStr">
        <is>
          <t>ing_allspice.png</t>
        </is>
      </c>
      <c r="F92" s="28" t="inlineStr">
        <is>
          <t>To do</t>
        </is>
      </c>
      <c r="G92" s="27" t="n"/>
      <c r="H92" s="34" t="inlineStr">
        <is>
          <t>round brown berries</t>
        </is>
      </c>
    </row>
    <row r="93" ht="15" customHeight="1" s="18">
      <c r="A93" s="27" t="inlineStr">
        <is>
          <t>Bergamot</t>
        </is>
      </c>
      <c r="B93" s="27" t="inlineStr">
        <is>
          <t>Spices</t>
        </is>
      </c>
      <c r="C93" s="27" t="inlineStr">
        <is>
          <t>Left · Spice shelf</t>
        </is>
      </c>
      <c r="D93" s="27">
        <f>COUNTIF('Recipe Usage'!$D$2:$D$1114,A93)</f>
        <v/>
      </c>
      <c r="E93" s="27" t="inlineStr">
        <is>
          <t>ing_bergamot.png</t>
        </is>
      </c>
      <c r="F93" s="28" t="inlineStr">
        <is>
          <t>To do</t>
        </is>
      </c>
      <c r="G93" s="27" t="n"/>
      <c r="H93" s="34" t="inlineStr">
        <is>
          <t>green-yellow citrus rind</t>
        </is>
      </c>
    </row>
    <row r="94" ht="15" customHeight="1" s="18">
      <c r="A94" s="27" t="inlineStr">
        <is>
          <t>Black pepper</t>
        </is>
      </c>
      <c r="B94" s="27" t="inlineStr">
        <is>
          <t>Spices</t>
        </is>
      </c>
      <c r="C94" s="27" t="inlineStr">
        <is>
          <t>Left · Spice shelf</t>
        </is>
      </c>
      <c r="D94" s="27">
        <f>COUNTIF('Recipe Usage'!$D$2:$D$1114,A94)</f>
        <v/>
      </c>
      <c r="E94" s="27" t="inlineStr">
        <is>
          <t>ing_black_pepper.png</t>
        </is>
      </c>
      <c r="F94" s="28" t="inlineStr">
        <is>
          <t>To do</t>
        </is>
      </c>
      <c r="G94" s="27" t="n"/>
      <c r="H94" s="34" t="inlineStr">
        <is>
          <t>small, hard black corns</t>
        </is>
      </c>
    </row>
    <row r="95" ht="15" customHeight="1" s="18">
      <c r="A95" s="27" t="inlineStr">
        <is>
          <t>Cardamom</t>
        </is>
      </c>
      <c r="B95" s="27" t="inlineStr">
        <is>
          <t>Spices</t>
        </is>
      </c>
      <c r="C95" s="27" t="inlineStr">
        <is>
          <t>Left · Spice shelf</t>
        </is>
      </c>
      <c r="D95" s="27">
        <f>COUNTIF('Recipe Usage'!$D$2:$D$1114,A95)</f>
        <v/>
      </c>
      <c r="E95" s="27" t="inlineStr">
        <is>
          <t>ing_cardamom.png</t>
        </is>
      </c>
      <c r="F95" s="28" t="inlineStr">
        <is>
          <t>To do</t>
        </is>
      </c>
      <c r="G95" s="27" t="n"/>
      <c r="H95" s="34" t="inlineStr">
        <is>
          <t>small green pods</t>
        </is>
      </c>
    </row>
    <row r="96" ht="15" customHeight="1" s="18">
      <c r="A96" s="27" t="inlineStr">
        <is>
          <t>Chili</t>
        </is>
      </c>
      <c r="B96" s="27" t="inlineStr">
        <is>
          <t>Spices</t>
        </is>
      </c>
      <c r="C96" s="27" t="inlineStr">
        <is>
          <t>Left · Spice shelf</t>
        </is>
      </c>
      <c r="D96" s="27">
        <f>COUNTIF('Recipe Usage'!$D$2:$D$1114,A96)</f>
        <v/>
      </c>
      <c r="E96" s="27" t="inlineStr">
        <is>
          <t>ing_chili.png</t>
        </is>
      </c>
      <c r="F96" s="28" t="inlineStr">
        <is>
          <t>To do</t>
        </is>
      </c>
      <c r="G96" s="27" t="n"/>
      <c r="H96" s="34" t="inlineStr">
        <is>
          <t>long, red and shiny</t>
        </is>
      </c>
    </row>
    <row r="97" ht="15" customHeight="1" s="18">
      <c r="A97" s="27" t="inlineStr">
        <is>
          <t>Cinnamon</t>
        </is>
      </c>
      <c r="B97" s="27" t="inlineStr">
        <is>
          <t>Spices</t>
        </is>
      </c>
      <c r="C97" s="27" t="inlineStr">
        <is>
          <t>Left · Spice shelf</t>
        </is>
      </c>
      <c r="D97" s="27">
        <f>COUNTIF('Recipe Usage'!$D$2:$D$1114,A97)</f>
        <v/>
      </c>
      <c r="E97" s="27" t="inlineStr">
        <is>
          <t>ing_cinnamon.png</t>
        </is>
      </c>
      <c r="F97" s="28" t="inlineStr">
        <is>
          <t>To do</t>
        </is>
      </c>
      <c r="G97" s="27" t="n"/>
      <c r="H97" s="34" t="inlineStr">
        <is>
          <t>warm brown powder</t>
        </is>
      </c>
    </row>
    <row r="98" ht="15" customHeight="1" s="18">
      <c r="A98" s="27" t="inlineStr">
        <is>
          <t>Cinnamon stick</t>
        </is>
      </c>
      <c r="B98" s="27" t="inlineStr">
        <is>
          <t>Spices</t>
        </is>
      </c>
      <c r="C98" s="27" t="inlineStr">
        <is>
          <t>Left · Spice shelf</t>
        </is>
      </c>
      <c r="D98" s="27">
        <f>COUNTIF('Recipe Usage'!$D$2:$D$1114,A98)</f>
        <v/>
      </c>
      <c r="E98" s="27" t="inlineStr">
        <is>
          <t>ing_cinnamon_stick.png</t>
        </is>
      </c>
      <c r="F98" s="28" t="inlineStr">
        <is>
          <t>To do</t>
        </is>
      </c>
      <c r="G98" s="27" t="n"/>
      <c r="H98" s="34" t="inlineStr">
        <is>
          <t>a rolled brown curl of bark</t>
        </is>
      </c>
    </row>
    <row r="99" ht="15" customHeight="1" s="18">
      <c r="A99" s="27" t="inlineStr">
        <is>
          <t>Clove</t>
        </is>
      </c>
      <c r="B99" s="27" t="inlineStr">
        <is>
          <t>Spices</t>
        </is>
      </c>
      <c r="C99" s="27" t="inlineStr">
        <is>
          <t>Left · Spice shelf</t>
        </is>
      </c>
      <c r="D99" s="27">
        <f>COUNTIF('Recipe Usage'!$D$2:$D$1114,A99)</f>
        <v/>
      </c>
      <c r="E99" s="27" t="inlineStr">
        <is>
          <t>ing_clove.png</t>
        </is>
      </c>
      <c r="F99" s="28" t="inlineStr">
        <is>
          <t>To do</t>
        </is>
      </c>
      <c r="G99" s="27" t="n"/>
      <c r="H99" s="34" t="inlineStr">
        <is>
          <t>small, dark and nail-shaped</t>
        </is>
      </c>
    </row>
    <row r="100" ht="15" customHeight="1" s="18">
      <c r="A100" s="27" t="inlineStr">
        <is>
          <t>Fennel seed</t>
        </is>
      </c>
      <c r="B100" s="27" t="inlineStr">
        <is>
          <t>Spices</t>
        </is>
      </c>
      <c r="C100" s="27" t="inlineStr">
        <is>
          <t>Left · Spice shelf</t>
        </is>
      </c>
      <c r="D100" s="27">
        <f>COUNTIF('Recipe Usage'!$D$2:$D$1114,A100)</f>
        <v/>
      </c>
      <c r="E100" s="27" t="inlineStr">
        <is>
          <t>ing_fennel_seed.png</t>
        </is>
      </c>
      <c r="F100" s="28" t="inlineStr">
        <is>
          <t>To do</t>
        </is>
      </c>
      <c r="G100" s="27" t="n"/>
      <c r="H100" s="34" t="inlineStr">
        <is>
          <t>small, pale green seeds</t>
        </is>
      </c>
    </row>
    <row r="101" ht="15" customHeight="1" s="18">
      <c r="A101" s="27" t="inlineStr">
        <is>
          <t>Ginger</t>
        </is>
      </c>
      <c r="B101" s="27" t="inlineStr">
        <is>
          <t>Spices</t>
        </is>
      </c>
      <c r="C101" s="27" t="inlineStr">
        <is>
          <t>Left · Spice shelf</t>
        </is>
      </c>
      <c r="D101" s="27">
        <f>COUNTIF('Recipe Usage'!$D$2:$D$1114,A101)</f>
        <v/>
      </c>
      <c r="E101" s="27" t="inlineStr">
        <is>
          <t>ing_ginger.png</t>
        </is>
      </c>
      <c r="F101" s="28" t="inlineStr">
        <is>
          <t>To do</t>
        </is>
      </c>
      <c r="G101" s="27" t="n"/>
      <c r="H101" s="34" t="inlineStr">
        <is>
          <t>a knobbly, pale brown root</t>
        </is>
      </c>
    </row>
    <row r="102" ht="15" customHeight="1" s="18">
      <c r="A102" s="27" t="inlineStr">
        <is>
          <t>Nutmeg</t>
        </is>
      </c>
      <c r="B102" s="27" t="inlineStr">
        <is>
          <t>Spices</t>
        </is>
      </c>
      <c r="C102" s="27" t="inlineStr">
        <is>
          <t>Left · Spice shelf</t>
        </is>
      </c>
      <c r="D102" s="27">
        <f>COUNTIF('Recipe Usage'!$D$2:$D$1114,A102)</f>
        <v/>
      </c>
      <c r="E102" s="27" t="inlineStr">
        <is>
          <t>ing_nutmeg.png</t>
        </is>
      </c>
      <c r="F102" s="28" t="inlineStr">
        <is>
          <t>To do</t>
        </is>
      </c>
      <c r="G102" s="27" t="n"/>
      <c r="H102" s="34" t="inlineStr">
        <is>
          <t>hard, brown and round</t>
        </is>
      </c>
    </row>
    <row r="103" ht="15" customHeight="1" s="18">
      <c r="A103" s="27" t="inlineStr">
        <is>
          <t>Poppy seeds</t>
        </is>
      </c>
      <c r="B103" s="27" t="inlineStr">
        <is>
          <t>Spices</t>
        </is>
      </c>
      <c r="C103" s="27" t="inlineStr">
        <is>
          <t>Left · Spice shelf</t>
        </is>
      </c>
      <c r="D103" s="27">
        <f>COUNTIF('Recipe Usage'!$D$2:$D$1114,A103)</f>
        <v/>
      </c>
      <c r="E103" s="27" t="inlineStr">
        <is>
          <t>ing_poppy_seeds.png</t>
        </is>
      </c>
      <c r="F103" s="28" t="inlineStr">
        <is>
          <t>To do</t>
        </is>
      </c>
      <c r="G103" s="27" t="n"/>
      <c r="H103" s="34" t="inlineStr">
        <is>
          <t>tiny blue-black seeds</t>
        </is>
      </c>
    </row>
    <row r="104" ht="15" customHeight="1" s="18">
      <c r="A104" s="27" t="inlineStr">
        <is>
          <t>Saffron</t>
        </is>
      </c>
      <c r="B104" s="27" t="inlineStr">
        <is>
          <t>Spices</t>
        </is>
      </c>
      <c r="C104" s="27" t="inlineStr">
        <is>
          <t>Left · Spice shelf</t>
        </is>
      </c>
      <c r="D104" s="27">
        <f>COUNTIF('Recipe Usage'!$D$2:$D$1114,A104)</f>
        <v/>
      </c>
      <c r="E104" s="27" t="inlineStr">
        <is>
          <t>ing_saffron.png</t>
        </is>
      </c>
      <c r="F104" s="28" t="inlineStr">
        <is>
          <t>To do</t>
        </is>
      </c>
      <c r="G104" s="27" t="n"/>
      <c r="H104" s="34" t="inlineStr">
        <is>
          <t>thin red threads</t>
        </is>
      </c>
    </row>
    <row r="105" ht="15" customHeight="1" s="18">
      <c r="A105" s="27" t="inlineStr">
        <is>
          <t>Star anise</t>
        </is>
      </c>
      <c r="B105" s="27" t="inlineStr">
        <is>
          <t>Spices</t>
        </is>
      </c>
      <c r="C105" s="27" t="inlineStr">
        <is>
          <t>Left · Spice shelf</t>
        </is>
      </c>
      <c r="D105" s="27">
        <f>COUNTIF('Recipe Usage'!$D$2:$D$1114,A105)</f>
        <v/>
      </c>
      <c r="E105" s="27" t="inlineStr">
        <is>
          <t>ing_star_anise.png</t>
        </is>
      </c>
      <c r="F105" s="28" t="inlineStr">
        <is>
          <t>To do</t>
        </is>
      </c>
      <c r="G105" s="27" t="n"/>
      <c r="H105" s="34" t="inlineStr">
        <is>
          <t>brown and star-shaped</t>
        </is>
      </c>
    </row>
    <row r="106" ht="15" customHeight="1" s="18">
      <c r="A106" s="27" t="inlineStr">
        <is>
          <t>Vanilla</t>
        </is>
      </c>
      <c r="B106" s="27" t="inlineStr">
        <is>
          <t>Spices</t>
        </is>
      </c>
      <c r="C106" s="27" t="inlineStr">
        <is>
          <t>Left · Spice shelf</t>
        </is>
      </c>
      <c r="D106" s="27">
        <f>COUNTIF('Recipe Usage'!$D$2:$D$1114,A106)</f>
        <v/>
      </c>
      <c r="E106" s="27" t="inlineStr">
        <is>
          <t>ing_vanilla.png</t>
        </is>
      </c>
      <c r="F106" s="28" t="inlineStr">
        <is>
          <t>To do</t>
        </is>
      </c>
      <c r="G106" s="27" t="n"/>
      <c r="H106" s="34" t="inlineStr">
        <is>
          <t>a long, dark, wrinkled pod</t>
        </is>
      </c>
    </row>
    <row r="107" ht="15" customHeight="1" s="18">
      <c r="A107" s="27" t="inlineStr">
        <is>
          <t>Baking soda</t>
        </is>
      </c>
      <c r="B107" s="27" t="inlineStr">
        <is>
          <t>Pantry: salts, sugars &amp; baking</t>
        </is>
      </c>
      <c r="C107" s="27" t="inlineStr">
        <is>
          <t>Left · Kitchen</t>
        </is>
      </c>
      <c r="D107" s="27">
        <f>COUNTIF('Recipe Usage'!$D$2:$D$1114,A107)</f>
        <v/>
      </c>
      <c r="E107" s="27" t="inlineStr">
        <is>
          <t>ing_baking_soda.png</t>
        </is>
      </c>
      <c r="F107" s="28" t="inlineStr">
        <is>
          <t>To do</t>
        </is>
      </c>
      <c r="G107" s="27" t="n"/>
      <c r="H107" s="34" t="inlineStr">
        <is>
          <t>fine white powder</t>
        </is>
      </c>
    </row>
    <row r="108" ht="15" customHeight="1" s="18">
      <c r="A108" s="27" t="inlineStr">
        <is>
          <t>Black salt</t>
        </is>
      </c>
      <c r="B108" s="27" t="inlineStr">
        <is>
          <t>Pantry: salts, sugars &amp; baking</t>
        </is>
      </c>
      <c r="C108" s="27" t="inlineStr">
        <is>
          <t>Left · Kitchen</t>
        </is>
      </c>
      <c r="D108" s="27">
        <f>COUNTIF('Recipe Usage'!$D$2:$D$1114,A108)</f>
        <v/>
      </c>
      <c r="E108" s="27" t="inlineStr">
        <is>
          <t>ing_black_salt.png</t>
        </is>
      </c>
      <c r="F108" s="28" t="inlineStr">
        <is>
          <t>To do</t>
        </is>
      </c>
      <c r="G108" s="27" t="n"/>
      <c r="H108" s="34" t="inlineStr">
        <is>
          <t>coarse black grains</t>
        </is>
      </c>
    </row>
    <row r="109" ht="15" customHeight="1" s="18">
      <c r="A109" s="27" t="inlineStr">
        <is>
          <t>Brown sugar</t>
        </is>
      </c>
      <c r="B109" s="27" t="inlineStr">
        <is>
          <t>Pantry: salts, sugars &amp; baking</t>
        </is>
      </c>
      <c r="C109" s="27" t="inlineStr">
        <is>
          <t>Left · Kitchen</t>
        </is>
      </c>
      <c r="D109" s="27">
        <f>COUNTIF('Recipe Usage'!$D$2:$D$1114,A109)</f>
        <v/>
      </c>
      <c r="E109" s="27" t="inlineStr">
        <is>
          <t>ing_brown_sugar.png</t>
        </is>
      </c>
      <c r="F109" s="28" t="inlineStr">
        <is>
          <t>To do</t>
        </is>
      </c>
      <c r="G109" s="27" t="n"/>
      <c r="H109" s="34" t="inlineStr">
        <is>
          <t>soft brown grains</t>
        </is>
      </c>
    </row>
    <row r="110" ht="15" customHeight="1" s="18">
      <c r="A110" s="27" t="inlineStr">
        <is>
          <t>Chocolate chips</t>
        </is>
      </c>
      <c r="B110" s="27" t="inlineStr">
        <is>
          <t>Pantry: salts, sugars &amp; baking</t>
        </is>
      </c>
      <c r="C110" s="27" t="inlineStr">
        <is>
          <t>Left · Kitchen</t>
        </is>
      </c>
      <c r="D110" s="27">
        <f>COUNTIF('Recipe Usage'!$D$2:$D$1114,A110)</f>
        <v/>
      </c>
      <c r="E110" s="27" t="inlineStr">
        <is>
          <t>ing_chocolate_chips.png</t>
        </is>
      </c>
      <c r="F110" s="28" t="inlineStr">
        <is>
          <t>To do</t>
        </is>
      </c>
      <c r="G110" s="27" t="n"/>
      <c r="H110" s="34" t="inlineStr">
        <is>
          <t>small brown drops</t>
        </is>
      </c>
    </row>
    <row r="111" ht="15" customHeight="1" s="18">
      <c r="A111" s="27" t="inlineStr">
        <is>
          <t>Cocoa</t>
        </is>
      </c>
      <c r="B111" s="27" t="inlineStr">
        <is>
          <t>Pantry: salts, sugars &amp; baking</t>
        </is>
      </c>
      <c r="C111" s="27" t="inlineStr">
        <is>
          <t>Left · Kitchen</t>
        </is>
      </c>
      <c r="D111" s="27">
        <f>COUNTIF('Recipe Usage'!$D$2:$D$1114,A111)</f>
        <v/>
      </c>
      <c r="E111" s="27" t="inlineStr">
        <is>
          <t>ing_cocoa.png</t>
        </is>
      </c>
      <c r="F111" s="28" t="inlineStr">
        <is>
          <t>To do</t>
        </is>
      </c>
      <c r="G111" s="27" t="n"/>
      <c r="H111" s="34" t="inlineStr">
        <is>
          <t>dark brown powder</t>
        </is>
      </c>
    </row>
    <row r="112" ht="15" customHeight="1" s="18">
      <c r="A112" s="27" t="inlineStr">
        <is>
          <t>Coconut milk powder</t>
        </is>
      </c>
      <c r="B112" s="27" t="inlineStr">
        <is>
          <t>Pantry: salts, sugars &amp; baking</t>
        </is>
      </c>
      <c r="C112" s="27" t="inlineStr">
        <is>
          <t>Left · Kitchen</t>
        </is>
      </c>
      <c r="D112" s="27">
        <f>COUNTIF('Recipe Usage'!$D$2:$D$1114,A112)</f>
        <v/>
      </c>
      <c r="E112" s="27" t="inlineStr">
        <is>
          <t>ing_coconut_milk_powder.png</t>
        </is>
      </c>
      <c r="F112" s="28" t="inlineStr">
        <is>
          <t>To do</t>
        </is>
      </c>
      <c r="G112" s="27" t="n"/>
      <c r="H112" s="34" t="inlineStr">
        <is>
          <t>fine white powder</t>
        </is>
      </c>
    </row>
    <row r="113" ht="15" customHeight="1" s="18">
      <c r="A113" s="27" t="inlineStr">
        <is>
          <t>Epsom salt</t>
        </is>
      </c>
      <c r="B113" s="27" t="inlineStr">
        <is>
          <t>Pantry: salts, sugars &amp; baking</t>
        </is>
      </c>
      <c r="C113" s="27" t="inlineStr">
        <is>
          <t>Left · Kitchen</t>
        </is>
      </c>
      <c r="D113" s="27">
        <f>COUNTIF('Recipe Usage'!$D$2:$D$1114,A113)</f>
        <v/>
      </c>
      <c r="E113" s="27" t="inlineStr">
        <is>
          <t>ing_epsom_salt.png</t>
        </is>
      </c>
      <c r="F113" s="28" t="inlineStr">
        <is>
          <t>To do</t>
        </is>
      </c>
      <c r="G113" s="27" t="n"/>
      <c r="H113" s="34" t="inlineStr">
        <is>
          <t>clear white crystals</t>
        </is>
      </c>
    </row>
    <row r="114" ht="15" customHeight="1" s="18">
      <c r="A114" s="27" t="inlineStr">
        <is>
          <t>Flour</t>
        </is>
      </c>
      <c r="B114" s="27" t="inlineStr">
        <is>
          <t>Pantry: salts, sugars &amp; baking</t>
        </is>
      </c>
      <c r="C114" s="27" t="inlineStr">
        <is>
          <t>Left · Kitchen</t>
        </is>
      </c>
      <c r="D114" s="27">
        <f>COUNTIF('Recipe Usage'!$D$2:$D$1114,A114)</f>
        <v/>
      </c>
      <c r="E114" s="27" t="inlineStr">
        <is>
          <t>ing_flour.png</t>
        </is>
      </c>
      <c r="F114" s="28" t="inlineStr">
        <is>
          <t>To do</t>
        </is>
      </c>
      <c r="G114" s="27" t="n"/>
      <c r="H114" s="34" t="inlineStr">
        <is>
          <t>fine white powder</t>
        </is>
      </c>
    </row>
    <row r="115" ht="15" customHeight="1" s="18">
      <c r="A115" s="27" t="inlineStr">
        <is>
          <t>Gold sprinkles</t>
        </is>
      </c>
      <c r="B115" s="27" t="inlineStr">
        <is>
          <t>Pantry: salts, sugars &amp; baking</t>
        </is>
      </c>
      <c r="C115" s="27" t="inlineStr">
        <is>
          <t>Left · Kitchen</t>
        </is>
      </c>
      <c r="D115" s="27">
        <f>COUNTIF('Recipe Usage'!$D$2:$D$1114,A115)</f>
        <v/>
      </c>
      <c r="E115" s="27" t="inlineStr">
        <is>
          <t>ing_gold_sprinkles.png</t>
        </is>
      </c>
      <c r="F115" s="28" t="inlineStr">
        <is>
          <t>To do</t>
        </is>
      </c>
      <c r="G115" s="27" t="n"/>
      <c r="H115" s="34" t="inlineStr">
        <is>
          <t>tiny gold balls</t>
        </is>
      </c>
    </row>
    <row r="116" ht="15" customHeight="1" s="18">
      <c r="A116" s="27" t="inlineStr">
        <is>
          <t>Honey</t>
        </is>
      </c>
      <c r="B116" s="27" t="inlineStr">
        <is>
          <t>Pantry: salts, sugars &amp; baking</t>
        </is>
      </c>
      <c r="C116" s="27" t="inlineStr">
        <is>
          <t>Left · Kitchen</t>
        </is>
      </c>
      <c r="D116" s="27">
        <f>COUNTIF('Recipe Usage'!$D$2:$D$1114,A116)</f>
        <v/>
      </c>
      <c r="E116" s="27" t="inlineStr">
        <is>
          <t>ing_honey.png</t>
        </is>
      </c>
      <c r="F116" s="28" t="inlineStr">
        <is>
          <t>To do</t>
        </is>
      </c>
      <c r="G116" s="27" t="n"/>
      <c r="H116" s="34" t="inlineStr">
        <is>
          <t>golden and runny</t>
        </is>
      </c>
    </row>
    <row r="117" ht="15" customHeight="1" s="18">
      <c r="A117" s="27" t="inlineStr">
        <is>
          <t>Milk</t>
        </is>
      </c>
      <c r="B117" s="27" t="inlineStr">
        <is>
          <t>Pantry: salts, sugars &amp; baking</t>
        </is>
      </c>
      <c r="C117" s="27" t="inlineStr">
        <is>
          <t>Left · Kitchen</t>
        </is>
      </c>
      <c r="D117" s="27">
        <f>COUNTIF('Recipe Usage'!$D$2:$D$1114,A117)</f>
        <v/>
      </c>
      <c r="E117" s="27" t="inlineStr">
        <is>
          <t>ing_milk.png</t>
        </is>
      </c>
      <c r="F117" s="28" t="inlineStr">
        <is>
          <t>To do</t>
        </is>
      </c>
      <c r="G117" s="27" t="n"/>
      <c r="H117" s="34" t="inlineStr">
        <is>
          <t>white and creamy</t>
        </is>
      </c>
    </row>
    <row r="118" ht="15" customHeight="1" s="18">
      <c r="A118" s="27" t="inlineStr">
        <is>
          <t>Milk powder</t>
        </is>
      </c>
      <c r="B118" s="27" t="inlineStr">
        <is>
          <t>Pantry: salts, sugars &amp; baking</t>
        </is>
      </c>
      <c r="C118" s="27" t="inlineStr">
        <is>
          <t>Left · Kitchen</t>
        </is>
      </c>
      <c r="D118" s="27">
        <f>COUNTIF('Recipe Usage'!$D$2:$D$1114,A118)</f>
        <v/>
      </c>
      <c r="E118" s="27" t="inlineStr">
        <is>
          <t>ing_milk_powder.png</t>
        </is>
      </c>
      <c r="F118" s="28" t="inlineStr">
        <is>
          <t>To do</t>
        </is>
      </c>
      <c r="G118" s="27" t="n"/>
      <c r="H118" s="34" t="inlineStr">
        <is>
          <t>fine white powder</t>
        </is>
      </c>
    </row>
    <row r="119" ht="15" customHeight="1" s="18">
      <c r="A119" s="27" t="inlineStr">
        <is>
          <t>Oats</t>
        </is>
      </c>
      <c r="B119" s="27" t="inlineStr">
        <is>
          <t>Pantry: salts, sugars &amp; baking</t>
        </is>
      </c>
      <c r="C119" s="27" t="inlineStr">
        <is>
          <t>Left · Kitchen</t>
        </is>
      </c>
      <c r="D119" s="27">
        <f>COUNTIF('Recipe Usage'!$D$2:$D$1114,A119)</f>
        <v/>
      </c>
      <c r="E119" s="27" t="inlineStr">
        <is>
          <t>ing_oats.png</t>
        </is>
      </c>
      <c r="F119" s="28" t="inlineStr">
        <is>
          <t>To do</t>
        </is>
      </c>
      <c r="G119" s="27" t="n"/>
      <c r="H119" s="34" t="inlineStr">
        <is>
          <t>pale, flat flakes</t>
        </is>
      </c>
    </row>
    <row r="120" ht="15" customHeight="1" s="18">
      <c r="A120" s="27" t="inlineStr">
        <is>
          <t>Pink salt</t>
        </is>
      </c>
      <c r="B120" s="27" t="inlineStr">
        <is>
          <t>Pantry: salts, sugars &amp; baking</t>
        </is>
      </c>
      <c r="C120" s="27" t="inlineStr">
        <is>
          <t>Left · Kitchen</t>
        </is>
      </c>
      <c r="D120" s="27">
        <f>COUNTIF('Recipe Usage'!$D$2:$D$1114,A120)</f>
        <v/>
      </c>
      <c r="E120" s="27" t="inlineStr">
        <is>
          <t>ing_pink_salt.png</t>
        </is>
      </c>
      <c r="F120" s="28" t="inlineStr">
        <is>
          <t>To do</t>
        </is>
      </c>
      <c r="G120" s="27" t="n"/>
      <c r="H120" s="34" t="inlineStr">
        <is>
          <t>pink crystals</t>
        </is>
      </c>
    </row>
    <row r="121" ht="15" customHeight="1" s="18">
      <c r="A121" s="27" t="inlineStr">
        <is>
          <t>Pink sprinkles</t>
        </is>
      </c>
      <c r="B121" s="27" t="inlineStr">
        <is>
          <t>Pantry: salts, sugars &amp; baking</t>
        </is>
      </c>
      <c r="C121" s="27" t="inlineStr">
        <is>
          <t>Left · Kitchen</t>
        </is>
      </c>
      <c r="D121" s="27">
        <f>COUNTIF('Recipe Usage'!$D$2:$D$1114,A121)</f>
        <v/>
      </c>
      <c r="E121" s="27" t="inlineStr">
        <is>
          <t>ing_pink_sprinkles.png</t>
        </is>
      </c>
      <c r="F121" s="28" t="inlineStr">
        <is>
          <t>To do</t>
        </is>
      </c>
      <c r="G121" s="27" t="n"/>
      <c r="H121" s="34" t="inlineStr">
        <is>
          <t>thin pink strands</t>
        </is>
      </c>
    </row>
    <row r="122" ht="15" customHeight="1" s="18">
      <c r="A122" s="27" t="inlineStr">
        <is>
          <t>Rainbow sprinkles</t>
        </is>
      </c>
      <c r="B122" s="27" t="inlineStr">
        <is>
          <t>Pantry: salts, sugars &amp; baking</t>
        </is>
      </c>
      <c r="C122" s="27" t="inlineStr">
        <is>
          <t>Left · Kitchen</t>
        </is>
      </c>
      <c r="D122" s="27">
        <f>COUNTIF('Recipe Usage'!$D$2:$D$1114,A122)</f>
        <v/>
      </c>
      <c r="E122" s="27" t="inlineStr">
        <is>
          <t>ing_rainbow_sprinkles.png</t>
        </is>
      </c>
      <c r="F122" s="28" t="inlineStr">
        <is>
          <t>To do</t>
        </is>
      </c>
      <c r="G122" s="27" t="n"/>
      <c r="H122" s="34" t="inlineStr">
        <is>
          <t>many-coloured strands</t>
        </is>
      </c>
    </row>
    <row r="123" ht="15" customHeight="1" s="18">
      <c r="A123" s="27" t="inlineStr">
        <is>
          <t>Rice flour</t>
        </is>
      </c>
      <c r="B123" s="27" t="inlineStr">
        <is>
          <t>Pantry: salts, sugars &amp; baking</t>
        </is>
      </c>
      <c r="C123" s="27" t="inlineStr">
        <is>
          <t>Left · Kitchen</t>
        </is>
      </c>
      <c r="D123" s="27">
        <f>COUNTIF('Recipe Usage'!$D$2:$D$1114,A123)</f>
        <v/>
      </c>
      <c r="E123" s="27" t="inlineStr">
        <is>
          <t>ing_rice_flour.png</t>
        </is>
      </c>
      <c r="F123" s="28" t="inlineStr">
        <is>
          <t>To do</t>
        </is>
      </c>
      <c r="G123" s="27" t="n"/>
      <c r="H123" s="34" t="inlineStr">
        <is>
          <t>fine white powder</t>
        </is>
      </c>
    </row>
    <row r="124" ht="15" customHeight="1" s="18">
      <c r="A124" s="27" t="inlineStr">
        <is>
          <t>Rose clay</t>
        </is>
      </c>
      <c r="B124" s="27" t="inlineStr">
        <is>
          <t>Pantry: salts, sugars &amp; baking</t>
        </is>
      </c>
      <c r="C124" s="27" t="inlineStr">
        <is>
          <t>Left · Kitchen</t>
        </is>
      </c>
      <c r="D124" s="27">
        <f>COUNTIF('Recipe Usage'!$D$2:$D$1114,A124)</f>
        <v/>
      </c>
      <c r="E124" s="27" t="inlineStr">
        <is>
          <t>ing_rose_clay.png</t>
        </is>
      </c>
      <c r="F124" s="28" t="inlineStr">
        <is>
          <t>To do</t>
        </is>
      </c>
      <c r="G124" s="27" t="n"/>
      <c r="H124" s="34" t="inlineStr">
        <is>
          <t>soft pink powder</t>
        </is>
      </c>
    </row>
    <row r="125" ht="15" customHeight="1" s="18">
      <c r="A125" s="27" t="inlineStr">
        <is>
          <t>Sea salt</t>
        </is>
      </c>
      <c r="B125" s="27" t="inlineStr">
        <is>
          <t>Pantry: salts, sugars &amp; baking</t>
        </is>
      </c>
      <c r="C125" s="27" t="inlineStr">
        <is>
          <t>Left · Kitchen</t>
        </is>
      </c>
      <c r="D125" s="27">
        <f>COUNTIF('Recipe Usage'!$D$2:$D$1114,A125)</f>
        <v/>
      </c>
      <c r="E125" s="27" t="inlineStr">
        <is>
          <t>ing_sea_salt.png</t>
        </is>
      </c>
      <c r="F125" s="28" t="inlineStr">
        <is>
          <t>To do</t>
        </is>
      </c>
      <c r="G125" s="27" t="n"/>
      <c r="H125" s="34" t="inlineStr">
        <is>
          <t>white crystals</t>
        </is>
      </c>
    </row>
    <row r="126" ht="15" customHeight="1" s="18">
      <c r="A126" s="27" t="inlineStr">
        <is>
          <t>Sugar</t>
        </is>
      </c>
      <c r="B126" s="27" t="inlineStr">
        <is>
          <t>Pantry: salts, sugars &amp; baking</t>
        </is>
      </c>
      <c r="C126" s="27" t="inlineStr">
        <is>
          <t>Left · Kitchen</t>
        </is>
      </c>
      <c r="D126" s="27">
        <f>COUNTIF('Recipe Usage'!$D$2:$D$1114,A126)</f>
        <v/>
      </c>
      <c r="E126" s="27" t="inlineStr">
        <is>
          <t>ing_sugar.png</t>
        </is>
      </c>
      <c r="F126" s="28" t="inlineStr">
        <is>
          <t>To do</t>
        </is>
      </c>
      <c r="G126" s="27" t="n"/>
      <c r="H126" s="34" t="inlineStr">
        <is>
          <t>white grains</t>
        </is>
      </c>
    </row>
    <row r="127" ht="15" customHeight="1" s="18">
      <c r="A127" s="27" t="inlineStr">
        <is>
          <t>Garden soil</t>
        </is>
      </c>
      <c r="B127" s="27" t="inlineStr">
        <is>
          <t>Pantry: salts, sugars &amp; baking</t>
        </is>
      </c>
      <c r="C127" s="27" t="inlineStr">
        <is>
          <t>Left · Kitchen</t>
        </is>
      </c>
      <c r="D127" s="27">
        <f>COUNTIF('Recipe Usage'!$D$2:$D$1114,A127)</f>
        <v/>
      </c>
      <c r="E127" s="27" t="inlineStr">
        <is>
          <t>ing_garden_soil.png</t>
        </is>
      </c>
      <c r="F127" s="28" t="inlineStr">
        <is>
          <t>To do</t>
        </is>
      </c>
      <c r="G127" s="27" t="n"/>
      <c r="H127" s="34" t="inlineStr">
        <is>
          <t>dark, crumbly earth</t>
        </is>
      </c>
    </row>
    <row r="128" ht="15" customHeight="1" s="18">
      <c r="A128" s="27" t="inlineStr">
        <is>
          <t>Hearth ash</t>
        </is>
      </c>
      <c r="B128" s="27" t="inlineStr">
        <is>
          <t>Pantry: salts, sugars &amp; baking</t>
        </is>
      </c>
      <c r="C128" s="27" t="inlineStr">
        <is>
          <t>Left · Kitchen</t>
        </is>
      </c>
      <c r="D128" s="27">
        <f>COUNTIF('Recipe Usage'!$D$2:$D$1114,A128)</f>
        <v/>
      </c>
      <c r="E128" s="27" t="inlineStr">
        <is>
          <t>ing_hearth_ash.png</t>
        </is>
      </c>
      <c r="F128" s="28" t="inlineStr">
        <is>
          <t>To do</t>
        </is>
      </c>
      <c r="G128" s="27" t="n"/>
      <c r="H128" s="34" t="inlineStr">
        <is>
          <t>soft grey ash</t>
        </is>
      </c>
    </row>
    <row r="129" ht="15" customHeight="1" s="18">
      <c r="A129" s="27" t="inlineStr">
        <is>
          <t>Eggshell</t>
        </is>
      </c>
      <c r="B129" s="27" t="inlineStr">
        <is>
          <t>Pantry: salts, sugars &amp; baking</t>
        </is>
      </c>
      <c r="C129" s="27" t="inlineStr">
        <is>
          <t>Left · Kitchen</t>
        </is>
      </c>
      <c r="D129" s="27">
        <f>COUNTIF('Recipe Usage'!$D$2:$D$1114,A129)</f>
        <v/>
      </c>
      <c r="E129" s="27" t="inlineStr">
        <is>
          <t>ing_eggshell.png</t>
        </is>
      </c>
      <c r="F129" s="28" t="inlineStr">
        <is>
          <t>To do</t>
        </is>
      </c>
      <c r="G129" s="27" t="n"/>
      <c r="H129" s="34" t="inlineStr">
        <is>
          <t>white, thin and crushed</t>
        </is>
      </c>
    </row>
    <row r="130" ht="15" customHeight="1" s="18">
      <c r="A130" s="27" t="inlineStr">
        <is>
          <t>Soap base</t>
        </is>
      </c>
      <c r="B130" s="27" t="inlineStr">
        <is>
          <t>Pantry: salts, sugars &amp; baking</t>
        </is>
      </c>
      <c r="C130" s="27" t="inlineStr">
        <is>
          <t>Left · Kitchen</t>
        </is>
      </c>
      <c r="D130" s="27">
        <f>COUNTIF('Recipe Usage'!$D$2:$D$1114,A130)</f>
        <v/>
      </c>
      <c r="E130" s="27" t="inlineStr">
        <is>
          <t>ing_soap_base.png</t>
        </is>
      </c>
      <c r="F130" s="28" t="inlineStr">
        <is>
          <t>To do</t>
        </is>
      </c>
      <c r="G130" s="27" t="n"/>
      <c r="H130" s="34" t="inlineStr">
        <is>
          <t>a plain white block</t>
        </is>
      </c>
    </row>
    <row r="131" ht="15" customHeight="1" s="18">
      <c r="A131" s="27" t="inlineStr">
        <is>
          <t>Soap base (charcoal)</t>
        </is>
      </c>
      <c r="B131" s="27" t="inlineStr">
        <is>
          <t>Pantry: salts, sugars &amp; baking</t>
        </is>
      </c>
      <c r="C131" s="27" t="inlineStr">
        <is>
          <t>Left · Kitchen</t>
        </is>
      </c>
      <c r="D131" s="27">
        <f>COUNTIF('Recipe Usage'!$D$2:$D$1114,A131)</f>
        <v/>
      </c>
      <c r="E131" s="27" t="inlineStr">
        <is>
          <t>ing_soap_base_charcoal.png</t>
        </is>
      </c>
      <c r="F131" s="28" t="inlineStr">
        <is>
          <t>To do</t>
        </is>
      </c>
      <c r="G131" s="27" t="n"/>
      <c r="H131" s="34" t="inlineStr">
        <is>
          <t>a black block</t>
        </is>
      </c>
    </row>
    <row r="132" ht="15" customHeight="1" s="18">
      <c r="A132" s="27" t="inlineStr">
        <is>
          <t>Gold mica</t>
        </is>
      </c>
      <c r="B132" s="27" t="inlineStr">
        <is>
          <t>Pantry: salts, sugars &amp; baking</t>
        </is>
      </c>
      <c r="C132" s="27" t="inlineStr">
        <is>
          <t>Left · Kitchen</t>
        </is>
      </c>
      <c r="D132" s="27">
        <f>COUNTIF('Recipe Usage'!$D$2:$D$1114,A132)</f>
        <v/>
      </c>
      <c r="E132" s="27" t="inlineStr">
        <is>
          <t>ing_gold_mica.png</t>
        </is>
      </c>
      <c r="F132" s="28" t="inlineStr">
        <is>
          <t>To do</t>
        </is>
      </c>
      <c r="G132" s="27" t="n"/>
      <c r="H132" s="34" t="inlineStr">
        <is>
          <t>gold shimmer dust</t>
        </is>
      </c>
    </row>
    <row r="133" ht="15" customHeight="1" s="18">
      <c r="A133" s="27" t="inlineStr">
        <is>
          <t>Silver mica</t>
        </is>
      </c>
      <c r="B133" s="27" t="inlineStr">
        <is>
          <t>Pantry: salts, sugars &amp; baking</t>
        </is>
      </c>
      <c r="C133" s="27" t="inlineStr">
        <is>
          <t>Left · Kitchen</t>
        </is>
      </c>
      <c r="D133" s="27">
        <f>COUNTIF('Recipe Usage'!$D$2:$D$1114,A133)</f>
        <v/>
      </c>
      <c r="E133" s="27" t="inlineStr">
        <is>
          <t>ing_silver_mica.png</t>
        </is>
      </c>
      <c r="F133" s="28" t="inlineStr">
        <is>
          <t>To do</t>
        </is>
      </c>
      <c r="G133" s="27" t="n"/>
      <c r="H133" s="34" t="inlineStr">
        <is>
          <t>silver shimmer dust</t>
        </is>
      </c>
    </row>
    <row r="134" ht="15" customHeight="1" s="18">
      <c r="A134" s="27" t="inlineStr">
        <is>
          <t>Silver glitter</t>
        </is>
      </c>
      <c r="B134" s="27" t="inlineStr">
        <is>
          <t>Pantry: salts, sugars &amp; baking</t>
        </is>
      </c>
      <c r="C134" s="27" t="inlineStr">
        <is>
          <t>Left · Kitchen</t>
        </is>
      </c>
      <c r="D134" s="27">
        <f>COUNTIF('Recipe Usage'!$D$2:$D$1114,A134)</f>
        <v/>
      </c>
      <c r="E134" s="27" t="inlineStr">
        <is>
          <t>ing_silver_glitter.png</t>
        </is>
      </c>
      <c r="F134" s="28" t="inlineStr">
        <is>
          <t>To do</t>
        </is>
      </c>
      <c r="G134" s="27" t="n"/>
      <c r="H134" s="34" t="inlineStr">
        <is>
          <t>silver sparkle</t>
        </is>
      </c>
    </row>
    <row r="135" ht="15" customHeight="1" s="18">
      <c r="A135" s="27" t="inlineStr">
        <is>
          <t>Pink glitter</t>
        </is>
      </c>
      <c r="B135" s="27" t="inlineStr">
        <is>
          <t>Pantry: salts, sugars &amp; baking</t>
        </is>
      </c>
      <c r="C135" s="27" t="inlineStr">
        <is>
          <t>Left · Kitchen</t>
        </is>
      </c>
      <c r="D135" s="27">
        <f>COUNTIF('Recipe Usage'!$D$2:$D$1114,A135)</f>
        <v/>
      </c>
      <c r="E135" s="27" t="inlineStr">
        <is>
          <t>ing_pink_glitter.png</t>
        </is>
      </c>
      <c r="F135" s="28" t="inlineStr">
        <is>
          <t>To do</t>
        </is>
      </c>
      <c r="G135" s="27" t="n"/>
      <c r="H135" s="34" t="inlineStr">
        <is>
          <t>pink sparkle</t>
        </is>
      </c>
    </row>
    <row r="136" ht="15" customHeight="1" s="18">
      <c r="A136" s="27" t="inlineStr">
        <is>
          <t>Biodegradable glitter</t>
        </is>
      </c>
      <c r="B136" s="27" t="inlineStr">
        <is>
          <t>Pantry: salts, sugars &amp; baking</t>
        </is>
      </c>
      <c r="C136" s="27" t="inlineStr">
        <is>
          <t>Left · Kitchen</t>
        </is>
      </c>
      <c r="D136" s="27">
        <f>COUNTIF('Recipe Usage'!$D$2:$D$1114,A136)</f>
        <v/>
      </c>
      <c r="E136" s="27" t="inlineStr">
        <is>
          <t>ing_biodegradable_glitter.png</t>
        </is>
      </c>
      <c r="F136" s="28" t="inlineStr">
        <is>
          <t>To do</t>
        </is>
      </c>
      <c r="G136" s="27" t="n"/>
      <c r="H136" s="34" t="inlineStr">
        <is>
          <t>many-coloured sparkle</t>
        </is>
      </c>
    </row>
    <row r="137" ht="15" customHeight="1" s="18">
      <c r="A137" s="27" t="inlineStr">
        <is>
          <t>Amber resin</t>
        </is>
      </c>
      <c r="B137" s="27" t="inlineStr">
        <is>
          <t>Resins &amp; incense</t>
        </is>
      </c>
      <c r="C137" s="27" t="inlineStr">
        <is>
          <t>Left · Herb rack</t>
        </is>
      </c>
      <c r="D137" s="27">
        <f>COUNTIF('Recipe Usage'!$D$2:$D$1114,A137)</f>
        <v/>
      </c>
      <c r="E137" s="27" t="inlineStr">
        <is>
          <t>ing_amber_resin.png</t>
        </is>
      </c>
      <c r="F137" s="28" t="inlineStr">
        <is>
          <t>To do</t>
        </is>
      </c>
      <c r="G137" s="27" t="n"/>
      <c r="H137" s="34" t="inlineStr">
        <is>
          <t>golden, see-through lumps</t>
        </is>
      </c>
    </row>
    <row r="138" ht="15" customHeight="1" s="18">
      <c r="A138" s="27" t="inlineStr">
        <is>
          <t>Copal</t>
        </is>
      </c>
      <c r="B138" s="27" t="inlineStr">
        <is>
          <t>Resins &amp; incense</t>
        </is>
      </c>
      <c r="C138" s="27" t="inlineStr">
        <is>
          <t>Left · Herb rack</t>
        </is>
      </c>
      <c r="D138" s="27">
        <f>COUNTIF('Recipe Usage'!$D$2:$D$1114,A138)</f>
        <v/>
      </c>
      <c r="E138" s="27" t="inlineStr">
        <is>
          <t>ing_copal.png</t>
        </is>
      </c>
      <c r="F138" s="28" t="inlineStr">
        <is>
          <t>To do</t>
        </is>
      </c>
      <c r="G138" s="27" t="n"/>
      <c r="H138" s="34" t="inlineStr">
        <is>
          <t>pale yellow, sticky lumps</t>
        </is>
      </c>
    </row>
    <row r="139" ht="15" customHeight="1" s="18">
      <c r="A139" s="27" t="inlineStr">
        <is>
          <t>Frankincense</t>
        </is>
      </c>
      <c r="B139" s="27" t="inlineStr">
        <is>
          <t>Resins &amp; incense</t>
        </is>
      </c>
      <c r="C139" s="27" t="inlineStr">
        <is>
          <t>Left · Herb rack</t>
        </is>
      </c>
      <c r="D139" s="27">
        <f>COUNTIF('Recipe Usage'!$D$2:$D$1114,A139)</f>
        <v/>
      </c>
      <c r="E139" s="27" t="inlineStr">
        <is>
          <t>ing_frankincense.png</t>
        </is>
      </c>
      <c r="F139" s="28" t="inlineStr">
        <is>
          <t>To do</t>
        </is>
      </c>
      <c r="G139" s="27" t="n"/>
      <c r="H139" s="34" t="inlineStr">
        <is>
          <t>pale, milky tears of resin</t>
        </is>
      </c>
    </row>
    <row r="140" ht="15" customHeight="1" s="18">
      <c r="A140" s="27" t="inlineStr">
        <is>
          <t>Myrrh</t>
        </is>
      </c>
      <c r="B140" s="27" t="inlineStr">
        <is>
          <t>Resins &amp; incense</t>
        </is>
      </c>
      <c r="C140" s="27" t="inlineStr">
        <is>
          <t>Left · Herb rack</t>
        </is>
      </c>
      <c r="D140" s="27">
        <f>COUNTIF('Recipe Usage'!$D$2:$D$1114,A140)</f>
        <v/>
      </c>
      <c r="E140" s="27" t="inlineStr">
        <is>
          <t>ing_myrrh.png</t>
        </is>
      </c>
      <c r="F140" s="28" t="inlineStr">
        <is>
          <t>To do</t>
        </is>
      </c>
      <c r="G140" s="27" t="n"/>
      <c r="H140" s="34" t="inlineStr">
        <is>
          <t>red-brown lumps of resin</t>
        </is>
      </c>
    </row>
    <row r="141" ht="15" customHeight="1" s="18">
      <c r="A141" s="27" t="inlineStr">
        <is>
          <t>Patchouli</t>
        </is>
      </c>
      <c r="B141" s="27" t="inlineStr">
        <is>
          <t>Resins &amp; incense</t>
        </is>
      </c>
      <c r="C141" s="27" t="inlineStr">
        <is>
          <t>Left · Herb rack</t>
        </is>
      </c>
      <c r="D141" s="27">
        <f>COUNTIF('Recipe Usage'!$D$2:$D$1114,A141)</f>
        <v/>
      </c>
      <c r="E141" s="27" t="inlineStr">
        <is>
          <t>ing_patchouli.png</t>
        </is>
      </c>
      <c r="F141" s="28" t="inlineStr">
        <is>
          <t>To do</t>
        </is>
      </c>
      <c r="G141" s="27" t="n"/>
      <c r="H141" s="34" t="inlineStr">
        <is>
          <t>dark, crumbly leaves</t>
        </is>
      </c>
    </row>
    <row r="142" ht="15" customHeight="1" s="18">
      <c r="A142" s="27" t="inlineStr">
        <is>
          <t>Sandalwood</t>
        </is>
      </c>
      <c r="B142" s="27" t="inlineStr">
        <is>
          <t>Resins &amp; incense</t>
        </is>
      </c>
      <c r="C142" s="27" t="inlineStr">
        <is>
          <t>Left · Herb rack</t>
        </is>
      </c>
      <c r="D142" s="27">
        <f>COUNTIF('Recipe Usage'!$D$2:$D$1114,A142)</f>
        <v/>
      </c>
      <c r="E142" s="27" t="inlineStr">
        <is>
          <t>ing_sandalwood.png</t>
        </is>
      </c>
      <c r="F142" s="28" t="inlineStr">
        <is>
          <t>To do</t>
        </is>
      </c>
      <c r="G142" s="27" t="n"/>
      <c r="H142" s="34" t="inlineStr">
        <is>
          <t>pale wood chips</t>
        </is>
      </c>
    </row>
    <row r="143" ht="15" customHeight="1" s="18">
      <c r="A143" s="27" t="inlineStr">
        <is>
          <t>Amazonite</t>
        </is>
      </c>
      <c r="B143" s="27" t="inlineStr">
        <is>
          <t>Crystals</t>
        </is>
      </c>
      <c r="C143" s="27" t="inlineStr">
        <is>
          <t>Right · Crystal shelf</t>
        </is>
      </c>
      <c r="D143" s="27">
        <f>COUNTIF('Recipe Usage'!$D$2:$D$1114,A143)</f>
        <v/>
      </c>
      <c r="E143" s="27" t="inlineStr">
        <is>
          <t>ing_amazonite.png</t>
        </is>
      </c>
      <c r="F143" s="28" t="inlineStr">
        <is>
          <t>To do</t>
        </is>
      </c>
      <c r="G143" s="27" t="n"/>
      <c r="H143" s="34" t="inlineStr">
        <is>
          <t>pale sea-green</t>
        </is>
      </c>
    </row>
    <row r="144" ht="15" customHeight="1" s="18">
      <c r="A144" s="27" t="inlineStr">
        <is>
          <t>Amethyst</t>
        </is>
      </c>
      <c r="B144" s="27" t="inlineStr">
        <is>
          <t>Crystals</t>
        </is>
      </c>
      <c r="C144" s="27" t="inlineStr">
        <is>
          <t>Right · Crystal shelf</t>
        </is>
      </c>
      <c r="D144" s="27">
        <f>COUNTIF('Recipe Usage'!$D$2:$D$1114,A144)</f>
        <v/>
      </c>
      <c r="E144" s="27" t="inlineStr">
        <is>
          <t>ing_amethyst.png</t>
        </is>
      </c>
      <c r="F144" s="28" t="inlineStr">
        <is>
          <t>To do</t>
        </is>
      </c>
      <c r="G144" s="27" t="n"/>
      <c r="H144" s="34" t="inlineStr">
        <is>
          <t>purple and pointed</t>
        </is>
      </c>
    </row>
    <row r="145" ht="15" customHeight="1" s="18">
      <c r="A145" s="27" t="inlineStr">
        <is>
          <t>Aquamarine</t>
        </is>
      </c>
      <c r="B145" s="27" t="inlineStr">
        <is>
          <t>Crystals</t>
        </is>
      </c>
      <c r="C145" s="27" t="inlineStr">
        <is>
          <t>Right · Crystal shelf</t>
        </is>
      </c>
      <c r="D145" s="27">
        <f>COUNTIF('Recipe Usage'!$D$2:$D$1114,A145)</f>
        <v/>
      </c>
      <c r="E145" s="27" t="inlineStr">
        <is>
          <t>ing_aquamarine.png</t>
        </is>
      </c>
      <c r="F145" s="28" t="inlineStr">
        <is>
          <t>To do</t>
        </is>
      </c>
      <c r="G145" s="27" t="n"/>
      <c r="H145" s="34" t="inlineStr">
        <is>
          <t>clear and sea-blue</t>
        </is>
      </c>
    </row>
    <row r="146" ht="15" customHeight="1" s="18">
      <c r="A146" s="27" t="inlineStr">
        <is>
          <t>Birthstone (customer's)</t>
        </is>
      </c>
      <c r="B146" s="27" t="inlineStr">
        <is>
          <t>Crystals</t>
        </is>
      </c>
      <c r="C146" s="27" t="inlineStr">
        <is>
          <t>Right · Crystal shelf</t>
        </is>
      </c>
      <c r="D146" s="27">
        <f>COUNTIF('Recipe Usage'!$D$2:$D$1114,A146)</f>
        <v/>
      </c>
      <c r="E146" s="27" t="inlineStr">
        <is>
          <t>ing_birthstone_customer_s.png</t>
        </is>
      </c>
      <c r="F146" s="28" t="inlineStr">
        <is>
          <t>To do</t>
        </is>
      </c>
      <c r="G146" s="27" t="n"/>
      <c r="H146" s="34" t="inlineStr">
        <is>
          <t>a stone that belongs to someone</t>
        </is>
      </c>
    </row>
    <row r="147" ht="15" customHeight="1" s="18">
      <c r="A147" s="27" t="inlineStr">
        <is>
          <t>Black tourmaline</t>
        </is>
      </c>
      <c r="B147" s="27" t="inlineStr">
        <is>
          <t>Crystals</t>
        </is>
      </c>
      <c r="C147" s="27" t="inlineStr">
        <is>
          <t>Right · Crystal shelf</t>
        </is>
      </c>
      <c r="D147" s="27">
        <f>COUNTIF('Recipe Usage'!$D$2:$D$1114,A147)</f>
        <v/>
      </c>
      <c r="E147" s="27" t="inlineStr">
        <is>
          <t>ing_black_tourmaline.png</t>
        </is>
      </c>
      <c r="F147" s="28" t="inlineStr">
        <is>
          <t>To do</t>
        </is>
      </c>
      <c r="G147" s="27" t="n"/>
      <c r="H147" s="34" t="inlineStr">
        <is>
          <t>black and ridged</t>
        </is>
      </c>
    </row>
    <row r="148" ht="15" customHeight="1" s="18">
      <c r="A148" s="27" t="inlineStr">
        <is>
          <t>Blue lace agate</t>
        </is>
      </c>
      <c r="B148" s="27" t="inlineStr">
        <is>
          <t>Crystals</t>
        </is>
      </c>
      <c r="C148" s="27" t="inlineStr">
        <is>
          <t>Right · Crystal shelf</t>
        </is>
      </c>
      <c r="D148" s="27">
        <f>COUNTIF('Recipe Usage'!$D$2:$D$1114,A148)</f>
        <v/>
      </c>
      <c r="E148" s="27" t="inlineStr">
        <is>
          <t>ing_blue_lace_agate.png</t>
        </is>
      </c>
      <c r="F148" s="28" t="inlineStr">
        <is>
          <t>To do</t>
        </is>
      </c>
      <c r="G148" s="27" t="n"/>
      <c r="H148" s="34" t="inlineStr">
        <is>
          <t>pale blue with soft white bands</t>
        </is>
      </c>
    </row>
    <row r="149" ht="15" customHeight="1" s="18">
      <c r="A149" s="27" t="inlineStr">
        <is>
          <t>Carnelian</t>
        </is>
      </c>
      <c r="B149" s="27" t="inlineStr">
        <is>
          <t>Crystals</t>
        </is>
      </c>
      <c r="C149" s="27" t="inlineStr">
        <is>
          <t>Right · Crystal shelf</t>
        </is>
      </c>
      <c r="D149" s="27">
        <f>COUNTIF('Recipe Usage'!$D$2:$D$1114,A149)</f>
        <v/>
      </c>
      <c r="E149" s="27" t="inlineStr">
        <is>
          <t>ing_carnelian.png</t>
        </is>
      </c>
      <c r="F149" s="28" t="inlineStr">
        <is>
          <t>To do</t>
        </is>
      </c>
      <c r="G149" s="27" t="n"/>
      <c r="H149" s="34" t="inlineStr">
        <is>
          <t>orange-red and glowing</t>
        </is>
      </c>
    </row>
    <row r="150" ht="15" customHeight="1" s="18">
      <c r="A150" s="27" t="inlineStr">
        <is>
          <t>Citrine</t>
        </is>
      </c>
      <c r="B150" s="27" t="inlineStr">
        <is>
          <t>Crystals</t>
        </is>
      </c>
      <c r="C150" s="27" t="inlineStr">
        <is>
          <t>Right · Crystal shelf</t>
        </is>
      </c>
      <c r="D150" s="27">
        <f>COUNTIF('Recipe Usage'!$D$2:$D$1114,A150)</f>
        <v/>
      </c>
      <c r="E150" s="27" t="inlineStr">
        <is>
          <t>ing_citrine.png</t>
        </is>
      </c>
      <c r="F150" s="28" t="inlineStr">
        <is>
          <t>To do</t>
        </is>
      </c>
      <c r="G150" s="27" t="n"/>
      <c r="H150" s="34" t="inlineStr">
        <is>
          <t>clear and honey-yellow</t>
        </is>
      </c>
    </row>
    <row r="151" ht="15" customHeight="1" s="18">
      <c r="A151" s="27" t="inlineStr">
        <is>
          <t>Clear quartz</t>
        </is>
      </c>
      <c r="B151" s="27" t="inlineStr">
        <is>
          <t>Crystals</t>
        </is>
      </c>
      <c r="C151" s="27" t="inlineStr">
        <is>
          <t>Right · Crystal shelf</t>
        </is>
      </c>
      <c r="D151" s="27">
        <f>COUNTIF('Recipe Usage'!$D$2:$D$1114,A151)</f>
        <v/>
      </c>
      <c r="E151" s="27" t="inlineStr">
        <is>
          <t>ing_clear_quartz.png</t>
        </is>
      </c>
      <c r="F151" s="28" t="inlineStr">
        <is>
          <t>To do</t>
        </is>
      </c>
      <c r="G151" s="27" t="n"/>
      <c r="H151" s="34" t="inlineStr">
        <is>
          <t>clear as ice and pointed</t>
        </is>
      </c>
    </row>
    <row r="152" ht="15" customHeight="1" s="18">
      <c r="A152" s="27" t="inlineStr">
        <is>
          <t>Fluorite</t>
        </is>
      </c>
      <c r="B152" s="27" t="inlineStr">
        <is>
          <t>Crystals</t>
        </is>
      </c>
      <c r="C152" s="27" t="inlineStr">
        <is>
          <t>Right · Crystal shelf</t>
        </is>
      </c>
      <c r="D152" s="27">
        <f>COUNTIF('Recipe Usage'!$D$2:$D$1114,A152)</f>
        <v/>
      </c>
      <c r="E152" s="27" t="inlineStr">
        <is>
          <t>ing_fluorite.png</t>
        </is>
      </c>
      <c r="F152" s="28" t="inlineStr">
        <is>
          <t>To do</t>
        </is>
      </c>
      <c r="G152" s="27" t="n"/>
      <c r="H152" s="34" t="inlineStr">
        <is>
          <t>striped green and purple</t>
        </is>
      </c>
    </row>
    <row r="153" ht="15" customHeight="1" s="18">
      <c r="A153" s="27" t="inlineStr">
        <is>
          <t>Garnet</t>
        </is>
      </c>
      <c r="B153" s="27" t="inlineStr">
        <is>
          <t>Crystals</t>
        </is>
      </c>
      <c r="C153" s="27" t="inlineStr">
        <is>
          <t>Right · Crystal shelf</t>
        </is>
      </c>
      <c r="D153" s="27">
        <f>COUNTIF('Recipe Usage'!$D$2:$D$1114,A153)</f>
        <v/>
      </c>
      <c r="E153" s="27" t="inlineStr">
        <is>
          <t>ing_garnet.png</t>
        </is>
      </c>
      <c r="F153" s="28" t="inlineStr">
        <is>
          <t>To do</t>
        </is>
      </c>
      <c r="G153" s="27" t="n"/>
      <c r="H153" s="34" t="inlineStr">
        <is>
          <t>deep red</t>
        </is>
      </c>
    </row>
    <row r="154" ht="15" customHeight="1" s="18">
      <c r="A154" s="27" t="inlineStr">
        <is>
          <t>Green aventurine</t>
        </is>
      </c>
      <c r="B154" s="27" t="inlineStr">
        <is>
          <t>Crystals</t>
        </is>
      </c>
      <c r="C154" s="27" t="inlineStr">
        <is>
          <t>Right · Crystal shelf</t>
        </is>
      </c>
      <c r="D154" s="27">
        <f>COUNTIF('Recipe Usage'!$D$2:$D$1114,A154)</f>
        <v/>
      </c>
      <c r="E154" s="27" t="inlineStr">
        <is>
          <t>ing_green_aventurine.png</t>
        </is>
      </c>
      <c r="F154" s="28" t="inlineStr">
        <is>
          <t>To do</t>
        </is>
      </c>
      <c r="G154" s="27" t="n"/>
      <c r="H154" s="34" t="inlineStr">
        <is>
          <t>green, with a faint sparkle</t>
        </is>
      </c>
    </row>
    <row r="155" ht="15" customHeight="1" s="18">
      <c r="A155" s="27" t="inlineStr">
        <is>
          <t>Hematite</t>
        </is>
      </c>
      <c r="B155" s="27" t="inlineStr">
        <is>
          <t>Crystals</t>
        </is>
      </c>
      <c r="C155" s="27" t="inlineStr">
        <is>
          <t>Right · Crystal shelf</t>
        </is>
      </c>
      <c r="D155" s="27">
        <f>COUNTIF('Recipe Usage'!$D$2:$D$1114,A155)</f>
        <v/>
      </c>
      <c r="E155" s="27" t="inlineStr">
        <is>
          <t>ing_hematite.png</t>
        </is>
      </c>
      <c r="F155" s="28" t="inlineStr">
        <is>
          <t>To do</t>
        </is>
      </c>
      <c r="G155" s="27" t="n"/>
      <c r="H155" s="34" t="inlineStr">
        <is>
          <t>heavy, grey and mirror-bright</t>
        </is>
      </c>
    </row>
    <row r="156" ht="15" customHeight="1" s="18">
      <c r="A156" s="27" t="inlineStr">
        <is>
          <t>Howlite</t>
        </is>
      </c>
      <c r="B156" s="27" t="inlineStr">
        <is>
          <t>Crystals</t>
        </is>
      </c>
      <c r="C156" s="27" t="inlineStr">
        <is>
          <t>Right · Crystal shelf</t>
        </is>
      </c>
      <c r="D156" s="27">
        <f>COUNTIF('Recipe Usage'!$D$2:$D$1114,A156)</f>
        <v/>
      </c>
      <c r="E156" s="27" t="inlineStr">
        <is>
          <t>ing_howlite.png</t>
        </is>
      </c>
      <c r="F156" s="28" t="inlineStr">
        <is>
          <t>To do</t>
        </is>
      </c>
      <c r="G156" s="27" t="n"/>
      <c r="H156" s="34" t="inlineStr">
        <is>
          <t>white with grey veins</t>
        </is>
      </c>
    </row>
    <row r="157" ht="15" customHeight="1" s="18">
      <c r="A157" s="27" t="inlineStr">
        <is>
          <t>Jade</t>
        </is>
      </c>
      <c r="B157" s="27" t="inlineStr">
        <is>
          <t>Crystals</t>
        </is>
      </c>
      <c r="C157" s="27" t="inlineStr">
        <is>
          <t>Right · Crystal shelf</t>
        </is>
      </c>
      <c r="D157" s="27">
        <f>COUNTIF('Recipe Usage'!$D$2:$D$1114,A157)</f>
        <v/>
      </c>
      <c r="E157" s="27" t="inlineStr">
        <is>
          <t>ing_jade.png</t>
        </is>
      </c>
      <c r="F157" s="28" t="inlineStr">
        <is>
          <t>To do</t>
        </is>
      </c>
      <c r="G157" s="27" t="n"/>
      <c r="H157" s="34" t="inlineStr">
        <is>
          <t>smooth and milky green</t>
        </is>
      </c>
    </row>
    <row r="158" ht="15" customHeight="1" s="18">
      <c r="A158" s="27" t="inlineStr">
        <is>
          <t>Labradorite</t>
        </is>
      </c>
      <c r="B158" s="27" t="inlineStr">
        <is>
          <t>Crystals</t>
        </is>
      </c>
      <c r="C158" s="27" t="inlineStr">
        <is>
          <t>Right · Crystal shelf</t>
        </is>
      </c>
      <c r="D158" s="27">
        <f>COUNTIF('Recipe Usage'!$D$2:$D$1114,A158)</f>
        <v/>
      </c>
      <c r="E158" s="27" t="inlineStr">
        <is>
          <t>ing_labradorite.png</t>
        </is>
      </c>
      <c r="F158" s="28" t="inlineStr">
        <is>
          <t>To do</t>
        </is>
      </c>
      <c r="G158" s="27" t="n"/>
      <c r="H158" s="34" t="inlineStr">
        <is>
          <t>grey, with flashes of blue</t>
        </is>
      </c>
    </row>
    <row r="159" ht="15" customHeight="1" s="18">
      <c r="A159" s="27" t="inlineStr">
        <is>
          <t>Lapis lazuli</t>
        </is>
      </c>
      <c r="B159" s="27" t="inlineStr">
        <is>
          <t>Crystals</t>
        </is>
      </c>
      <c r="C159" s="27" t="inlineStr">
        <is>
          <t>Right · Crystal shelf</t>
        </is>
      </c>
      <c r="D159" s="27">
        <f>COUNTIF('Recipe Usage'!$D$2:$D$1114,A159)</f>
        <v/>
      </c>
      <c r="E159" s="27" t="inlineStr">
        <is>
          <t>ing_lapis_lazuli.png</t>
        </is>
      </c>
      <c r="F159" s="28" t="inlineStr">
        <is>
          <t>To do</t>
        </is>
      </c>
      <c r="G159" s="27" t="n"/>
      <c r="H159" s="34" t="inlineStr">
        <is>
          <t>deep blue with gold flecks</t>
        </is>
      </c>
    </row>
    <row r="160" ht="15" customHeight="1" s="18">
      <c r="A160" s="27" t="inlineStr">
        <is>
          <t>Malachite</t>
        </is>
      </c>
      <c r="B160" s="27" t="inlineStr">
        <is>
          <t>Crystals</t>
        </is>
      </c>
      <c r="C160" s="27" t="inlineStr">
        <is>
          <t>Right · Crystal shelf</t>
        </is>
      </c>
      <c r="D160" s="27">
        <f>COUNTIF('Recipe Usage'!$D$2:$D$1114,A160)</f>
        <v/>
      </c>
      <c r="E160" s="27" t="inlineStr">
        <is>
          <t>ing_malachite.png</t>
        </is>
      </c>
      <c r="F160" s="28" t="inlineStr">
        <is>
          <t>To do</t>
        </is>
      </c>
      <c r="G160" s="27" t="n"/>
      <c r="H160" s="34" t="inlineStr">
        <is>
          <t>banded in dark and light green</t>
        </is>
      </c>
    </row>
    <row r="161" ht="15" customHeight="1" s="18">
      <c r="A161" s="27" t="inlineStr">
        <is>
          <t>Moonstone</t>
        </is>
      </c>
      <c r="B161" s="27" t="inlineStr">
        <is>
          <t>Crystals</t>
        </is>
      </c>
      <c r="C161" s="27" t="inlineStr">
        <is>
          <t>Right · Crystal shelf</t>
        </is>
      </c>
      <c r="D161" s="27">
        <f>COUNTIF('Recipe Usage'!$D$2:$D$1114,A161)</f>
        <v/>
      </c>
      <c r="E161" s="27" t="inlineStr">
        <is>
          <t>ing_moonstone.png</t>
        </is>
      </c>
      <c r="F161" s="28" t="inlineStr">
        <is>
          <t>To do</t>
        </is>
      </c>
      <c r="G161" s="27" t="n"/>
      <c r="H161" s="34" t="inlineStr">
        <is>
          <t>milky, with a blue glow</t>
        </is>
      </c>
    </row>
    <row r="162" ht="15" customHeight="1" s="18">
      <c r="A162" s="27" t="inlineStr">
        <is>
          <t>Moss agate</t>
        </is>
      </c>
      <c r="B162" s="27" t="inlineStr">
        <is>
          <t>Crystals</t>
        </is>
      </c>
      <c r="C162" s="27" t="inlineStr">
        <is>
          <t>Right · Crystal shelf</t>
        </is>
      </c>
      <c r="D162" s="27">
        <f>COUNTIF('Recipe Usage'!$D$2:$D$1114,A162)</f>
        <v/>
      </c>
      <c r="E162" s="27" t="inlineStr">
        <is>
          <t>ing_moss_agate.png</t>
        </is>
      </c>
      <c r="F162" s="28" t="inlineStr">
        <is>
          <t>To do</t>
        </is>
      </c>
      <c r="G162" s="27" t="n"/>
      <c r="H162" s="34" t="inlineStr">
        <is>
          <t>clear, with green threads inside</t>
        </is>
      </c>
    </row>
    <row r="163" ht="15" customHeight="1" s="18">
      <c r="A163" s="27" t="inlineStr">
        <is>
          <t>Obsidian</t>
        </is>
      </c>
      <c r="B163" s="27" t="inlineStr">
        <is>
          <t>Crystals</t>
        </is>
      </c>
      <c r="C163" s="27" t="inlineStr">
        <is>
          <t>Right · Crystal shelf</t>
        </is>
      </c>
      <c r="D163" s="27">
        <f>COUNTIF('Recipe Usage'!$D$2:$D$1114,A163)</f>
        <v/>
      </c>
      <c r="E163" s="27" t="inlineStr">
        <is>
          <t>ing_obsidian.png</t>
        </is>
      </c>
      <c r="F163" s="28" t="inlineStr">
        <is>
          <t>To do</t>
        </is>
      </c>
      <c r="G163" s="27" t="n"/>
      <c r="H163" s="34" t="inlineStr">
        <is>
          <t>black and glassy</t>
        </is>
      </c>
    </row>
    <row r="164" ht="15" customHeight="1" s="18">
      <c r="A164" s="27" t="inlineStr">
        <is>
          <t>Pearl</t>
        </is>
      </c>
      <c r="B164" s="27" t="inlineStr">
        <is>
          <t>Crystals</t>
        </is>
      </c>
      <c r="C164" s="27" t="inlineStr">
        <is>
          <t>Right · Crystal shelf</t>
        </is>
      </c>
      <c r="D164" s="27">
        <f>COUNTIF('Recipe Usage'!$D$2:$D$1114,A164)</f>
        <v/>
      </c>
      <c r="E164" s="27" t="inlineStr">
        <is>
          <t>ing_pearl.png</t>
        </is>
      </c>
      <c r="F164" s="28" t="inlineStr">
        <is>
          <t>To do</t>
        </is>
      </c>
      <c r="G164" s="27" t="n"/>
      <c r="H164" s="34" t="inlineStr">
        <is>
          <t>round, creamy and lustrous</t>
        </is>
      </c>
    </row>
    <row r="165" ht="15" customHeight="1" s="18">
      <c r="A165" s="27" t="inlineStr">
        <is>
          <t>Peridot</t>
        </is>
      </c>
      <c r="B165" s="27" t="inlineStr">
        <is>
          <t>Crystals</t>
        </is>
      </c>
      <c r="C165" s="27" t="inlineStr">
        <is>
          <t>Right · Crystal shelf</t>
        </is>
      </c>
      <c r="D165" s="27">
        <f>COUNTIF('Recipe Usage'!$D$2:$D$1114,A165)</f>
        <v/>
      </c>
      <c r="E165" s="27" t="inlineStr">
        <is>
          <t>ing_peridot.png</t>
        </is>
      </c>
      <c r="F165" s="28" t="inlineStr">
        <is>
          <t>To do</t>
        </is>
      </c>
      <c r="G165" s="27" t="n"/>
      <c r="H165" s="34" t="inlineStr">
        <is>
          <t>pale bright green</t>
        </is>
      </c>
    </row>
    <row r="166" ht="15" customHeight="1" s="18">
      <c r="A166" s="27" t="inlineStr">
        <is>
          <t>Pyrite</t>
        </is>
      </c>
      <c r="B166" s="27" t="inlineStr">
        <is>
          <t>Crystals</t>
        </is>
      </c>
      <c r="C166" s="27" t="inlineStr">
        <is>
          <t>Right · Crystal shelf</t>
        </is>
      </c>
      <c r="D166" s="27">
        <f>COUNTIF('Recipe Usage'!$D$2:$D$1114,A166)</f>
        <v/>
      </c>
      <c r="E166" s="27" t="inlineStr">
        <is>
          <t>ing_pyrite.png</t>
        </is>
      </c>
      <c r="F166" s="28" t="inlineStr">
        <is>
          <t>To do</t>
        </is>
      </c>
      <c r="G166" s="27" t="n"/>
      <c r="H166" s="34" t="inlineStr">
        <is>
          <t>brassy gold and cube-shaped</t>
        </is>
      </c>
    </row>
    <row r="167" ht="15" customHeight="1" s="18">
      <c r="A167" s="27" t="inlineStr">
        <is>
          <t>Rhodonite</t>
        </is>
      </c>
      <c r="B167" s="27" t="inlineStr">
        <is>
          <t>Crystals</t>
        </is>
      </c>
      <c r="C167" s="27" t="inlineStr">
        <is>
          <t>Right · Crystal shelf</t>
        </is>
      </c>
      <c r="D167" s="27">
        <f>COUNTIF('Recipe Usage'!$D$2:$D$1114,A167)</f>
        <v/>
      </c>
      <c r="E167" s="27" t="inlineStr">
        <is>
          <t>ing_rhodonite.png</t>
        </is>
      </c>
      <c r="F167" s="28" t="inlineStr">
        <is>
          <t>To do</t>
        </is>
      </c>
      <c r="G167" s="27" t="n"/>
      <c r="H167" s="34" t="inlineStr">
        <is>
          <t>pink with black veins</t>
        </is>
      </c>
    </row>
    <row r="168" ht="15" customHeight="1" s="18">
      <c r="A168" s="27" t="inlineStr">
        <is>
          <t>Rose quartz</t>
        </is>
      </c>
      <c r="B168" s="27" t="inlineStr">
        <is>
          <t>Crystals</t>
        </is>
      </c>
      <c r="C168" s="27" t="inlineStr">
        <is>
          <t>Right · Crystal shelf</t>
        </is>
      </c>
      <c r="D168" s="27">
        <f>COUNTIF('Recipe Usage'!$D$2:$D$1114,A168)</f>
        <v/>
      </c>
      <c r="E168" s="27" t="inlineStr">
        <is>
          <t>ing_rose_quartz.png</t>
        </is>
      </c>
      <c r="F168" s="28" t="inlineStr">
        <is>
          <t>To do</t>
        </is>
      </c>
      <c r="G168" s="27" t="n"/>
      <c r="H168" s="34" t="inlineStr">
        <is>
          <t>soft pink and cloudy</t>
        </is>
      </c>
    </row>
    <row r="169" ht="15" customHeight="1" s="18">
      <c r="A169" s="27" t="inlineStr">
        <is>
          <t>Selenite</t>
        </is>
      </c>
      <c r="B169" s="27" t="inlineStr">
        <is>
          <t>Crystals</t>
        </is>
      </c>
      <c r="C169" s="27" t="inlineStr">
        <is>
          <t>Right · Crystal shelf</t>
        </is>
      </c>
      <c r="D169" s="27">
        <f>COUNTIF('Recipe Usage'!$D$2:$D$1114,A169)</f>
        <v/>
      </c>
      <c r="E169" s="27" t="inlineStr">
        <is>
          <t>ing_selenite.png</t>
        </is>
      </c>
      <c r="F169" s="28" t="inlineStr">
        <is>
          <t>To do</t>
        </is>
      </c>
      <c r="G169" s="27" t="n"/>
      <c r="H169" s="34" t="inlineStr">
        <is>
          <t>white and silky-striped</t>
        </is>
      </c>
    </row>
    <row r="170" ht="15" customHeight="1" s="18">
      <c r="A170" s="27" t="inlineStr">
        <is>
          <t>Smoky quartz</t>
        </is>
      </c>
      <c r="B170" s="27" t="inlineStr">
        <is>
          <t>Crystals</t>
        </is>
      </c>
      <c r="C170" s="27" t="inlineStr">
        <is>
          <t>Right · Crystal shelf</t>
        </is>
      </c>
      <c r="D170" s="27">
        <f>COUNTIF('Recipe Usage'!$D$2:$D$1114,A170)</f>
        <v/>
      </c>
      <c r="E170" s="27" t="inlineStr">
        <is>
          <t>ing_smoky_quartz.png</t>
        </is>
      </c>
      <c r="F170" s="28" t="inlineStr">
        <is>
          <t>To do</t>
        </is>
      </c>
      <c r="G170" s="27" t="n"/>
      <c r="H170" s="34" t="inlineStr">
        <is>
          <t>brown and see-through</t>
        </is>
      </c>
    </row>
    <row r="171" ht="15" customHeight="1" s="18">
      <c r="A171" s="27" t="inlineStr">
        <is>
          <t>Sunstone</t>
        </is>
      </c>
      <c r="B171" s="27" t="inlineStr">
        <is>
          <t>Crystals</t>
        </is>
      </c>
      <c r="C171" s="27" t="inlineStr">
        <is>
          <t>Right · Crystal shelf</t>
        </is>
      </c>
      <c r="D171" s="27">
        <f>COUNTIF('Recipe Usage'!$D$2:$D$1114,A171)</f>
        <v/>
      </c>
      <c r="E171" s="27" t="inlineStr">
        <is>
          <t>ing_sunstone.png</t>
        </is>
      </c>
      <c r="F171" s="28" t="inlineStr">
        <is>
          <t>To do</t>
        </is>
      </c>
      <c r="G171" s="27" t="n"/>
      <c r="H171" s="34" t="inlineStr">
        <is>
          <t>orange, with a glittering shimmer</t>
        </is>
      </c>
    </row>
    <row r="172" ht="15" customHeight="1" s="18">
      <c r="A172" s="27" t="inlineStr">
        <is>
          <t>Tiger's eye</t>
        </is>
      </c>
      <c r="B172" s="27" t="inlineStr">
        <is>
          <t>Crystals</t>
        </is>
      </c>
      <c r="C172" s="27" t="inlineStr">
        <is>
          <t>Right · Crystal shelf</t>
        </is>
      </c>
      <c r="D172" s="27">
        <f>COUNTIF('Recipe Usage'!$D$2:$D$1114,A172)</f>
        <v/>
      </c>
      <c r="E172" s="27" t="inlineStr">
        <is>
          <t>ing_tiger_s_eye.png</t>
        </is>
      </c>
      <c r="F172" s="28" t="inlineStr">
        <is>
          <t>To do</t>
        </is>
      </c>
      <c r="G172" s="27" t="n"/>
      <c r="H172" s="34" t="inlineStr">
        <is>
          <t>striped gold and brown</t>
        </is>
      </c>
    </row>
    <row r="173" ht="15" customHeight="1" s="18">
      <c r="A173" s="27" t="inlineStr">
        <is>
          <t>River stone</t>
        </is>
      </c>
      <c r="B173" s="27" t="inlineStr">
        <is>
          <t>Crystals</t>
        </is>
      </c>
      <c r="C173" s="27" t="inlineStr">
        <is>
          <t>Right · Crystal shelf</t>
        </is>
      </c>
      <c r="D173" s="27">
        <f>COUNTIF('Recipe Usage'!$D$2:$D$1114,A173)</f>
        <v/>
      </c>
      <c r="E173" s="27" t="inlineStr">
        <is>
          <t>ing_river_stone.png</t>
        </is>
      </c>
      <c r="F173" s="28" t="inlineStr">
        <is>
          <t>To do</t>
        </is>
      </c>
      <c r="G173" s="27" t="n"/>
      <c r="H173" s="34" t="inlineStr">
        <is>
          <t>grey, smooth and round</t>
        </is>
      </c>
    </row>
    <row r="174" ht="15" customHeight="1" s="18">
      <c r="A174" s="27" t="inlineStr">
        <is>
          <t>Bee pollen</t>
        </is>
      </c>
      <c r="B174" s="27" t="inlineStr">
        <is>
          <t>Animal gifts</t>
        </is>
      </c>
      <c r="C174" s="27" t="inlineStr">
        <is>
          <t>Right · Animal gifts</t>
        </is>
      </c>
      <c r="D174" s="27">
        <f>COUNTIF('Recipe Usage'!$D$2:$D$1114,A174)</f>
        <v/>
      </c>
      <c r="E174" s="27" t="inlineStr">
        <is>
          <t>ing_bee_pollen.png</t>
        </is>
      </c>
      <c r="F174" s="28" t="inlineStr">
        <is>
          <t>To do</t>
        </is>
      </c>
      <c r="G174" s="27" t="n"/>
      <c r="H174" s="34" t="inlineStr">
        <is>
          <t>tiny golden grains</t>
        </is>
      </c>
    </row>
    <row r="175" ht="15" customHeight="1" s="18">
      <c r="A175" s="27" t="inlineStr">
        <is>
          <t>Dove feather</t>
        </is>
      </c>
      <c r="B175" s="27" t="inlineStr">
        <is>
          <t>Animal gifts</t>
        </is>
      </c>
      <c r="C175" s="27" t="inlineStr">
        <is>
          <t>Right · Animal gifts</t>
        </is>
      </c>
      <c r="D175" s="27">
        <f>COUNTIF('Recipe Usage'!$D$2:$D$1114,A175)</f>
        <v/>
      </c>
      <c r="E175" s="27" t="inlineStr">
        <is>
          <t>ing_dove_feather.png</t>
        </is>
      </c>
      <c r="F175" s="28" t="inlineStr">
        <is>
          <t>To do</t>
        </is>
      </c>
      <c r="G175" s="27" t="n"/>
      <c r="H175" s="34" t="inlineStr">
        <is>
          <t>soft, white and feathery</t>
        </is>
      </c>
    </row>
    <row r="176" ht="15" customHeight="1" s="18">
      <c r="A176" s="27" t="inlineStr">
        <is>
          <t>Hedgehog quill</t>
        </is>
      </c>
      <c r="B176" s="27" t="inlineStr">
        <is>
          <t>Animal gifts</t>
        </is>
      </c>
      <c r="C176" s="27" t="inlineStr">
        <is>
          <t>Right · Animal gifts</t>
        </is>
      </c>
      <c r="D176" s="27">
        <f>COUNTIF('Recipe Usage'!$D$2:$D$1114,A176)</f>
        <v/>
      </c>
      <c r="E176" s="27" t="inlineStr">
        <is>
          <t>ing_hedgehog_quill.png</t>
        </is>
      </c>
      <c r="F176" s="28" t="inlineStr">
        <is>
          <t>To do</t>
        </is>
      </c>
      <c r="G176" s="27" t="n"/>
      <c r="H176" s="34" t="inlineStr">
        <is>
          <t>thin, stiff and spiky</t>
        </is>
      </c>
    </row>
    <row r="177" ht="15" customHeight="1" s="18">
      <c r="A177" s="27" t="inlineStr">
        <is>
          <t>Honeycomb</t>
        </is>
      </c>
      <c r="B177" s="27" t="inlineStr">
        <is>
          <t>Animal gifts</t>
        </is>
      </c>
      <c r="C177" s="27" t="inlineStr">
        <is>
          <t>Right · Animal gifts</t>
        </is>
      </c>
      <c r="D177" s="27">
        <f>COUNTIF('Recipe Usage'!$D$2:$D$1114,A177)</f>
        <v/>
      </c>
      <c r="E177" s="27" t="inlineStr">
        <is>
          <t>ing_honeycomb.png</t>
        </is>
      </c>
      <c r="F177" s="28" t="inlineStr">
        <is>
          <t>To do</t>
        </is>
      </c>
      <c r="G177" s="27" t="n"/>
      <c r="H177" s="34" t="inlineStr">
        <is>
          <t>golden and waxy, full of little cells</t>
        </is>
      </c>
    </row>
    <row r="178" ht="15" customHeight="1" s="18">
      <c r="A178" s="27" t="inlineStr">
        <is>
          <t>Magpie feather</t>
        </is>
      </c>
      <c r="B178" s="27" t="inlineStr">
        <is>
          <t>Animal gifts</t>
        </is>
      </c>
      <c r="C178" s="27" t="inlineStr">
        <is>
          <t>Right · Animal gifts</t>
        </is>
      </c>
      <c r="D178" s="27">
        <f>COUNTIF('Recipe Usage'!$D$2:$D$1114,A178)</f>
        <v/>
      </c>
      <c r="E178" s="27" t="inlineStr">
        <is>
          <t>ing_magpie_feather.png</t>
        </is>
      </c>
      <c r="F178" s="28" t="inlineStr">
        <is>
          <t>To do</t>
        </is>
      </c>
      <c r="G178" s="27" t="n"/>
      <c r="H178" s="34" t="inlineStr">
        <is>
          <t>glossy black and white</t>
        </is>
      </c>
    </row>
    <row r="179" ht="15" customHeight="1" s="18">
      <c r="A179" s="27" t="inlineStr">
        <is>
          <t>Moth wing dust</t>
        </is>
      </c>
      <c r="B179" s="27" t="inlineStr">
        <is>
          <t>Animal gifts</t>
        </is>
      </c>
      <c r="C179" s="27" t="inlineStr">
        <is>
          <t>Right · Animal gifts</t>
        </is>
      </c>
      <c r="D179" s="27">
        <f>COUNTIF('Recipe Usage'!$D$2:$D$1114,A179)</f>
        <v/>
      </c>
      <c r="E179" s="27" t="inlineStr">
        <is>
          <t>ing_moth_wing_dust.png</t>
        </is>
      </c>
      <c r="F179" s="28" t="inlineStr">
        <is>
          <t>To do</t>
        </is>
      </c>
      <c r="G179" s="27" t="n"/>
      <c r="H179" s="34" t="inlineStr">
        <is>
          <t>soft grey powder</t>
        </is>
      </c>
    </row>
    <row r="180" ht="15" customHeight="1" s="18">
      <c r="A180" s="27" t="inlineStr">
        <is>
          <t>Owl feather</t>
        </is>
      </c>
      <c r="B180" s="27" t="inlineStr">
        <is>
          <t>Animal gifts</t>
        </is>
      </c>
      <c r="C180" s="27" t="inlineStr">
        <is>
          <t>Right · Animal gifts</t>
        </is>
      </c>
      <c r="D180" s="27">
        <f>COUNTIF('Recipe Usage'!$D$2:$D$1114,A180)</f>
        <v/>
      </c>
      <c r="E180" s="27" t="inlineStr">
        <is>
          <t>ing_owl_feather.png</t>
        </is>
      </c>
      <c r="F180" s="28" t="inlineStr">
        <is>
          <t>To do</t>
        </is>
      </c>
      <c r="G180" s="27" t="n"/>
      <c r="H180" s="34" t="inlineStr">
        <is>
          <t>mottled brown and soft</t>
        </is>
      </c>
    </row>
    <row r="181" ht="15" customHeight="1" s="18">
      <c r="A181" s="27" t="inlineStr">
        <is>
          <t>Peacock feather</t>
        </is>
      </c>
      <c r="B181" s="27" t="inlineStr">
        <is>
          <t>Animal gifts</t>
        </is>
      </c>
      <c r="C181" s="27" t="inlineStr">
        <is>
          <t>Right · Animal gifts</t>
        </is>
      </c>
      <c r="D181" s="27">
        <f>COUNTIF('Recipe Usage'!$D$2:$D$1114,A181)</f>
        <v/>
      </c>
      <c r="E181" s="27" t="inlineStr">
        <is>
          <t>ing_peacock_feather.png</t>
        </is>
      </c>
      <c r="F181" s="28" t="inlineStr">
        <is>
          <t>To do</t>
        </is>
      </c>
      <c r="G181" s="27" t="n"/>
      <c r="H181" s="34" t="inlineStr">
        <is>
          <t>long, with a shimmering eye</t>
        </is>
      </c>
    </row>
    <row r="182" ht="15" customHeight="1" s="18">
      <c r="A182" s="27" t="inlineStr">
        <is>
          <t>Raven feather</t>
        </is>
      </c>
      <c r="B182" s="27" t="inlineStr">
        <is>
          <t>Animal gifts</t>
        </is>
      </c>
      <c r="C182" s="27" t="inlineStr">
        <is>
          <t>Right · Animal gifts</t>
        </is>
      </c>
      <c r="D182" s="27">
        <f>COUNTIF('Recipe Usage'!$D$2:$D$1114,A182)</f>
        <v/>
      </c>
      <c r="E182" s="27" t="inlineStr">
        <is>
          <t>ing_raven_feather.png</t>
        </is>
      </c>
      <c r="F182" s="28" t="inlineStr">
        <is>
          <t>To do</t>
        </is>
      </c>
      <c r="G182" s="27" t="n"/>
      <c r="H182" s="34" t="inlineStr">
        <is>
          <t>long, glossy and black</t>
        </is>
      </c>
    </row>
    <row r="183" ht="15" customHeight="1" s="18">
      <c r="A183" s="27" t="inlineStr">
        <is>
          <t>Seashell</t>
        </is>
      </c>
      <c r="B183" s="27" t="inlineStr">
        <is>
          <t>Animal gifts</t>
        </is>
      </c>
      <c r="C183" s="27" t="inlineStr">
        <is>
          <t>Right · Animal gifts</t>
        </is>
      </c>
      <c r="D183" s="27">
        <f>COUNTIF('Recipe Usage'!$D$2:$D$1114,A183)</f>
        <v/>
      </c>
      <c r="E183" s="27" t="inlineStr">
        <is>
          <t>ing_seashell.png</t>
        </is>
      </c>
      <c r="F183" s="28" t="inlineStr">
        <is>
          <t>To do</t>
        </is>
      </c>
      <c r="G183" s="27" t="n"/>
      <c r="H183" s="34" t="inlineStr">
        <is>
          <t>pale, ridged and curled</t>
        </is>
      </c>
    </row>
    <row r="184" ht="15" customHeight="1" s="18">
      <c r="A184" s="27" t="inlineStr">
        <is>
          <t>Shed cat whisker</t>
        </is>
      </c>
      <c r="B184" s="27" t="inlineStr">
        <is>
          <t>Animal gifts</t>
        </is>
      </c>
      <c r="C184" s="27" t="inlineStr">
        <is>
          <t>Right · Animal gifts</t>
        </is>
      </c>
      <c r="D184" s="27">
        <f>COUNTIF('Recipe Usage'!$D$2:$D$1114,A184)</f>
        <v/>
      </c>
      <c r="E184" s="27" t="inlineStr">
        <is>
          <t>ing_shed_cat_whisker.png</t>
        </is>
      </c>
      <c r="F184" s="28" t="inlineStr">
        <is>
          <t>To do</t>
        </is>
      </c>
      <c r="G184" s="27" t="n"/>
      <c r="H184" s="34" t="inlineStr">
        <is>
          <t>a single fine white hair</t>
        </is>
      </c>
    </row>
    <row r="185" ht="15" customHeight="1" s="18">
      <c r="A185" s="27" t="inlineStr">
        <is>
          <t>Shed snake skin</t>
        </is>
      </c>
      <c r="B185" s="27" t="inlineStr">
        <is>
          <t>Animal gifts</t>
        </is>
      </c>
      <c r="C185" s="27" t="inlineStr">
        <is>
          <t>Right · Animal gifts</t>
        </is>
      </c>
      <c r="D185" s="27">
        <f>COUNTIF('Recipe Usage'!$D$2:$D$1114,A185)</f>
        <v/>
      </c>
      <c r="E185" s="27" t="inlineStr">
        <is>
          <t>ing_shed_snake_skin.png</t>
        </is>
      </c>
      <c r="F185" s="28" t="inlineStr">
        <is>
          <t>To do</t>
        </is>
      </c>
      <c r="G185" s="27" t="n"/>
      <c r="H185" s="34" t="inlineStr">
        <is>
          <t>papery, scaled and see-through</t>
        </is>
      </c>
    </row>
    <row r="186" ht="15" customHeight="1" s="18">
      <c r="A186" s="27" t="inlineStr">
        <is>
          <t>Snail shell</t>
        </is>
      </c>
      <c r="B186" s="27" t="inlineStr">
        <is>
          <t>Animal gifts</t>
        </is>
      </c>
      <c r="C186" s="27" t="inlineStr">
        <is>
          <t>Right · Animal gifts</t>
        </is>
      </c>
      <c r="D186" s="27">
        <f>COUNTIF('Recipe Usage'!$D$2:$D$1114,A186)</f>
        <v/>
      </c>
      <c r="E186" s="27" t="inlineStr">
        <is>
          <t>ing_snail_shell.png</t>
        </is>
      </c>
      <c r="F186" s="28" t="inlineStr">
        <is>
          <t>To do</t>
        </is>
      </c>
      <c r="G186" s="27" t="n"/>
      <c r="H186" s="34" t="inlineStr">
        <is>
          <t>small, brown and spiralled</t>
        </is>
      </c>
    </row>
    <row r="187" ht="15" customHeight="1" s="18">
      <c r="A187" s="27" t="inlineStr">
        <is>
          <t>Swan down</t>
        </is>
      </c>
      <c r="B187" s="27" t="inlineStr">
        <is>
          <t>Animal gifts</t>
        </is>
      </c>
      <c r="C187" s="27" t="inlineStr">
        <is>
          <t>Right · Animal gifts</t>
        </is>
      </c>
      <c r="D187" s="27">
        <f>COUNTIF('Recipe Usage'!$D$2:$D$1114,A187)</f>
        <v/>
      </c>
      <c r="E187" s="27" t="inlineStr">
        <is>
          <t>ing_swan_down.png</t>
        </is>
      </c>
      <c r="F187" s="28" t="inlineStr">
        <is>
          <t>To do</t>
        </is>
      </c>
      <c r="G187" s="27" t="n"/>
      <c r="H187" s="34" t="inlineStr">
        <is>
          <t>white and fluffy as a cloud</t>
        </is>
      </c>
    </row>
    <row r="188" ht="15" customHeight="1" s="18">
      <c r="A188" s="27" t="inlineStr">
        <is>
          <t>White feather</t>
        </is>
      </c>
      <c r="B188" s="27" t="inlineStr">
        <is>
          <t>Animal gifts</t>
        </is>
      </c>
      <c r="C188" s="27" t="inlineStr">
        <is>
          <t>Right · Animal gifts</t>
        </is>
      </c>
      <c r="D188" s="27">
        <f>COUNTIF('Recipe Usage'!$D$2:$D$1114,A188)</f>
        <v/>
      </c>
      <c r="E188" s="27" t="inlineStr">
        <is>
          <t>ing_white_feather.png</t>
        </is>
      </c>
      <c r="F188" s="28" t="inlineStr">
        <is>
          <t>To do</t>
        </is>
      </c>
      <c r="G188" s="27" t="n"/>
      <c r="H188" s="34" t="inlineStr">
        <is>
          <t>small, white and feathery</t>
        </is>
      </c>
    </row>
    <row r="189" ht="15" customHeight="1" s="18">
      <c r="A189" s="27" t="inlineStr">
        <is>
          <t>Nest twig</t>
        </is>
      </c>
      <c r="B189" s="27" t="inlineStr">
        <is>
          <t>Animal gifts</t>
        </is>
      </c>
      <c r="C189" s="27" t="inlineStr">
        <is>
          <t>Right · Animal gifts</t>
        </is>
      </c>
      <c r="D189" s="27">
        <f>COUNTIF('Recipe Usage'!$D$2:$D$1114,A189)</f>
        <v/>
      </c>
      <c r="E189" s="27" t="inlineStr">
        <is>
          <t>ing_nest_twig.png</t>
        </is>
      </c>
      <c r="F189" s="28" t="inlineStr">
        <is>
          <t>To do</t>
        </is>
      </c>
      <c r="G189" s="27" t="n"/>
      <c r="H189" s="34" t="inlineStr">
        <is>
          <t>thin, brown and woven</t>
        </is>
      </c>
    </row>
    <row r="190" ht="15" customHeight="1" s="18">
      <c r="A190" s="27" t="inlineStr">
        <is>
          <t>Brass button</t>
        </is>
      </c>
      <c r="B190" s="27" t="inlineStr">
        <is>
          <t>Buttons</t>
        </is>
      </c>
      <c r="C190" s="27" t="inlineStr">
        <is>
          <t>Right · Button tin</t>
        </is>
      </c>
      <c r="D190" s="27">
        <f>COUNTIF('Recipe Usage'!$D$2:$D$1114,A190)</f>
        <v/>
      </c>
      <c r="E190" s="27" t="inlineStr">
        <is>
          <t>ing_brass_button.png</t>
        </is>
      </c>
      <c r="F190" s="28" t="inlineStr">
        <is>
          <t>To do</t>
        </is>
      </c>
      <c r="G190" s="27" t="n"/>
      <c r="H190" s="34" t="inlineStr">
        <is>
          <t>golden and polished</t>
        </is>
      </c>
    </row>
    <row r="191" ht="15" customHeight="1" s="18">
      <c r="A191" s="27" t="inlineStr">
        <is>
          <t>Bright buttons</t>
        </is>
      </c>
      <c r="B191" s="27" t="inlineStr">
        <is>
          <t>Buttons</t>
        </is>
      </c>
      <c r="C191" s="27" t="inlineStr">
        <is>
          <t>Right · Button tin</t>
        </is>
      </c>
      <c r="D191" s="27">
        <f>COUNTIF('Recipe Usage'!$D$2:$D$1114,A191)</f>
        <v/>
      </c>
      <c r="E191" s="27" t="inlineStr">
        <is>
          <t>ing_bright_buttons.png</t>
        </is>
      </c>
      <c r="F191" s="28" t="inlineStr">
        <is>
          <t>To do</t>
        </is>
      </c>
      <c r="G191" s="27" t="n"/>
      <c r="H191" s="34" t="inlineStr">
        <is>
          <t>bright and many-coloured</t>
        </is>
      </c>
    </row>
    <row r="192" ht="15" customHeight="1" s="18">
      <c r="A192" s="27" t="inlineStr">
        <is>
          <t>Gold button</t>
        </is>
      </c>
      <c r="B192" s="27" t="inlineStr">
        <is>
          <t>Buttons</t>
        </is>
      </c>
      <c r="C192" s="27" t="inlineStr">
        <is>
          <t>Right · Button tin</t>
        </is>
      </c>
      <c r="D192" s="27">
        <f>COUNTIF('Recipe Usage'!$D$2:$D$1114,A192)</f>
        <v/>
      </c>
      <c r="E192" s="27" t="inlineStr">
        <is>
          <t>ing_gold_button.png</t>
        </is>
      </c>
      <c r="F192" s="28" t="inlineStr">
        <is>
          <t>To do</t>
        </is>
      </c>
      <c r="G192" s="27" t="n"/>
      <c r="H192" s="34" t="inlineStr">
        <is>
          <t>small and golden</t>
        </is>
      </c>
    </row>
    <row r="193" ht="15" customHeight="1" s="18">
      <c r="A193" s="27" t="inlineStr">
        <is>
          <t>Heart-shaped button</t>
        </is>
      </c>
      <c r="B193" s="27" t="inlineStr">
        <is>
          <t>Buttons</t>
        </is>
      </c>
      <c r="C193" s="27" t="inlineStr">
        <is>
          <t>Right · Button tin</t>
        </is>
      </c>
      <c r="D193" s="27">
        <f>COUNTIF('Recipe Usage'!$D$2:$D$1114,A193)</f>
        <v/>
      </c>
      <c r="E193" s="27" t="inlineStr">
        <is>
          <t>ing_heart_shaped_button.png</t>
        </is>
      </c>
      <c r="F193" s="28" t="inlineStr">
        <is>
          <t>To do</t>
        </is>
      </c>
      <c r="G193" s="27" t="n"/>
      <c r="H193" s="34" t="inlineStr">
        <is>
          <t>shaped like a little heart</t>
        </is>
      </c>
    </row>
    <row r="194" ht="15" customHeight="1" s="18">
      <c r="A194" s="27" t="inlineStr">
        <is>
          <t>Mismatched button</t>
        </is>
      </c>
      <c r="B194" s="27" t="inlineStr">
        <is>
          <t>Buttons</t>
        </is>
      </c>
      <c r="C194" s="27" t="inlineStr">
        <is>
          <t>Right · Button tin</t>
        </is>
      </c>
      <c r="D194" s="27">
        <f>COUNTIF('Recipe Usage'!$D$2:$D$1114,A194)</f>
        <v/>
      </c>
      <c r="E194" s="27" t="inlineStr">
        <is>
          <t>ing_mismatched_button.png</t>
        </is>
      </c>
      <c r="F194" s="28" t="inlineStr">
        <is>
          <t>To do</t>
        </is>
      </c>
      <c r="G194" s="27" t="n"/>
      <c r="H194" s="34" t="inlineStr">
        <is>
          <t>odd and one of a kind</t>
        </is>
      </c>
    </row>
    <row r="195" ht="15" customHeight="1" s="18">
      <c r="A195" s="27" t="inlineStr">
        <is>
          <t>Pearl buttons</t>
        </is>
      </c>
      <c r="B195" s="27" t="inlineStr">
        <is>
          <t>Buttons</t>
        </is>
      </c>
      <c r="C195" s="27" t="inlineStr">
        <is>
          <t>Right · Button tin</t>
        </is>
      </c>
      <c r="D195" s="27">
        <f>COUNTIF('Recipe Usage'!$D$2:$D$1114,A195)</f>
        <v/>
      </c>
      <c r="E195" s="27" t="inlineStr">
        <is>
          <t>ing_pearl_buttons.png</t>
        </is>
      </c>
      <c r="F195" s="28" t="inlineStr">
        <is>
          <t>To do</t>
        </is>
      </c>
      <c r="G195" s="27" t="n"/>
      <c r="H195" s="34" t="inlineStr">
        <is>
          <t>creamy and lustrous</t>
        </is>
      </c>
    </row>
    <row r="196" ht="15" customHeight="1" s="18">
      <c r="A196" s="27" t="inlineStr">
        <is>
          <t>Square button</t>
        </is>
      </c>
      <c r="B196" s="27" t="inlineStr">
        <is>
          <t>Buttons</t>
        </is>
      </c>
      <c r="C196" s="27" t="inlineStr">
        <is>
          <t>Right · Button tin</t>
        </is>
      </c>
      <c r="D196" s="27">
        <f>COUNTIF('Recipe Usage'!$D$2:$D$1114,A196)</f>
        <v/>
      </c>
      <c r="E196" s="27" t="inlineStr">
        <is>
          <t>ing_square_button.png</t>
        </is>
      </c>
      <c r="F196" s="28" t="inlineStr">
        <is>
          <t>To do</t>
        </is>
      </c>
      <c r="G196" s="27" t="n"/>
      <c r="H196" s="34" t="inlineStr">
        <is>
          <t>small and square-cornered</t>
        </is>
      </c>
    </row>
    <row r="197" ht="15" customHeight="1" s="18">
      <c r="A197" s="27" t="inlineStr">
        <is>
          <t>Star-shaped button</t>
        </is>
      </c>
      <c r="B197" s="27" t="inlineStr">
        <is>
          <t>Buttons</t>
        </is>
      </c>
      <c r="C197" s="27" t="inlineStr">
        <is>
          <t>Right · Button tin</t>
        </is>
      </c>
      <c r="D197" s="27">
        <f>COUNTIF('Recipe Usage'!$D$2:$D$1114,A197)</f>
        <v/>
      </c>
      <c r="E197" s="27" t="inlineStr">
        <is>
          <t>ing_star_shaped_button.png</t>
        </is>
      </c>
      <c r="F197" s="28" t="inlineStr">
        <is>
          <t>To do</t>
        </is>
      </c>
      <c r="G197" s="27" t="n"/>
      <c r="H197" s="34" t="inlineStr">
        <is>
          <t>star-shaped</t>
        </is>
      </c>
    </row>
    <row r="198" ht="15" customHeight="1" s="18">
      <c r="A198" s="27" t="inlineStr">
        <is>
          <t>Vintage button</t>
        </is>
      </c>
      <c r="B198" s="27" t="inlineStr">
        <is>
          <t>Buttons</t>
        </is>
      </c>
      <c r="C198" s="27" t="inlineStr">
        <is>
          <t>Right · Button tin</t>
        </is>
      </c>
      <c r="D198" s="27">
        <f>COUNTIF('Recipe Usage'!$D$2:$D$1114,A198)</f>
        <v/>
      </c>
      <c r="E198" s="27" t="inlineStr">
        <is>
          <t>ing_vintage_button.png</t>
        </is>
      </c>
      <c r="F198" s="28" t="inlineStr">
        <is>
          <t>To do</t>
        </is>
      </c>
      <c r="G198" s="27" t="n"/>
      <c r="H198" s="34" t="inlineStr">
        <is>
          <t>old, carved and a little worn</t>
        </is>
      </c>
    </row>
    <row r="199" ht="15" customHeight="1" s="18">
      <c r="A199" s="27" t="inlineStr">
        <is>
          <t>Black thread</t>
        </is>
      </c>
      <c r="B199" s="27" t="inlineStr">
        <is>
          <t>Threads &amp; ribbons</t>
        </is>
      </c>
      <c r="C199" s="27" t="inlineStr">
        <is>
          <t>Right · Thread drawer</t>
        </is>
      </c>
      <c r="D199" s="27">
        <f>COUNTIF('Recipe Usage'!$D$2:$D$1114,A199)</f>
        <v/>
      </c>
      <c r="E199" s="27" t="inlineStr">
        <is>
          <t>ing_black_thread.png</t>
        </is>
      </c>
      <c r="F199" s="28" t="inlineStr">
        <is>
          <t>To do</t>
        </is>
      </c>
      <c r="G199" s="27" t="n"/>
      <c r="H199" s="34" t="inlineStr">
        <is>
          <t>dark thread</t>
        </is>
      </c>
    </row>
    <row r="200" ht="15" customHeight="1" s="18">
      <c r="A200" s="27" t="inlineStr">
        <is>
          <t>Blue thread</t>
        </is>
      </c>
      <c r="B200" s="27" t="inlineStr">
        <is>
          <t>Threads &amp; ribbons</t>
        </is>
      </c>
      <c r="C200" s="27" t="inlineStr">
        <is>
          <t>Right · Thread drawer</t>
        </is>
      </c>
      <c r="D200" s="27">
        <f>COUNTIF('Recipe Usage'!$D$2:$D$1114,A200)</f>
        <v/>
      </c>
      <c r="E200" s="27" t="inlineStr">
        <is>
          <t>ing_blue_thread.png</t>
        </is>
      </c>
      <c r="F200" s="28" t="inlineStr">
        <is>
          <t>To do</t>
        </is>
      </c>
      <c r="G200" s="27" t="n"/>
      <c r="H200" s="34" t="inlineStr">
        <is>
          <t>cool-coloured thread</t>
        </is>
      </c>
    </row>
    <row r="201" ht="15" customHeight="1" s="18">
      <c r="A201" s="27" t="inlineStr">
        <is>
          <t>Gold thread</t>
        </is>
      </c>
      <c r="B201" s="27" t="inlineStr">
        <is>
          <t>Threads &amp; ribbons</t>
        </is>
      </c>
      <c r="C201" s="27" t="inlineStr">
        <is>
          <t>Right · Thread drawer</t>
        </is>
      </c>
      <c r="D201" s="27">
        <f>COUNTIF('Recipe Usage'!$D$2:$D$1114,A201)</f>
        <v/>
      </c>
      <c r="E201" s="27" t="inlineStr">
        <is>
          <t>ing_gold_thread.png</t>
        </is>
      </c>
      <c r="F201" s="28" t="inlineStr">
        <is>
          <t>To do</t>
        </is>
      </c>
      <c r="G201" s="27" t="n"/>
      <c r="H201" s="34" t="inlineStr">
        <is>
          <t>metallic thread</t>
        </is>
      </c>
    </row>
    <row r="202" ht="15" customHeight="1" s="18">
      <c r="A202" s="27" t="inlineStr">
        <is>
          <t>Green thread</t>
        </is>
      </c>
      <c r="B202" s="27" t="inlineStr">
        <is>
          <t>Threads &amp; ribbons</t>
        </is>
      </c>
      <c r="C202" s="27" t="inlineStr">
        <is>
          <t>Right · Thread drawer</t>
        </is>
      </c>
      <c r="D202" s="27">
        <f>COUNTIF('Recipe Usage'!$D$2:$D$1114,A202)</f>
        <v/>
      </c>
      <c r="E202" s="27" t="inlineStr">
        <is>
          <t>ing_green_thread.png</t>
        </is>
      </c>
      <c r="F202" s="28" t="inlineStr">
        <is>
          <t>To do</t>
        </is>
      </c>
      <c r="G202" s="27" t="n"/>
      <c r="H202" s="34" t="inlineStr">
        <is>
          <t>cool-coloured thread</t>
        </is>
      </c>
    </row>
    <row r="203" ht="15" customHeight="1" s="18">
      <c r="A203" s="27" t="inlineStr">
        <is>
          <t>Grey thread</t>
        </is>
      </c>
      <c r="B203" s="27" t="inlineStr">
        <is>
          <t>Threads &amp; ribbons</t>
        </is>
      </c>
      <c r="C203" s="27" t="inlineStr">
        <is>
          <t>Right · Thread drawer</t>
        </is>
      </c>
      <c r="D203" s="27">
        <f>COUNTIF('Recipe Usage'!$D$2:$D$1114,A203)</f>
        <v/>
      </c>
      <c r="E203" s="27" t="inlineStr">
        <is>
          <t>ing_grey_thread.png</t>
        </is>
      </c>
      <c r="F203" s="28" t="inlineStr">
        <is>
          <t>To do</t>
        </is>
      </c>
      <c r="G203" s="27" t="n"/>
      <c r="H203" s="34" t="inlineStr">
        <is>
          <t>dull, soft thread</t>
        </is>
      </c>
    </row>
    <row r="204" ht="15" customHeight="1" s="18">
      <c r="A204" s="27" t="inlineStr">
        <is>
          <t>Orange thread</t>
        </is>
      </c>
      <c r="B204" s="27" t="inlineStr">
        <is>
          <t>Threads &amp; ribbons</t>
        </is>
      </c>
      <c r="C204" s="27" t="inlineStr">
        <is>
          <t>Right · Thread drawer</t>
        </is>
      </c>
      <c r="D204" s="27">
        <f>COUNTIF('Recipe Usage'!$D$2:$D$1114,A204)</f>
        <v/>
      </c>
      <c r="E204" s="27" t="inlineStr">
        <is>
          <t>ing_orange_thread.png</t>
        </is>
      </c>
      <c r="F204" s="28" t="inlineStr">
        <is>
          <t>To do</t>
        </is>
      </c>
      <c r="G204" s="27" t="n"/>
      <c r="H204" s="34" t="inlineStr">
        <is>
          <t>warm-coloured thread</t>
        </is>
      </c>
    </row>
    <row r="205" ht="15" customHeight="1" s="18">
      <c r="A205" s="27" t="inlineStr">
        <is>
          <t>Pink thread</t>
        </is>
      </c>
      <c r="B205" s="27" t="inlineStr">
        <is>
          <t>Threads &amp; ribbons</t>
        </is>
      </c>
      <c r="C205" s="27" t="inlineStr">
        <is>
          <t>Right · Thread drawer</t>
        </is>
      </c>
      <c r="D205" s="27">
        <f>COUNTIF('Recipe Usage'!$D$2:$D$1114,A205)</f>
        <v/>
      </c>
      <c r="E205" s="27" t="inlineStr">
        <is>
          <t>ing_pink_thread.png</t>
        </is>
      </c>
      <c r="F205" s="28" t="inlineStr">
        <is>
          <t>To do</t>
        </is>
      </c>
      <c r="G205" s="27" t="n"/>
      <c r="H205" s="34" t="inlineStr">
        <is>
          <t>soft, warm-coloured thread</t>
        </is>
      </c>
    </row>
    <row r="206" ht="15" customHeight="1" s="18">
      <c r="A206" s="27" t="inlineStr">
        <is>
          <t>Purple thread</t>
        </is>
      </c>
      <c r="B206" s="27" t="inlineStr">
        <is>
          <t>Threads &amp; ribbons</t>
        </is>
      </c>
      <c r="C206" s="27" t="inlineStr">
        <is>
          <t>Right · Thread drawer</t>
        </is>
      </c>
      <c r="D206" s="27">
        <f>COUNTIF('Recipe Usage'!$D$2:$D$1114,A206)</f>
        <v/>
      </c>
      <c r="E206" s="27" t="inlineStr">
        <is>
          <t>ing_purple_thread.png</t>
        </is>
      </c>
      <c r="F206" s="28" t="inlineStr">
        <is>
          <t>To do</t>
        </is>
      </c>
      <c r="G206" s="27" t="n"/>
      <c r="H206" s="34" t="inlineStr">
        <is>
          <t>deep-coloured thread</t>
        </is>
      </c>
    </row>
    <row r="207" ht="15" customHeight="1" s="18">
      <c r="A207" s="27" t="inlineStr">
        <is>
          <t>Rainbow threads</t>
        </is>
      </c>
      <c r="B207" s="27" t="inlineStr">
        <is>
          <t>Threads &amp; ribbons</t>
        </is>
      </c>
      <c r="C207" s="27" t="inlineStr">
        <is>
          <t>Right · Thread drawer</t>
        </is>
      </c>
      <c r="D207" s="27">
        <f>COUNTIF('Recipe Usage'!$D$2:$D$1114,A207)</f>
        <v/>
      </c>
      <c r="E207" s="27" t="inlineStr">
        <is>
          <t>ing_rainbow_threads.png</t>
        </is>
      </c>
      <c r="F207" s="28" t="inlineStr">
        <is>
          <t>To do</t>
        </is>
      </c>
      <c r="G207" s="27" t="n"/>
      <c r="H207" s="34" t="inlineStr">
        <is>
          <t>many-coloured threads</t>
        </is>
      </c>
    </row>
    <row r="208" ht="15" customHeight="1" s="18">
      <c r="A208" s="27" t="inlineStr">
        <is>
          <t>Red thread</t>
        </is>
      </c>
      <c r="B208" s="27" t="inlineStr">
        <is>
          <t>Threads &amp; ribbons</t>
        </is>
      </c>
      <c r="C208" s="27" t="inlineStr">
        <is>
          <t>Right · Thread drawer</t>
        </is>
      </c>
      <c r="D208" s="27">
        <f>COUNTIF('Recipe Usage'!$D$2:$D$1114,A208)</f>
        <v/>
      </c>
      <c r="E208" s="27" t="inlineStr">
        <is>
          <t>ing_red_thread.png</t>
        </is>
      </c>
      <c r="F208" s="28" t="inlineStr">
        <is>
          <t>To do</t>
        </is>
      </c>
      <c r="G208" s="27" t="n"/>
      <c r="H208" s="34" t="inlineStr">
        <is>
          <t>warm-coloured thread</t>
        </is>
      </c>
    </row>
    <row r="209" ht="15" customHeight="1" s="18">
      <c r="A209" s="27" t="inlineStr">
        <is>
          <t>Silver thread</t>
        </is>
      </c>
      <c r="B209" s="27" t="inlineStr">
        <is>
          <t>Threads &amp; ribbons</t>
        </is>
      </c>
      <c r="C209" s="27" t="inlineStr">
        <is>
          <t>Right · Thread drawer</t>
        </is>
      </c>
      <c r="D209" s="27">
        <f>COUNTIF('Recipe Usage'!$D$2:$D$1114,A209)</f>
        <v/>
      </c>
      <c r="E209" s="27" t="inlineStr">
        <is>
          <t>ing_silver_thread.png</t>
        </is>
      </c>
      <c r="F209" s="28" t="inlineStr">
        <is>
          <t>To do</t>
        </is>
      </c>
      <c r="G209" s="27" t="n"/>
      <c r="H209" s="34" t="inlineStr">
        <is>
          <t>metallic thread</t>
        </is>
      </c>
    </row>
    <row r="210" ht="15" customHeight="1" s="18">
      <c r="A210" s="27" t="inlineStr">
        <is>
          <t>White thread</t>
        </is>
      </c>
      <c r="B210" s="27" t="inlineStr">
        <is>
          <t>Threads &amp; ribbons</t>
        </is>
      </c>
      <c r="C210" s="27" t="inlineStr">
        <is>
          <t>Right · Thread drawer</t>
        </is>
      </c>
      <c r="D210" s="27">
        <f>COUNTIF('Recipe Usage'!$D$2:$D$1114,A210)</f>
        <v/>
      </c>
      <c r="E210" s="27" t="inlineStr">
        <is>
          <t>ing_white_thread.png</t>
        </is>
      </c>
      <c r="F210" s="28" t="inlineStr">
        <is>
          <t>To do</t>
        </is>
      </c>
      <c r="G210" s="27" t="n"/>
      <c r="H210" s="34" t="inlineStr">
        <is>
          <t>pale thread</t>
        </is>
      </c>
    </row>
    <row r="211" ht="15" customHeight="1" s="18">
      <c r="A211" s="27" t="inlineStr">
        <is>
          <t>Yellow thread</t>
        </is>
      </c>
      <c r="B211" s="27" t="inlineStr">
        <is>
          <t>Threads &amp; ribbons</t>
        </is>
      </c>
      <c r="C211" s="27" t="inlineStr">
        <is>
          <t>Right · Thread drawer</t>
        </is>
      </c>
      <c r="D211" s="27">
        <f>COUNTIF('Recipe Usage'!$D$2:$D$1114,A211)</f>
        <v/>
      </c>
      <c r="E211" s="27" t="inlineStr">
        <is>
          <t>ing_yellow_thread.png</t>
        </is>
      </c>
      <c r="F211" s="28" t="inlineStr">
        <is>
          <t>To do</t>
        </is>
      </c>
      <c r="G211" s="27" t="n"/>
      <c r="H211" s="34" t="inlineStr">
        <is>
          <t>warm-coloured thread</t>
        </is>
      </c>
    </row>
    <row r="212" ht="15" customHeight="1" s="18">
      <c r="A212" s="27" t="inlineStr">
        <is>
          <t>Satin ribbon</t>
        </is>
      </c>
      <c r="B212" s="27" t="inlineStr">
        <is>
          <t>Threads &amp; ribbons</t>
        </is>
      </c>
      <c r="C212" s="27" t="inlineStr">
        <is>
          <t>Right · Thread drawer</t>
        </is>
      </c>
      <c r="D212" s="27">
        <f>COUNTIF('Recipe Usage'!$D$2:$D$1114,A212)</f>
        <v/>
      </c>
      <c r="E212" s="27" t="inlineStr">
        <is>
          <t>ing_satin_ribbon.png</t>
        </is>
      </c>
      <c r="F212" s="28" t="inlineStr">
        <is>
          <t>To do</t>
        </is>
      </c>
      <c r="G212" s="27" t="n"/>
      <c r="H212" s="34" t="inlineStr">
        <is>
          <t>smooth and glossy</t>
        </is>
      </c>
    </row>
    <row r="213" ht="15" customHeight="1" s="18">
      <c r="A213" s="27" t="inlineStr">
        <is>
          <t>Velvet ribbon (red)</t>
        </is>
      </c>
      <c r="B213" s="27" t="inlineStr">
        <is>
          <t>Threads &amp; ribbons</t>
        </is>
      </c>
      <c r="C213" s="27" t="inlineStr">
        <is>
          <t>Right · Thread drawer</t>
        </is>
      </c>
      <c r="D213" s="27">
        <f>COUNTIF('Recipe Usage'!$D$2:$D$1114,A213)</f>
        <v/>
      </c>
      <c r="E213" s="27" t="inlineStr">
        <is>
          <t>ing_velvet_ribbon_red.png</t>
        </is>
      </c>
      <c r="F213" s="28" t="inlineStr">
        <is>
          <t>To do</t>
        </is>
      </c>
      <c r="G213" s="27" t="n"/>
      <c r="H213" s="34" t="inlineStr">
        <is>
          <t>soft, heavy and deep red</t>
        </is>
      </c>
    </row>
    <row r="214" ht="15" customHeight="1" s="18">
      <c r="A214" s="27" t="inlineStr">
        <is>
          <t>Spool of thread</t>
        </is>
      </c>
      <c r="B214" s="27" t="inlineStr">
        <is>
          <t>Threads &amp; ribbons</t>
        </is>
      </c>
      <c r="C214" s="27" t="inlineStr">
        <is>
          <t>Right · Thread drawer</t>
        </is>
      </c>
      <c r="D214" s="27">
        <f>COUNTIF('Recipe Usage'!$D$2:$D$1114,A214)</f>
        <v/>
      </c>
      <c r="E214" s="27" t="inlineStr">
        <is>
          <t>ing_spool_of_thread.png</t>
        </is>
      </c>
      <c r="F214" s="28" t="inlineStr">
        <is>
          <t>To do</t>
        </is>
      </c>
      <c r="G214" s="27" t="n"/>
      <c r="H214" s="34" t="inlineStr">
        <is>
          <t>a wooden spool, wound tight</t>
        </is>
      </c>
    </row>
    <row r="215" ht="15" customHeight="1" s="18">
      <c r="A215" s="27" t="inlineStr">
        <is>
          <t>Fabric pouch</t>
        </is>
      </c>
      <c r="B215" s="27" t="inlineStr">
        <is>
          <t>Threads &amp; ribbons</t>
        </is>
      </c>
      <c r="C215" s="27" t="inlineStr">
        <is>
          <t>Right · Thread drawer</t>
        </is>
      </c>
      <c r="D215" s="27">
        <f>COUNTIF('Recipe Usage'!$D$2:$D$1114,A215)</f>
        <v/>
      </c>
      <c r="E215" s="27" t="inlineStr">
        <is>
          <t>ing_fabric_pouch.png</t>
        </is>
      </c>
      <c r="F215" s="28" t="inlineStr">
        <is>
          <t>To do</t>
        </is>
      </c>
      <c r="G215" s="27" t="n"/>
      <c r="H215" s="34" t="inlineStr">
        <is>
          <t>a little cloth bag</t>
        </is>
      </c>
    </row>
    <row r="216" ht="15" customHeight="1" s="18">
      <c r="A216" s="27" t="inlineStr">
        <is>
          <t>Satin pouch (black)</t>
        </is>
      </c>
      <c r="B216" s="27" t="inlineStr">
        <is>
          <t>Threads &amp; ribbons</t>
        </is>
      </c>
      <c r="C216" s="27" t="inlineStr">
        <is>
          <t>Right · Thread drawer</t>
        </is>
      </c>
      <c r="D216" s="27">
        <f>COUNTIF('Recipe Usage'!$D$2:$D$1114,A216)</f>
        <v/>
      </c>
      <c r="E216" s="27" t="inlineStr">
        <is>
          <t>ing_satin_pouch_black.png</t>
        </is>
      </c>
      <c r="F216" s="28" t="inlineStr">
        <is>
          <t>To do</t>
        </is>
      </c>
      <c r="G216" s="27" t="n"/>
      <c r="H216" s="34" t="inlineStr">
        <is>
          <t>a little dark, glossy bag</t>
        </is>
      </c>
    </row>
    <row r="217" ht="15" customHeight="1" s="18">
      <c r="A217" s="27" t="inlineStr">
        <is>
          <t>Muslin</t>
        </is>
      </c>
      <c r="B217" s="27" t="inlineStr">
        <is>
          <t>Threads &amp; ribbons</t>
        </is>
      </c>
      <c r="C217" s="27" t="inlineStr">
        <is>
          <t>Right · Thread drawer</t>
        </is>
      </c>
      <c r="D217" s="27">
        <f>COUNTIF('Recipe Usage'!$D$2:$D$1114,A217)</f>
        <v/>
      </c>
      <c r="E217" s="27" t="inlineStr">
        <is>
          <t>ing_muslin.png</t>
        </is>
      </c>
      <c r="F217" s="28" t="inlineStr">
        <is>
          <t>To do</t>
        </is>
      </c>
      <c r="G217" s="27" t="n"/>
      <c r="H217" s="34" t="inlineStr">
        <is>
          <t>thin, white and gauzy</t>
        </is>
      </c>
    </row>
    <row r="218" ht="15" customHeight="1" s="18">
      <c r="A218" s="27" t="inlineStr">
        <is>
          <t>Patchwork scraps</t>
        </is>
      </c>
      <c r="B218" s="27" t="inlineStr">
        <is>
          <t>Threads &amp; ribbons</t>
        </is>
      </c>
      <c r="C218" s="27" t="inlineStr">
        <is>
          <t>Right · Thread drawer</t>
        </is>
      </c>
      <c r="D218" s="27">
        <f>COUNTIF('Recipe Usage'!$D$2:$D$1114,A218)</f>
        <v/>
      </c>
      <c r="E218" s="27" t="inlineStr">
        <is>
          <t>ing_patchwork_scraps.png</t>
        </is>
      </c>
      <c r="F218" s="28" t="inlineStr">
        <is>
          <t>To do</t>
        </is>
      </c>
      <c r="G218" s="27" t="n"/>
      <c r="H218" s="34" t="inlineStr">
        <is>
          <t>many-coloured scraps of cloth</t>
        </is>
      </c>
    </row>
    <row r="219" ht="15" customHeight="1" s="18">
      <c r="A219" s="27" t="inlineStr">
        <is>
          <t>Ash branch</t>
        </is>
      </c>
      <c r="B219" s="27" t="inlineStr">
        <is>
          <t>Wood &amp; branches</t>
        </is>
      </c>
      <c r="C219" s="27" t="inlineStr">
        <is>
          <t>Right · Findings</t>
        </is>
      </c>
      <c r="D219" s="27">
        <f>COUNTIF('Recipe Usage'!$D$2:$D$1114,A219)</f>
        <v/>
      </c>
      <c r="E219" s="27" t="inlineStr">
        <is>
          <t>ing_ash_branch.png</t>
        </is>
      </c>
      <c r="F219" s="28" t="inlineStr">
        <is>
          <t>To do</t>
        </is>
      </c>
      <c r="G219" s="27" t="n"/>
      <c r="H219" s="34" t="inlineStr">
        <is>
          <t>pale and straight</t>
        </is>
      </c>
    </row>
    <row r="220" ht="15" customHeight="1" s="18">
      <c r="A220" s="27" t="inlineStr">
        <is>
          <t>Ash wood</t>
        </is>
      </c>
      <c r="B220" s="27" t="inlineStr">
        <is>
          <t>Wood &amp; branches</t>
        </is>
      </c>
      <c r="C220" s="27" t="inlineStr">
        <is>
          <t>Right · Findings</t>
        </is>
      </c>
      <c r="D220" s="27">
        <f>COUNTIF('Recipe Usage'!$D$2:$D$1114,A220)</f>
        <v/>
      </c>
      <c r="E220" s="27" t="inlineStr">
        <is>
          <t>ing_ash_wood.png</t>
        </is>
      </c>
      <c r="F220" s="28" t="inlineStr">
        <is>
          <t>To do</t>
        </is>
      </c>
      <c r="G220" s="27" t="n"/>
      <c r="H220" s="34" t="inlineStr">
        <is>
          <t>pale and straight-grained</t>
        </is>
      </c>
    </row>
    <row r="221" ht="15" customHeight="1" s="18">
      <c r="A221" s="27" t="inlineStr">
        <is>
          <t>Birch branch</t>
        </is>
      </c>
      <c r="B221" s="27" t="inlineStr">
        <is>
          <t>Wood &amp; branches</t>
        </is>
      </c>
      <c r="C221" s="27" t="inlineStr">
        <is>
          <t>Right · Findings</t>
        </is>
      </c>
      <c r="D221" s="27">
        <f>COUNTIF('Recipe Usage'!$D$2:$D$1114,A221)</f>
        <v/>
      </c>
      <c r="E221" s="27" t="inlineStr">
        <is>
          <t>ing_birch_branch.png</t>
        </is>
      </c>
      <c r="F221" s="28" t="inlineStr">
        <is>
          <t>To do</t>
        </is>
      </c>
      <c r="G221" s="27" t="n"/>
      <c r="H221" s="34" t="inlineStr">
        <is>
          <t>white-barked</t>
        </is>
      </c>
    </row>
    <row r="222" ht="15" customHeight="1" s="18">
      <c r="A222" s="27" t="inlineStr">
        <is>
          <t>Birch wood</t>
        </is>
      </c>
      <c r="B222" s="27" t="inlineStr">
        <is>
          <t>Wood &amp; branches</t>
        </is>
      </c>
      <c r="C222" s="27" t="inlineStr">
        <is>
          <t>Right · Findings</t>
        </is>
      </c>
      <c r="D222" s="27">
        <f>COUNTIF('Recipe Usage'!$D$2:$D$1114,A222)</f>
        <v/>
      </c>
      <c r="E222" s="27" t="inlineStr">
        <is>
          <t>ing_birch_wood.png</t>
        </is>
      </c>
      <c r="F222" s="28" t="inlineStr">
        <is>
          <t>To do</t>
        </is>
      </c>
      <c r="G222" s="27" t="n"/>
      <c r="H222" s="34" t="inlineStr">
        <is>
          <t>white-barked</t>
        </is>
      </c>
    </row>
    <row r="223" ht="15" customHeight="1" s="18">
      <c r="A223" s="27" t="inlineStr">
        <is>
          <t>Blackthorn branch</t>
        </is>
      </c>
      <c r="B223" s="27" t="inlineStr">
        <is>
          <t>Wood &amp; branches</t>
        </is>
      </c>
      <c r="C223" s="27" t="inlineStr">
        <is>
          <t>Right · Findings</t>
        </is>
      </c>
      <c r="D223" s="27">
        <f>COUNTIF('Recipe Usage'!$D$2:$D$1114,A223)</f>
        <v/>
      </c>
      <c r="E223" s="27" t="inlineStr">
        <is>
          <t>ing_blackthorn_branch.png</t>
        </is>
      </c>
      <c r="F223" s="28" t="inlineStr">
        <is>
          <t>To do</t>
        </is>
      </c>
      <c r="G223" s="27" t="n"/>
      <c r="H223" s="34" t="inlineStr">
        <is>
          <t>dark and thorny</t>
        </is>
      </c>
    </row>
    <row r="224" ht="15" customHeight="1" s="18">
      <c r="A224" s="27" t="inlineStr">
        <is>
          <t>Hazel branch</t>
        </is>
      </c>
      <c r="B224" s="27" t="inlineStr">
        <is>
          <t>Wood &amp; branches</t>
        </is>
      </c>
      <c r="C224" s="27" t="inlineStr">
        <is>
          <t>Right · Findings</t>
        </is>
      </c>
      <c r="D224" s="27">
        <f>COUNTIF('Recipe Usage'!$D$2:$D$1114,A224)</f>
        <v/>
      </c>
      <c r="E224" s="27" t="inlineStr">
        <is>
          <t>ing_hazel_branch.png</t>
        </is>
      </c>
      <c r="F224" s="28" t="inlineStr">
        <is>
          <t>To do</t>
        </is>
      </c>
      <c r="G224" s="27" t="n"/>
      <c r="H224" s="34" t="inlineStr">
        <is>
          <t>smooth, brown and supple</t>
        </is>
      </c>
    </row>
    <row r="225" ht="15" customHeight="1" s="18">
      <c r="A225" s="27" t="inlineStr">
        <is>
          <t>Oak wood</t>
        </is>
      </c>
      <c r="B225" s="27" t="inlineStr">
        <is>
          <t>Wood &amp; branches</t>
        </is>
      </c>
      <c r="C225" s="27" t="inlineStr">
        <is>
          <t>Right · Findings</t>
        </is>
      </c>
      <c r="D225" s="27">
        <f>COUNTIF('Recipe Usage'!$D$2:$D$1114,A225)</f>
        <v/>
      </c>
      <c r="E225" s="27" t="inlineStr">
        <is>
          <t>ing_oak_wood.png</t>
        </is>
      </c>
      <c r="F225" s="28" t="inlineStr">
        <is>
          <t>To do</t>
        </is>
      </c>
      <c r="G225" s="27" t="n"/>
      <c r="H225" s="34" t="inlineStr">
        <is>
          <t>dark, heavy and rough</t>
        </is>
      </c>
    </row>
    <row r="226" ht="15" customHeight="1" s="18">
      <c r="A226" s="27" t="inlineStr">
        <is>
          <t>Rowan branch</t>
        </is>
      </c>
      <c r="B226" s="27" t="inlineStr">
        <is>
          <t>Wood &amp; branches</t>
        </is>
      </c>
      <c r="C226" s="27" t="inlineStr">
        <is>
          <t>Right · Findings</t>
        </is>
      </c>
      <c r="D226" s="27">
        <f>COUNTIF('Recipe Usage'!$D$2:$D$1114,A226)</f>
        <v/>
      </c>
      <c r="E226" s="27" t="inlineStr">
        <is>
          <t>ing_rowan_branch.png</t>
        </is>
      </c>
      <c r="F226" s="28" t="inlineStr">
        <is>
          <t>To do</t>
        </is>
      </c>
      <c r="G226" s="27" t="n"/>
      <c r="H226" s="34" t="inlineStr">
        <is>
          <t>slim, with red berries</t>
        </is>
      </c>
    </row>
    <row r="227" ht="15" customHeight="1" s="18">
      <c r="A227" s="27" t="inlineStr">
        <is>
          <t>Twig</t>
        </is>
      </c>
      <c r="B227" s="27" t="inlineStr">
        <is>
          <t>Wood &amp; branches</t>
        </is>
      </c>
      <c r="C227" s="27" t="inlineStr">
        <is>
          <t>Right · Findings</t>
        </is>
      </c>
      <c r="D227" s="27">
        <f>COUNTIF('Recipe Usage'!$D$2:$D$1114,A227)</f>
        <v/>
      </c>
      <c r="E227" s="27" t="inlineStr">
        <is>
          <t>ing_twig.png</t>
        </is>
      </c>
      <c r="F227" s="28" t="inlineStr">
        <is>
          <t>To do</t>
        </is>
      </c>
      <c r="G227" s="27" t="n"/>
      <c r="H227" s="34" t="inlineStr">
        <is>
          <t>small, thin and brown</t>
        </is>
      </c>
    </row>
    <row r="228" ht="15" customHeight="1" s="18">
      <c r="A228" s="27" t="inlineStr">
        <is>
          <t>Willow branch</t>
        </is>
      </c>
      <c r="B228" s="27" t="inlineStr">
        <is>
          <t>Wood &amp; branches</t>
        </is>
      </c>
      <c r="C228" s="27" t="inlineStr">
        <is>
          <t>Right · Findings</t>
        </is>
      </c>
      <c r="D228" s="27">
        <f>COUNTIF('Recipe Usage'!$D$2:$D$1114,A228)</f>
        <v/>
      </c>
      <c r="E228" s="27" t="inlineStr">
        <is>
          <t>ing_willow_branch.png</t>
        </is>
      </c>
      <c r="F228" s="28" t="inlineStr">
        <is>
          <t>To do</t>
        </is>
      </c>
      <c r="G228" s="27" t="n"/>
      <c r="H228" s="34" t="inlineStr">
        <is>
          <t>long, thin and bendy</t>
        </is>
      </c>
    </row>
    <row r="229" ht="15" customHeight="1" s="18">
      <c r="A229" s="27" t="inlineStr">
        <is>
          <t>Willow wood</t>
        </is>
      </c>
      <c r="B229" s="27" t="inlineStr">
        <is>
          <t>Wood &amp; branches</t>
        </is>
      </c>
      <c r="C229" s="27" t="inlineStr">
        <is>
          <t>Right · Findings</t>
        </is>
      </c>
      <c r="D229" s="27">
        <f>COUNTIF('Recipe Usage'!$D$2:$D$1114,A229)</f>
        <v/>
      </c>
      <c r="E229" s="27" t="inlineStr">
        <is>
          <t>ing_willow_wood.png</t>
        </is>
      </c>
      <c r="F229" s="28" t="inlineStr">
        <is>
          <t>To do</t>
        </is>
      </c>
      <c r="G229" s="27" t="n"/>
      <c r="H229" s="34" t="inlineStr">
        <is>
          <t>pale and bendy</t>
        </is>
      </c>
    </row>
    <row r="230" ht="15" customHeight="1" s="18">
      <c r="A230" s="27" t="inlineStr">
        <is>
          <t>Wooden disc</t>
        </is>
      </c>
      <c r="B230" s="27" t="inlineStr">
        <is>
          <t>Wood &amp; branches</t>
        </is>
      </c>
      <c r="C230" s="27" t="inlineStr">
        <is>
          <t>Right · Findings</t>
        </is>
      </c>
      <c r="D230" s="27">
        <f>COUNTIF('Recipe Usage'!$D$2:$D$1114,A230)</f>
        <v/>
      </c>
      <c r="E230" s="27" t="inlineStr">
        <is>
          <t>ing_wooden_disc.png</t>
        </is>
      </c>
      <c r="F230" s="28" t="inlineStr">
        <is>
          <t>To do</t>
        </is>
      </c>
      <c r="G230" s="27" t="n"/>
      <c r="H230" s="34" t="inlineStr">
        <is>
          <t>flat, round and wooden</t>
        </is>
      </c>
    </row>
    <row r="231" ht="15" customHeight="1" s="18">
      <c r="A231" s="27" t="inlineStr">
        <is>
          <t>Acorn</t>
        </is>
      </c>
      <c r="B231" s="27" t="inlineStr">
        <is>
          <t>Wood &amp; branches</t>
        </is>
      </c>
      <c r="C231" s="27" t="inlineStr">
        <is>
          <t>Right · Findings</t>
        </is>
      </c>
      <c r="D231" s="27">
        <f>COUNTIF('Recipe Usage'!$D$2:$D$1114,A231)</f>
        <v/>
      </c>
      <c r="E231" s="27" t="inlineStr">
        <is>
          <t>ing_acorn.png</t>
        </is>
      </c>
      <c r="F231" s="28" t="inlineStr">
        <is>
          <t>To do</t>
        </is>
      </c>
      <c r="G231" s="27" t="n"/>
      <c r="H231" s="34" t="inlineStr">
        <is>
          <t>small, brown and capped</t>
        </is>
      </c>
    </row>
    <row r="232" ht="15" customHeight="1" s="18">
      <c r="A232" s="27" t="inlineStr">
        <is>
          <t>Clamshell compact</t>
        </is>
      </c>
      <c r="B232" s="27" t="inlineStr">
        <is>
          <t>Findings &amp; tools</t>
        </is>
      </c>
      <c r="C232" s="27" t="inlineStr">
        <is>
          <t>Right · Findings</t>
        </is>
      </c>
      <c r="D232" s="27">
        <f>COUNTIF('Recipe Usage'!$D$2:$D$1114,A232)</f>
        <v/>
      </c>
      <c r="E232" s="27" t="inlineStr">
        <is>
          <t>ing_clamshell_compact.png</t>
        </is>
      </c>
      <c r="F232" s="28" t="inlineStr">
        <is>
          <t>To do</t>
        </is>
      </c>
      <c r="G232" s="27" t="n"/>
      <c r="H232" s="34" t="inlineStr">
        <is>
          <t>small, round and hinged, with a mirror</t>
        </is>
      </c>
    </row>
    <row r="233" ht="15" customHeight="1" s="18">
      <c r="A233" s="27" t="inlineStr">
        <is>
          <t>Clamshell compact (dark glass)</t>
        </is>
      </c>
      <c r="B233" s="27" t="inlineStr">
        <is>
          <t>Findings &amp; tools</t>
        </is>
      </c>
      <c r="C233" s="27" t="inlineStr">
        <is>
          <t>Right · Findings</t>
        </is>
      </c>
      <c r="D233" s="27">
        <f>COUNTIF('Recipe Usage'!$D$2:$D$1114,A233)</f>
        <v/>
      </c>
      <c r="E233" s="27" t="inlineStr">
        <is>
          <t>ing_clamshell_compact_dark_glass.png</t>
        </is>
      </c>
      <c r="F233" s="28" t="inlineStr">
        <is>
          <t>To do</t>
        </is>
      </c>
      <c r="G233" s="27" t="n"/>
      <c r="H233" s="34" t="inlineStr">
        <is>
          <t>small and hinged, with a dark mirror</t>
        </is>
      </c>
    </row>
    <row r="234" ht="15" customHeight="1" s="18">
      <c r="A234" s="27" t="inlineStr">
        <is>
          <t>Clay</t>
        </is>
      </c>
      <c r="B234" s="27" t="inlineStr">
        <is>
          <t>Findings &amp; tools</t>
        </is>
      </c>
      <c r="C234" s="27" t="inlineStr">
        <is>
          <t>Right · Findings</t>
        </is>
      </c>
      <c r="D234" s="27">
        <f>COUNTIF('Recipe Usage'!$D$2:$D$1114,A234)</f>
        <v/>
      </c>
      <c r="E234" s="27" t="inlineStr">
        <is>
          <t>ing_clay.png</t>
        </is>
      </c>
      <c r="F234" s="28" t="inlineStr">
        <is>
          <t>To do</t>
        </is>
      </c>
      <c r="G234" s="27" t="n"/>
      <c r="H234" s="34" t="inlineStr">
        <is>
          <t>soft, grey and earthy</t>
        </is>
      </c>
    </row>
    <row r="235" ht="15" customHeight="1" s="18">
      <c r="A235" s="27" t="inlineStr">
        <is>
          <t>Coin</t>
        </is>
      </c>
      <c r="B235" s="27" t="inlineStr">
        <is>
          <t>Findings &amp; tools</t>
        </is>
      </c>
      <c r="C235" s="27" t="inlineStr">
        <is>
          <t>Right · Findings</t>
        </is>
      </c>
      <c r="D235" s="27">
        <f>COUNTIF('Recipe Usage'!$D$2:$D$1114,A235)</f>
        <v/>
      </c>
      <c r="E235" s="27" t="inlineStr">
        <is>
          <t>ing_coin.png</t>
        </is>
      </c>
      <c r="F235" s="28" t="inlineStr">
        <is>
          <t>To do</t>
        </is>
      </c>
      <c r="G235" s="27" t="n"/>
      <c r="H235" s="34" t="inlineStr">
        <is>
          <t>small, round and metal</t>
        </is>
      </c>
    </row>
    <row r="236" ht="15" customHeight="1" s="18">
      <c r="A236" s="27" t="inlineStr">
        <is>
          <t>Copper disc</t>
        </is>
      </c>
      <c r="B236" s="27" t="inlineStr">
        <is>
          <t>Findings &amp; tools</t>
        </is>
      </c>
      <c r="C236" s="27" t="inlineStr">
        <is>
          <t>Right · Findings</t>
        </is>
      </c>
      <c r="D236" s="27">
        <f>COUNTIF('Recipe Usage'!$D$2:$D$1114,A236)</f>
        <v/>
      </c>
      <c r="E236" s="27" t="inlineStr">
        <is>
          <t>ing_copper_disc.png</t>
        </is>
      </c>
      <c r="F236" s="28" t="inlineStr">
        <is>
          <t>To do</t>
        </is>
      </c>
      <c r="G236" s="27" t="n"/>
      <c r="H236" s="34" t="inlineStr">
        <is>
          <t>flat, round and coppery</t>
        </is>
      </c>
    </row>
    <row r="237" ht="15" customHeight="1" s="18">
      <c r="A237" s="27" t="inlineStr">
        <is>
          <t>Glass bead</t>
        </is>
      </c>
      <c r="B237" s="27" t="inlineStr">
        <is>
          <t>Findings &amp; tools</t>
        </is>
      </c>
      <c r="C237" s="27" t="inlineStr">
        <is>
          <t>Right · Findings</t>
        </is>
      </c>
      <c r="D237" s="27">
        <f>COUNTIF('Recipe Usage'!$D$2:$D$1114,A237)</f>
        <v/>
      </c>
      <c r="E237" s="27" t="inlineStr">
        <is>
          <t>ing_glass_bead.png</t>
        </is>
      </c>
      <c r="F237" s="28" t="inlineStr">
        <is>
          <t>To do</t>
        </is>
      </c>
      <c r="G237" s="27" t="n"/>
      <c r="H237" s="34" t="inlineStr">
        <is>
          <t>small, round and see-through</t>
        </is>
      </c>
    </row>
    <row r="238" ht="15" customHeight="1" s="18">
      <c r="A238" s="27" t="inlineStr">
        <is>
          <t>Glass vial</t>
        </is>
      </c>
      <c r="B238" s="27" t="inlineStr">
        <is>
          <t>Findings &amp; tools</t>
        </is>
      </c>
      <c r="C238" s="27" t="inlineStr">
        <is>
          <t>Right · Findings</t>
        </is>
      </c>
      <c r="D238" s="27">
        <f>COUNTIF('Recipe Usage'!$D$2:$D$1114,A238)</f>
        <v/>
      </c>
      <c r="E238" s="27" t="inlineStr">
        <is>
          <t>ing_glass_vial.png</t>
        </is>
      </c>
      <c r="F238" s="28" t="inlineStr">
        <is>
          <t>To do</t>
        </is>
      </c>
      <c r="G238" s="27" t="n"/>
      <c r="H238" s="34" t="inlineStr">
        <is>
          <t>small, clear and stoppered</t>
        </is>
      </c>
    </row>
    <row r="239" ht="15" customHeight="1" s="18">
      <c r="A239" s="27" t="inlineStr">
        <is>
          <t>Iron filings</t>
        </is>
      </c>
      <c r="B239" s="27" t="inlineStr">
        <is>
          <t>Findings &amp; tools</t>
        </is>
      </c>
      <c r="C239" s="27" t="inlineStr">
        <is>
          <t>Right · Findings</t>
        </is>
      </c>
      <c r="D239" s="27">
        <f>COUNTIF('Recipe Usage'!$D$2:$D$1114,A239)</f>
        <v/>
      </c>
      <c r="E239" s="27" t="inlineStr">
        <is>
          <t>ing_iron_filings.png</t>
        </is>
      </c>
      <c r="F239" s="28" t="inlineStr">
        <is>
          <t>To do</t>
        </is>
      </c>
      <c r="G239" s="27" t="n"/>
      <c r="H239" s="34" t="inlineStr">
        <is>
          <t>heavy grey dust</t>
        </is>
      </c>
    </row>
    <row r="240" ht="15" customHeight="1" s="18">
      <c r="A240" s="27" t="inlineStr">
        <is>
          <t>Iron nail</t>
        </is>
      </c>
      <c r="B240" s="27" t="inlineStr">
        <is>
          <t>Findings &amp; tools</t>
        </is>
      </c>
      <c r="C240" s="27" t="inlineStr">
        <is>
          <t>Right · Findings</t>
        </is>
      </c>
      <c r="D240" s="27">
        <f>COUNTIF('Recipe Usage'!$D$2:$D$1114,A240)</f>
        <v/>
      </c>
      <c r="E240" s="27" t="inlineStr">
        <is>
          <t>ing_iron_nail.png</t>
        </is>
      </c>
      <c r="F240" s="28" t="inlineStr">
        <is>
          <t>To do</t>
        </is>
      </c>
      <c r="G240" s="27" t="n"/>
      <c r="H240" s="34" t="inlineStr">
        <is>
          <t>long, dark and metal</t>
        </is>
      </c>
    </row>
    <row r="241" ht="15" customHeight="1" s="18">
      <c r="A241" s="27" t="inlineStr">
        <is>
          <t>Iron pin</t>
        </is>
      </c>
      <c r="B241" s="27" t="inlineStr">
        <is>
          <t>Findings &amp; tools</t>
        </is>
      </c>
      <c r="C241" s="27" t="inlineStr">
        <is>
          <t>Right · Findings</t>
        </is>
      </c>
      <c r="D241" s="27">
        <f>COUNTIF('Recipe Usage'!$D$2:$D$1114,A241)</f>
        <v/>
      </c>
      <c r="E241" s="27" t="inlineStr">
        <is>
          <t>ing_iron_pin.png</t>
        </is>
      </c>
      <c r="F241" s="28" t="inlineStr">
        <is>
          <t>To do</t>
        </is>
      </c>
      <c r="G241" s="27" t="n"/>
      <c r="H241" s="34" t="inlineStr">
        <is>
          <t>thin, dark and pointed</t>
        </is>
      </c>
    </row>
    <row r="242" ht="15" customHeight="1" s="18">
      <c r="A242" s="27" t="inlineStr">
        <is>
          <t>Locket</t>
        </is>
      </c>
      <c r="B242" s="27" t="inlineStr">
        <is>
          <t>Findings &amp; tools</t>
        </is>
      </c>
      <c r="C242" s="27" t="inlineStr">
        <is>
          <t>Right · Findings</t>
        </is>
      </c>
      <c r="D242" s="27">
        <f>COUNTIF('Recipe Usage'!$D$2:$D$1114,A242)</f>
        <v/>
      </c>
      <c r="E242" s="27" t="inlineStr">
        <is>
          <t>ing_locket.png</t>
        </is>
      </c>
      <c r="F242" s="28" t="inlineStr">
        <is>
          <t>To do</t>
        </is>
      </c>
      <c r="G242" s="27" t="n"/>
      <c r="H242" s="34" t="inlineStr">
        <is>
          <t>small, hinged, on a chain</t>
        </is>
      </c>
    </row>
    <row r="243" ht="15" customHeight="1" s="18">
      <c r="A243" s="27" t="inlineStr">
        <is>
          <t>Paintbrush bristle</t>
        </is>
      </c>
      <c r="B243" s="27" t="inlineStr">
        <is>
          <t>Findings &amp; tools</t>
        </is>
      </c>
      <c r="C243" s="27" t="inlineStr">
        <is>
          <t>Right · Findings</t>
        </is>
      </c>
      <c r="D243" s="27">
        <f>COUNTIF('Recipe Usage'!$D$2:$D$1114,A243)</f>
        <v/>
      </c>
      <c r="E243" s="27" t="inlineStr">
        <is>
          <t>ing_paintbrush_bristle.png</t>
        </is>
      </c>
      <c r="F243" s="28" t="inlineStr">
        <is>
          <t>To do</t>
        </is>
      </c>
      <c r="G243" s="27" t="n"/>
      <c r="H243" s="34" t="inlineStr">
        <is>
          <t>a few fine bristles</t>
        </is>
      </c>
    </row>
    <row r="244" ht="15" customHeight="1" s="18">
      <c r="A244" s="27" t="inlineStr">
        <is>
          <t>Paper</t>
        </is>
      </c>
      <c r="B244" s="27" t="inlineStr">
        <is>
          <t>Findings &amp; tools</t>
        </is>
      </c>
      <c r="C244" s="27" t="inlineStr">
        <is>
          <t>Right · Findings</t>
        </is>
      </c>
      <c r="D244" s="27">
        <f>COUNTIF('Recipe Usage'!$D$2:$D$1114,A244)</f>
        <v/>
      </c>
      <c r="E244" s="27" t="inlineStr">
        <is>
          <t>ing_paper.png</t>
        </is>
      </c>
      <c r="F244" s="28" t="inlineStr">
        <is>
          <t>To do</t>
        </is>
      </c>
      <c r="G244" s="27" t="n"/>
      <c r="H244" s="34" t="inlineStr">
        <is>
          <t>plain and flat</t>
        </is>
      </c>
    </row>
    <row r="245" ht="15" customHeight="1" s="18">
      <c r="A245" s="27" t="inlineStr">
        <is>
          <t>Quill</t>
        </is>
      </c>
      <c r="B245" s="27" t="inlineStr">
        <is>
          <t>Findings &amp; tools</t>
        </is>
      </c>
      <c r="C245" s="27" t="inlineStr">
        <is>
          <t>Right · Findings</t>
        </is>
      </c>
      <c r="D245" s="27">
        <f>COUNTIF('Recipe Usage'!$D$2:$D$1114,A245)</f>
        <v/>
      </c>
      <c r="E245" s="27" t="inlineStr">
        <is>
          <t>ing_quill.png</t>
        </is>
      </c>
      <c r="F245" s="28" t="inlineStr">
        <is>
          <t>To do</t>
        </is>
      </c>
      <c r="G245" s="27" t="n"/>
      <c r="H245" s="34" t="inlineStr">
        <is>
          <t>a long feather cut to a nib</t>
        </is>
      </c>
    </row>
    <row r="246" ht="15" customHeight="1" s="18">
      <c r="A246" s="27" t="inlineStr">
        <is>
          <t>Silver bead</t>
        </is>
      </c>
      <c r="B246" s="27" t="inlineStr">
        <is>
          <t>Findings &amp; tools</t>
        </is>
      </c>
      <c r="C246" s="27" t="inlineStr">
        <is>
          <t>Right · Findings</t>
        </is>
      </c>
      <c r="D246" s="27">
        <f>COUNTIF('Recipe Usage'!$D$2:$D$1114,A246)</f>
        <v/>
      </c>
      <c r="E246" s="27" t="inlineStr">
        <is>
          <t>ing_silver_bead.png</t>
        </is>
      </c>
      <c r="F246" s="28" t="inlineStr">
        <is>
          <t>To do</t>
        </is>
      </c>
      <c r="G246" s="27" t="n"/>
      <c r="H246" s="34" t="inlineStr">
        <is>
          <t>small, round and silver</t>
        </is>
      </c>
    </row>
    <row r="247" ht="15" customHeight="1" s="18">
      <c r="A247" s="27" t="inlineStr">
        <is>
          <t>Small key</t>
        </is>
      </c>
      <c r="B247" s="27" t="inlineStr">
        <is>
          <t>Findings &amp; tools</t>
        </is>
      </c>
      <c r="C247" s="27" t="inlineStr">
        <is>
          <t>Right · Findings</t>
        </is>
      </c>
      <c r="D247" s="27">
        <f>COUNTIF('Recipe Usage'!$D$2:$D$1114,A247)</f>
        <v/>
      </c>
      <c r="E247" s="27" t="inlineStr">
        <is>
          <t>ing_small_key.png</t>
        </is>
      </c>
      <c r="F247" s="28" t="inlineStr">
        <is>
          <t>To do</t>
        </is>
      </c>
      <c r="G247" s="27" t="n"/>
      <c r="H247" s="34" t="inlineStr">
        <is>
          <t>small and metal, with teeth</t>
        </is>
      </c>
    </row>
    <row r="248" ht="15" customHeight="1" s="18">
      <c r="A248" s="27" t="inlineStr">
        <is>
          <t>Teacup charm</t>
        </is>
      </c>
      <c r="B248" s="27" t="inlineStr">
        <is>
          <t>Findings &amp; tools</t>
        </is>
      </c>
      <c r="C248" s="27" t="inlineStr">
        <is>
          <t>Right · Findings</t>
        </is>
      </c>
      <c r="D248" s="27">
        <f>COUNTIF('Recipe Usage'!$D$2:$D$1114,A248)</f>
        <v/>
      </c>
      <c r="E248" s="27" t="inlineStr">
        <is>
          <t>ing_teacup_charm.png</t>
        </is>
      </c>
      <c r="F248" s="28" t="inlineStr">
        <is>
          <t>To do</t>
        </is>
      </c>
      <c r="G248" s="27" t="n"/>
      <c r="H248" s="34" t="inlineStr">
        <is>
          <t>tiny and teacup-shaped</t>
        </is>
      </c>
    </row>
    <row r="249" ht="15" customHeight="1" s="18">
      <c r="A249" s="27" t="inlineStr">
        <is>
          <t>Tiny bell</t>
        </is>
      </c>
      <c r="B249" s="27" t="inlineStr">
        <is>
          <t>Findings &amp; tools</t>
        </is>
      </c>
      <c r="C249" s="27" t="inlineStr">
        <is>
          <t>Right · Findings</t>
        </is>
      </c>
      <c r="D249" s="27">
        <f>COUNTIF('Recipe Usage'!$D$2:$D$1114,A249)</f>
        <v/>
      </c>
      <c r="E249" s="27" t="inlineStr">
        <is>
          <t>ing_tiny_bell.png</t>
        </is>
      </c>
      <c r="F249" s="28" t="inlineStr">
        <is>
          <t>To do</t>
        </is>
      </c>
      <c r="G249" s="27" t="n"/>
      <c r="H249" s="34" t="inlineStr">
        <is>
          <t>tiny, metal and ringing</t>
        </is>
      </c>
    </row>
    <row r="250" ht="15" customHeight="1" s="18">
      <c r="A250" s="27" t="inlineStr">
        <is>
          <t>Wax seal</t>
        </is>
      </c>
      <c r="B250" s="27" t="inlineStr">
        <is>
          <t>Findings &amp; tools</t>
        </is>
      </c>
      <c r="C250" s="27" t="inlineStr">
        <is>
          <t>Right · Findings</t>
        </is>
      </c>
      <c r="D250" s="27">
        <f>COUNTIF('Recipe Usage'!$D$2:$D$1114,A250)</f>
        <v/>
      </c>
      <c r="E250" s="27" t="inlineStr">
        <is>
          <t>ing_wax_seal.png</t>
        </is>
      </c>
      <c r="F250" s="28" t="inlineStr">
        <is>
          <t>To do</t>
        </is>
      </c>
      <c r="G250" s="27" t="n"/>
      <c r="H250" s="34" t="inlineStr">
        <is>
          <t>a round, red blob of wax</t>
        </is>
      </c>
    </row>
    <row r="251" ht="15" customHeight="1" s="18">
      <c r="A251" s="27" t="inlineStr">
        <is>
          <t>Wooden die</t>
        </is>
      </c>
      <c r="B251" s="27" t="inlineStr">
        <is>
          <t>Findings &amp; tools</t>
        </is>
      </c>
      <c r="C251" s="27" t="inlineStr">
        <is>
          <t>Right · Findings</t>
        </is>
      </c>
      <c r="D251" s="27">
        <f>COUNTIF('Recipe Usage'!$D$2:$D$1114,A251)</f>
        <v/>
      </c>
      <c r="E251" s="27" t="inlineStr">
        <is>
          <t>ing_wooden_die.png</t>
        </is>
      </c>
      <c r="F251" s="28" t="inlineStr">
        <is>
          <t>To do</t>
        </is>
      </c>
      <c r="G251" s="27" t="n"/>
      <c r="H251" s="34" t="inlineStr">
        <is>
          <t>small, wooden and dotted</t>
        </is>
      </c>
    </row>
    <row r="252" ht="15" customHeight="1" s="18">
      <c r="A252" s="27" t="inlineStr">
        <is>
          <t>Black ink</t>
        </is>
      </c>
      <c r="B252" s="27" t="inlineStr">
        <is>
          <t>Inks &amp; paints</t>
        </is>
      </c>
      <c r="C252" s="27" t="inlineStr">
        <is>
          <t>Right · Findings</t>
        </is>
      </c>
      <c r="D252" s="27">
        <f>COUNTIF('Recipe Usage'!$D$2:$D$1114,A252)</f>
        <v/>
      </c>
      <c r="E252" s="27" t="inlineStr">
        <is>
          <t>ing_black_ink.png</t>
        </is>
      </c>
      <c r="F252" s="28" t="inlineStr">
        <is>
          <t>To do</t>
        </is>
      </c>
      <c r="G252" s="27" t="n"/>
      <c r="H252" s="34" t="inlineStr">
        <is>
          <t>black and wet</t>
        </is>
      </c>
    </row>
    <row r="253" ht="15" customHeight="1" s="18">
      <c r="A253" s="27" t="inlineStr">
        <is>
          <t>Gold ink</t>
        </is>
      </c>
      <c r="B253" s="27" t="inlineStr">
        <is>
          <t>Inks &amp; paints</t>
        </is>
      </c>
      <c r="C253" s="27" t="inlineStr">
        <is>
          <t>Right · Findings</t>
        </is>
      </c>
      <c r="D253" s="27">
        <f>COUNTIF('Recipe Usage'!$D$2:$D$1114,A253)</f>
        <v/>
      </c>
      <c r="E253" s="27" t="inlineStr">
        <is>
          <t>ing_gold_ink.png</t>
        </is>
      </c>
      <c r="F253" s="28" t="inlineStr">
        <is>
          <t>To do</t>
        </is>
      </c>
      <c r="G253" s="27" t="n"/>
      <c r="H253" s="34" t="inlineStr">
        <is>
          <t>shimmering gold and wet</t>
        </is>
      </c>
    </row>
    <row r="254" ht="15" customHeight="1" s="18">
      <c r="A254" s="27" t="inlineStr">
        <is>
          <t>Ink</t>
        </is>
      </c>
      <c r="B254" s="27" t="inlineStr">
        <is>
          <t>Inks &amp; paints</t>
        </is>
      </c>
      <c r="C254" s="27" t="inlineStr">
        <is>
          <t>Right · Findings</t>
        </is>
      </c>
      <c r="D254" s="27">
        <f>COUNTIF('Recipe Usage'!$D$2:$D$1114,A254)</f>
        <v/>
      </c>
      <c r="E254" s="27" t="inlineStr">
        <is>
          <t>ing_ink.png</t>
        </is>
      </c>
      <c r="F254" s="28" t="inlineStr">
        <is>
          <t>To do</t>
        </is>
      </c>
      <c r="G254" s="27" t="n"/>
      <c r="H254" s="34" t="inlineStr">
        <is>
          <t>dark and wet</t>
        </is>
      </c>
    </row>
    <row r="255" ht="15" customHeight="1" s="18">
      <c r="A255" s="27" t="inlineStr">
        <is>
          <t>Red ink</t>
        </is>
      </c>
      <c r="B255" s="27" t="inlineStr">
        <is>
          <t>Inks &amp; paints</t>
        </is>
      </c>
      <c r="C255" s="27" t="inlineStr">
        <is>
          <t>Right · Findings</t>
        </is>
      </c>
      <c r="D255" s="27">
        <f>COUNTIF('Recipe Usage'!$D$2:$D$1114,A255)</f>
        <v/>
      </c>
      <c r="E255" s="27" t="inlineStr">
        <is>
          <t>ing_red_ink.png</t>
        </is>
      </c>
      <c r="F255" s="28" t="inlineStr">
        <is>
          <t>To do</t>
        </is>
      </c>
      <c r="G255" s="27" t="n"/>
      <c r="H255" s="34" t="inlineStr">
        <is>
          <t>red and wet</t>
        </is>
      </c>
    </row>
    <row r="256" ht="15" customHeight="1" s="18">
      <c r="A256" s="27" t="inlineStr">
        <is>
          <t>Silver ink</t>
        </is>
      </c>
      <c r="B256" s="27" t="inlineStr">
        <is>
          <t>Inks &amp; paints</t>
        </is>
      </c>
      <c r="C256" s="27" t="inlineStr">
        <is>
          <t>Right · Findings</t>
        </is>
      </c>
      <c r="D256" s="27">
        <f>COUNTIF('Recipe Usage'!$D$2:$D$1114,A256)</f>
        <v/>
      </c>
      <c r="E256" s="27" t="inlineStr">
        <is>
          <t>ing_silver_ink.png</t>
        </is>
      </c>
      <c r="F256" s="28" t="inlineStr">
        <is>
          <t>To do</t>
        </is>
      </c>
      <c r="G256" s="27" t="n"/>
      <c r="H256" s="34" t="inlineStr">
        <is>
          <t>shimmering silver and wet</t>
        </is>
      </c>
    </row>
    <row r="257" ht="15" customHeight="1" s="18">
      <c r="A257" s="27" t="inlineStr">
        <is>
          <t>Violet ink</t>
        </is>
      </c>
      <c r="B257" s="27" t="inlineStr">
        <is>
          <t>Inks &amp; paints</t>
        </is>
      </c>
      <c r="C257" s="27" t="inlineStr">
        <is>
          <t>Right · Findings</t>
        </is>
      </c>
      <c r="D257" s="27">
        <f>COUNTIF('Recipe Usage'!$D$2:$D$1114,A257)</f>
        <v/>
      </c>
      <c r="E257" s="27" t="inlineStr">
        <is>
          <t>ing_violet_ink.png</t>
        </is>
      </c>
      <c r="F257" s="28" t="inlineStr">
        <is>
          <t>To do</t>
        </is>
      </c>
      <c r="G257" s="27" t="n"/>
      <c r="H257" s="34" t="inlineStr">
        <is>
          <t>purple and wet</t>
        </is>
      </c>
    </row>
    <row r="258" ht="15" customHeight="1" s="18">
      <c r="A258" s="27" t="inlineStr">
        <is>
          <t>Gold paint</t>
        </is>
      </c>
      <c r="B258" s="27" t="inlineStr">
        <is>
          <t>Inks &amp; paints</t>
        </is>
      </c>
      <c r="C258" s="27" t="inlineStr">
        <is>
          <t>Right · Findings</t>
        </is>
      </c>
      <c r="D258" s="27">
        <f>COUNTIF('Recipe Usage'!$D$2:$D$1114,A258)</f>
        <v/>
      </c>
      <c r="E258" s="27" t="inlineStr">
        <is>
          <t>ing_gold_paint.png</t>
        </is>
      </c>
      <c r="F258" s="28" t="inlineStr">
        <is>
          <t>To do</t>
        </is>
      </c>
      <c r="G258" s="27" t="n"/>
      <c r="H258" s="34" t="inlineStr">
        <is>
          <t>thick and gold</t>
        </is>
      </c>
    </row>
    <row r="259" ht="15" customHeight="1" s="18">
      <c r="A259" s="27" t="inlineStr">
        <is>
          <t>Red paint</t>
        </is>
      </c>
      <c r="B259" s="27" t="inlineStr">
        <is>
          <t>Inks &amp; paints</t>
        </is>
      </c>
      <c r="C259" s="27" t="inlineStr">
        <is>
          <t>Right · Findings</t>
        </is>
      </c>
      <c r="D259" s="27">
        <f>COUNTIF('Recipe Usage'!$D$2:$D$1114,A259)</f>
        <v/>
      </c>
      <c r="E259" s="27" t="inlineStr">
        <is>
          <t>ing_red_paint.png</t>
        </is>
      </c>
      <c r="F259" s="28" t="inlineStr">
        <is>
          <t>To do</t>
        </is>
      </c>
      <c r="G259" s="27" t="n"/>
      <c r="H259" s="34" t="inlineStr">
        <is>
          <t>thick and red</t>
        </is>
      </c>
    </row>
    <row r="260" ht="15" customHeight="1" s="18"/>
    <row r="261" ht="15" customHeight="1" s="18"/>
  </sheetData>
  <autoFilter ref="A1:G259"/>
  <dataValidations count="1">
    <dataValidation sqref="F2:F259" showDropDown="0" showInputMessage="0" showErrorMessage="0" allowBlank="1" type="list" errorStyle="stop" operator="between">
      <formula1>"To do,Sketch,In progress,Done"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25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17" min="1" max="1"/>
    <col width="22" customWidth="1" style="17" min="2" max="2"/>
    <col width="30" customWidth="1" style="17" min="3" max="3"/>
    <col width="9" customWidth="1" style="17" min="4" max="4"/>
    <col width="10" customWidth="1" style="17" min="5" max="5"/>
    <col width="48" customWidth="1" style="17" min="6" max="6"/>
    <col width="12" customWidth="1" style="17" min="7" max="7"/>
    <col width="9" customWidth="1" style="17" min="8" max="8"/>
    <col width="44" customWidth="1" style="17" min="9" max="9"/>
    <col hidden="1" width="30" customWidth="1" style="17" min="10" max="11"/>
    <col hidden="1" width="13" customWidth="1" style="17" min="12" max="12"/>
  </cols>
  <sheetData>
    <row r="1" ht="15" customHeight="1" s="18">
      <c r="A1" s="21" t="inlineStr">
        <is>
          <t>Ingredient</t>
        </is>
      </c>
      <c r="B1" s="21" t="inlineStr">
        <is>
          <t>Category</t>
        </is>
      </c>
      <c r="C1" s="21" t="inlineStr">
        <is>
          <t>Properties</t>
        </is>
      </c>
      <c r="D1" s="21" t="inlineStr">
        <is>
          <t>Target</t>
        </is>
      </c>
      <c r="E1" s="21" t="inlineStr">
        <is>
          <t>Strength</t>
        </is>
      </c>
      <c r="F1" s="21" t="inlineStr">
        <is>
          <t>Book line</t>
        </is>
      </c>
      <c r="G1" s="21" t="inlineStr">
        <is>
          <t>Same feel as # others</t>
        </is>
      </c>
      <c r="H1" s="21" t="inlineStr">
        <is>
          <t>Check</t>
        </is>
      </c>
      <c r="I1" s="21" t="inlineStr">
        <is>
          <t>Why / note</t>
        </is>
      </c>
      <c r="J1" s="21" t="inlineStr">
        <is>
          <t>Key (helper)</t>
        </is>
      </c>
      <c r="K1" s="21" t="inlineStr">
        <is>
          <t>Sorted props (helper)</t>
        </is>
      </c>
      <c r="L1" s="21" t="inlineStr">
        <is>
          <t>Props padded (helper)</t>
        </is>
      </c>
    </row>
    <row r="2" ht="23.25" customHeight="1" s="18">
      <c r="A2" s="29" t="inlineStr">
        <is>
          <t>Moonwater</t>
        </is>
      </c>
      <c r="B2" s="29" t="inlineStr">
        <is>
          <t>Base waters</t>
        </is>
      </c>
      <c r="C2" s="30" t="inlineStr">
        <is>
          <t>intuition, dreams, release, calm</t>
        </is>
      </c>
      <c r="D2" s="31" t="inlineStr">
        <is>
          <t>Mind</t>
        </is>
      </c>
      <c r="E2" s="31" t="inlineStr">
        <is>
          <t>Gentle</t>
        </is>
      </c>
      <c r="F2" s="30" t="inlineStr">
        <is>
          <t>Drink it by the window before bed. It loosens what the day left behind and carries you somewhere far.</t>
        </is>
      </c>
      <c r="G2" s="29">
        <f>IF(OR(D2="—",D2="",K2=""),"",COUNTIF($J$2:$J$259,J2)-1)</f>
        <v/>
      </c>
      <c r="H2" s="31" t="n"/>
      <c r="I2" s="30" t="n"/>
      <c r="J2" s="22">
        <f>K2&amp;"|"&amp;D2&amp;"|"&amp;E2</f>
        <v/>
      </c>
      <c r="K2" s="22" t="inlineStr">
        <is>
          <t>calm,dreams,intuition,release</t>
        </is>
      </c>
      <c r="L2" s="22">
        <f>", "&amp;C2&amp;", "</f>
        <v/>
      </c>
    </row>
    <row r="3" ht="23.25" customHeight="1" s="18">
      <c r="A3" s="29" t="inlineStr">
        <is>
          <t>Sunwater</t>
        </is>
      </c>
      <c r="B3" s="29" t="inlineStr">
        <is>
          <t>Base waters</t>
        </is>
      </c>
      <c r="C3" s="30" t="inlineStr">
        <is>
          <t>confidence, success, energy, joy, courage</t>
        </is>
      </c>
      <c r="D3" s="31" t="inlineStr">
        <is>
          <t>Mind</t>
        </is>
      </c>
      <c r="E3" s="31" t="inlineStr">
        <is>
          <t>Strong</t>
        </is>
      </c>
      <c r="F3" s="30" t="inlineStr">
        <is>
          <t>Bright and bold. Pours nerve straight into the heart.</t>
        </is>
      </c>
      <c r="G3" s="29">
        <f>IF(OR(D3="—",D3="",K3=""),"",COUNTIF($J$2:$J$259,J3)-1)</f>
        <v/>
      </c>
      <c r="H3" s="31" t="n"/>
      <c r="I3" s="30" t="n"/>
      <c r="J3" s="22">
        <f>K3&amp;"|"&amp;D3&amp;"|"&amp;E3</f>
        <v/>
      </c>
      <c r="K3" s="22" t="inlineStr">
        <is>
          <t>confidence,courage,energy,joy,success</t>
        </is>
      </c>
      <c r="L3" s="22">
        <f>", "&amp;C3&amp;", "</f>
        <v/>
      </c>
    </row>
    <row r="4" ht="23.25" customHeight="1" s="18">
      <c r="A4" s="29" t="inlineStr">
        <is>
          <t>Rainwater</t>
        </is>
      </c>
      <c r="B4" s="29" t="inlineStr">
        <is>
          <t>Base waters</t>
        </is>
      </c>
      <c r="C4" s="30" t="inlineStr">
        <is>
          <t>cleansing, healing, growth</t>
        </is>
      </c>
      <c r="D4" s="31" t="inlineStr">
        <is>
          <t>Body</t>
        </is>
      </c>
      <c r="E4" s="31" t="inlineStr">
        <is>
          <t>Gentle</t>
        </is>
      </c>
      <c r="F4" s="30" t="inlineStr">
        <is>
          <t>Washes and mends gently. Good for tired bodies and new shoots.</t>
        </is>
      </c>
      <c r="G4" s="29">
        <f>IF(OR(D4="—",D4="",K4=""),"",COUNTIF($J$2:$J$259,J4)-1)</f>
        <v/>
      </c>
      <c r="H4" s="31" t="n"/>
      <c r="I4" s="30" t="n"/>
      <c r="J4" s="22">
        <f>K4&amp;"|"&amp;D4&amp;"|"&amp;E4</f>
        <v/>
      </c>
      <c r="K4" s="22" t="inlineStr">
        <is>
          <t>cleansing,growth,healing</t>
        </is>
      </c>
      <c r="L4" s="22">
        <f>", "&amp;C4&amp;", "</f>
        <v/>
      </c>
    </row>
    <row r="5" ht="15" customHeight="1" s="18">
      <c r="A5" s="29" t="inlineStr">
        <is>
          <t>Dawn dew</t>
        </is>
      </c>
      <c r="B5" s="29" t="inlineStr">
        <is>
          <t>Base waters</t>
        </is>
      </c>
      <c r="C5" s="30" t="inlineStr">
        <is>
          <t>beauty, beginnings, wonder</t>
        </is>
      </c>
      <c r="D5" s="31" t="inlineStr">
        <is>
          <t>Body</t>
        </is>
      </c>
      <c r="E5" s="31" t="inlineStr">
        <is>
          <t>Gentle</t>
        </is>
      </c>
      <c r="F5" s="30" t="inlineStr">
        <is>
          <t>A morning touch for the skin, and for starting fresh.</t>
        </is>
      </c>
      <c r="G5" s="29">
        <f>IF(OR(D5="—",D5="",K5=""),"",COUNTIF($J$2:$J$259,J5)-1)</f>
        <v/>
      </c>
      <c r="H5" s="31" t="n"/>
      <c r="I5" s="30" t="n"/>
      <c r="J5" s="22">
        <f>K5&amp;"|"&amp;D5&amp;"|"&amp;E5</f>
        <v/>
      </c>
      <c r="K5" s="22" t="inlineStr">
        <is>
          <t>beauty,beginnings,wonder</t>
        </is>
      </c>
      <c r="L5" s="22">
        <f>", "&amp;C5&amp;", "</f>
        <v/>
      </c>
    </row>
    <row r="6" ht="23.25" customHeight="1" s="18">
      <c r="A6" s="29" t="inlineStr">
        <is>
          <t>Sea Water</t>
        </is>
      </c>
      <c r="B6" s="29" t="inlineStr">
        <is>
          <t>Base waters</t>
        </is>
      </c>
      <c r="C6" s="30" t="inlineStr">
        <is>
          <t>release, connection</t>
        </is>
      </c>
      <c r="D6" s="31" t="inlineStr">
        <is>
          <t>Space</t>
        </is>
      </c>
      <c r="E6" s="31" t="inlineStr">
        <is>
          <t>Strong</t>
        </is>
      </c>
      <c r="F6" s="30" t="inlineStr">
        <is>
          <t>Tide and salt. Carries things far away, and it is not gentle about it.</t>
        </is>
      </c>
      <c r="G6" s="29">
        <f>IF(OR(D6="—",D6="",K6=""),"",COUNTIF($J$2:$J$259,J6)-1)</f>
        <v/>
      </c>
      <c r="H6" s="31" t="n"/>
      <c r="I6" s="30" t="n"/>
      <c r="J6" s="22">
        <f>K6&amp;"|"&amp;D6&amp;"|"&amp;E6</f>
        <v/>
      </c>
      <c r="K6" s="22" t="inlineStr">
        <is>
          <t>connection,release</t>
        </is>
      </c>
      <c r="L6" s="22">
        <f>", "&amp;C6&amp;", "</f>
        <v/>
      </c>
    </row>
    <row r="7" ht="15" customHeight="1" s="18">
      <c r="A7" s="29" t="inlineStr">
        <is>
          <t>Spring water</t>
        </is>
      </c>
      <c r="B7" s="29" t="inlineStr">
        <is>
          <t>Base waters</t>
        </is>
      </c>
      <c r="C7" s="30" t="n"/>
      <c r="D7" s="31" t="inlineStr">
        <is>
          <t>—</t>
        </is>
      </c>
      <c r="E7" s="31" t="inlineStr">
        <is>
          <t>—</t>
        </is>
      </c>
      <c r="F7" s="30" t="inlineStr">
        <is>
          <t>Base for Potion, Tonic, Water.</t>
        </is>
      </c>
      <c r="G7" s="29">
        <f>IF(OR(D7="—",D7="",K7=""),"",COUNTIF($J$2:$J$259,J7)-1)</f>
        <v/>
      </c>
      <c r="H7" s="31" t="n"/>
      <c r="I7" s="30" t="n"/>
      <c r="J7" s="22">
        <f>K7&amp;"|"&amp;D7&amp;"|"&amp;E7</f>
        <v/>
      </c>
      <c r="K7" s="22" t="n"/>
      <c r="L7" s="22">
        <f>", "&amp;C7&amp;", "</f>
        <v/>
      </c>
    </row>
    <row r="8" ht="15" customHeight="1" s="18">
      <c r="A8" s="29" t="inlineStr">
        <is>
          <t>Rosewater</t>
        </is>
      </c>
      <c r="B8" s="29" t="inlineStr">
        <is>
          <t>Base waters</t>
        </is>
      </c>
      <c r="C8" s="30" t="inlineStr">
        <is>
          <t>love, beauty, self-love, confidence</t>
        </is>
      </c>
      <c r="D8" s="31" t="inlineStr">
        <is>
          <t>Mind</t>
        </is>
      </c>
      <c r="E8" s="31" t="inlineStr">
        <is>
          <t>Gentle</t>
        </is>
      </c>
      <c r="F8" s="30" t="inlineStr">
        <is>
          <t>A splash on the face before the mirror, to be kinder to whoever looks back.</t>
        </is>
      </c>
      <c r="G8" s="29">
        <f>IF(OR(D8="—",D8="",K8=""),"",COUNTIF($J$2:$J$259,J8)-1)</f>
        <v/>
      </c>
      <c r="H8" s="31" t="n"/>
      <c r="I8" s="30" t="n"/>
      <c r="J8" s="22">
        <f>K8&amp;"|"&amp;D8&amp;"|"&amp;E8</f>
        <v/>
      </c>
      <c r="K8" s="22" t="inlineStr">
        <is>
          <t>beauty,confidence,love,self-love</t>
        </is>
      </c>
      <c r="L8" s="22">
        <f>", "&amp;C8&amp;", "</f>
        <v/>
      </c>
    </row>
    <row r="9" ht="15" customHeight="1" s="18">
      <c r="A9" s="29" t="inlineStr">
        <is>
          <t>New Moon Water</t>
        </is>
      </c>
      <c r="B9" s="29" t="inlineStr">
        <is>
          <t>Base waters</t>
        </is>
      </c>
      <c r="C9" s="30" t="inlineStr">
        <is>
          <t>beginnings, intuition, growth</t>
        </is>
      </c>
      <c r="D9" s="31" t="inlineStr">
        <is>
          <t>Mind</t>
        </is>
      </c>
      <c r="E9" s="31" t="inlineStr">
        <is>
          <t>Gentle</t>
        </is>
      </c>
      <c r="F9" s="30" t="inlineStr">
        <is>
          <t>For a plan you haven't told anyone about yet.</t>
        </is>
      </c>
      <c r="G9" s="29">
        <f>IF(OR(D9="—",D9="",K9=""),"",COUNTIF($J$2:$J$259,J9)-1)</f>
        <v/>
      </c>
      <c r="H9" s="31" t="n"/>
      <c r="I9" s="30" t="n"/>
      <c r="J9" s="22">
        <f>K9&amp;"|"&amp;D9&amp;"|"&amp;E9</f>
        <v/>
      </c>
      <c r="K9" s="22" t="inlineStr">
        <is>
          <t>beginnings,growth,intuition</t>
        </is>
      </c>
      <c r="L9" s="22">
        <f>", "&amp;C9&amp;", "</f>
        <v/>
      </c>
    </row>
    <row r="10" ht="15" customHeight="1" s="18">
      <c r="A10" s="29" t="inlineStr">
        <is>
          <t>Web Dew</t>
        </is>
      </c>
      <c r="B10" s="29" t="inlineStr">
        <is>
          <t>Base waters</t>
        </is>
      </c>
      <c r="C10" s="30" t="inlineStr">
        <is>
          <t>connection, attraction, wonder</t>
        </is>
      </c>
      <c r="D10" s="31" t="inlineStr">
        <is>
          <t>Space</t>
        </is>
      </c>
      <c r="E10" s="31" t="inlineStr">
        <is>
          <t>Gentle</t>
        </is>
      </c>
      <c r="F10" s="30" t="inlineStr">
        <is>
          <t>Strung between things. It ties one person to another.</t>
        </is>
      </c>
      <c r="G10" s="29">
        <f>IF(OR(D10="—",D10="",K10=""),"",COUNTIF($J$2:$J$259,J10)-1)</f>
        <v/>
      </c>
      <c r="H10" s="31" t="n"/>
      <c r="I10" s="30" t="n"/>
      <c r="J10" s="22">
        <f>K10&amp;"|"&amp;D10&amp;"|"&amp;E10</f>
        <v/>
      </c>
      <c r="K10" s="22" t="inlineStr">
        <is>
          <t>attraction,connection,wonder</t>
        </is>
      </c>
      <c r="L10" s="22">
        <f>", "&amp;C10&amp;", "</f>
        <v/>
      </c>
    </row>
    <row r="11" ht="15" customHeight="1" s="18">
      <c r="A11" s="29" t="inlineStr">
        <is>
          <t>Snow Water</t>
        </is>
      </c>
      <c r="B11" s="29" t="inlineStr">
        <is>
          <t>Base waters</t>
        </is>
      </c>
      <c r="C11" s="30" t="inlineStr">
        <is>
          <t>rest, calm, cleansing</t>
        </is>
      </c>
      <c r="D11" s="31" t="inlineStr">
        <is>
          <t>Body</t>
        </is>
      </c>
      <c r="E11" s="31" t="inlineStr">
        <is>
          <t>Gentle</t>
        </is>
      </c>
      <c r="F11" s="30" t="inlineStr">
        <is>
          <t>Hushes the body, like a house after snowfall.</t>
        </is>
      </c>
      <c r="G11" s="29">
        <f>IF(OR(D11="—",D11="",K11=""),"",COUNTIF($J$2:$J$259,J11)-1)</f>
        <v/>
      </c>
      <c r="H11" s="31" t="n"/>
      <c r="I11" s="30" t="n"/>
      <c r="J11" s="22">
        <f>K11&amp;"|"&amp;D11&amp;"|"&amp;E11</f>
        <v/>
      </c>
      <c r="K11" s="22" t="inlineStr">
        <is>
          <t>calm,cleansing,rest</t>
        </is>
      </c>
      <c r="L11" s="22">
        <f>", "&amp;C11&amp;", "</f>
        <v/>
      </c>
    </row>
    <row r="12" ht="15" customHeight="1" s="18">
      <c r="A12" s="29" t="inlineStr">
        <is>
          <t>Storm Water</t>
        </is>
      </c>
      <c r="B12" s="29" t="inlineStr">
        <is>
          <t>Base waters</t>
        </is>
      </c>
      <c r="C12" s="30" t="inlineStr">
        <is>
          <t>energy, creativity</t>
        </is>
      </c>
      <c r="D12" s="31" t="inlineStr">
        <is>
          <t>Mind</t>
        </is>
      </c>
      <c r="E12" s="31" t="inlineStr">
        <is>
          <t>Strong</t>
        </is>
      </c>
      <c r="F12" s="30" t="inlineStr">
        <is>
          <t>Raw, crackling force for a stuck mind.</t>
        </is>
      </c>
      <c r="G12" s="29">
        <f>IF(OR(D12="—",D12="",K12=""),"",COUNTIF($J$2:$J$259,J12)-1)</f>
        <v/>
      </c>
      <c r="H12" s="31" t="n"/>
      <c r="I12" s="30" t="n"/>
      <c r="J12" s="22">
        <f>K12&amp;"|"&amp;D12&amp;"|"&amp;E12</f>
        <v/>
      </c>
      <c r="K12" s="22" t="inlineStr">
        <is>
          <t>creativity,energy</t>
        </is>
      </c>
      <c r="L12" s="22">
        <f>", "&amp;C12&amp;", "</f>
        <v/>
      </c>
    </row>
    <row r="13" ht="15" customHeight="1" s="18">
      <c r="A13" s="29" t="inlineStr">
        <is>
          <t>Almond oil</t>
        </is>
      </c>
      <c r="B13" s="29" t="inlineStr">
        <is>
          <t>Oils, butters &amp; waxes</t>
        </is>
      </c>
      <c r="C13" s="30" t="n"/>
      <c r="D13" s="31" t="inlineStr">
        <is>
          <t>—</t>
        </is>
      </c>
      <c r="E13" s="31" t="inlineStr">
        <is>
          <t>—</t>
        </is>
      </c>
      <c r="F13" s="30" t="inlineStr">
        <is>
          <t>Base for Oil, Glamour, Balm.</t>
        </is>
      </c>
      <c r="G13" s="29">
        <f>IF(OR(D13="—",D13="",K13=""),"",COUNTIF($J$2:$J$259,J13)-1)</f>
        <v/>
      </c>
      <c r="H13" s="31" t="n"/>
      <c r="I13" s="30" t="n"/>
      <c r="J13" s="22">
        <f>K13&amp;"|"&amp;D13&amp;"|"&amp;E13</f>
        <v/>
      </c>
      <c r="K13" s="22" t="n"/>
      <c r="L13" s="22">
        <f>", "&amp;C13&amp;", "</f>
        <v/>
      </c>
    </row>
    <row r="14" ht="15" customHeight="1" s="18">
      <c r="A14" s="29" t="inlineStr">
        <is>
          <t>Jojoba oil</t>
        </is>
      </c>
      <c r="B14" s="29" t="inlineStr">
        <is>
          <t>Oils, butters &amp; waxes</t>
        </is>
      </c>
      <c r="C14" s="30" t="n"/>
      <c r="D14" s="31" t="inlineStr">
        <is>
          <t>—</t>
        </is>
      </c>
      <c r="E14" s="31" t="inlineStr">
        <is>
          <t>—</t>
        </is>
      </c>
      <c r="F14" s="30" t="inlineStr">
        <is>
          <t>Base for Oil, Glamour.</t>
        </is>
      </c>
      <c r="G14" s="29">
        <f>IF(OR(D14="—",D14="",K14=""),"",COUNTIF($J$2:$J$259,J14)-1)</f>
        <v/>
      </c>
      <c r="H14" s="31" t="n"/>
      <c r="I14" s="30" t="n"/>
      <c r="J14" s="22">
        <f>K14&amp;"|"&amp;D14&amp;"|"&amp;E14</f>
        <v/>
      </c>
      <c r="K14" s="22" t="n"/>
      <c r="L14" s="22">
        <f>", "&amp;C14&amp;", "</f>
        <v/>
      </c>
    </row>
    <row r="15" ht="15" customHeight="1" s="18">
      <c r="A15" s="29" t="inlineStr">
        <is>
          <t>Olive oil</t>
        </is>
      </c>
      <c r="B15" s="29" t="inlineStr">
        <is>
          <t>Oils, butters &amp; waxes</t>
        </is>
      </c>
      <c r="C15" s="30" t="n"/>
      <c r="D15" s="31" t="inlineStr">
        <is>
          <t>—</t>
        </is>
      </c>
      <c r="E15" s="31" t="inlineStr">
        <is>
          <t>—</t>
        </is>
      </c>
      <c r="F15" s="30" t="inlineStr">
        <is>
          <t>Base for Oil.</t>
        </is>
      </c>
      <c r="G15" s="29">
        <f>IF(OR(D15="—",D15="",K15=""),"",COUNTIF($J$2:$J$259,J15)-1)</f>
        <v/>
      </c>
      <c r="H15" s="31" t="n"/>
      <c r="I15" s="30" t="n"/>
      <c r="J15" s="22">
        <f>K15&amp;"|"&amp;D15&amp;"|"&amp;E15</f>
        <v/>
      </c>
      <c r="K15" s="22" t="n"/>
      <c r="L15" s="22">
        <f>", "&amp;C15&amp;", "</f>
        <v/>
      </c>
    </row>
    <row r="16" ht="15" customHeight="1" s="18">
      <c r="A16" s="29" t="inlineStr">
        <is>
          <t>Sunflower oil</t>
        </is>
      </c>
      <c r="B16" s="29" t="inlineStr">
        <is>
          <t>Oils, butters &amp; waxes</t>
        </is>
      </c>
      <c r="C16" s="30" t="n"/>
      <c r="D16" s="31" t="inlineStr">
        <is>
          <t>—</t>
        </is>
      </c>
      <c r="E16" s="31" t="inlineStr">
        <is>
          <t>—</t>
        </is>
      </c>
      <c r="F16" s="30" t="inlineStr">
        <is>
          <t>Base for Oil, Glamour.</t>
        </is>
      </c>
      <c r="G16" s="29">
        <f>IF(OR(D16="—",D16="",K16=""),"",COUNTIF($J$2:$J$259,J16)-1)</f>
        <v/>
      </c>
      <c r="H16" s="31" t="n"/>
      <c r="I16" s="30" t="n"/>
      <c r="J16" s="22">
        <f>K16&amp;"|"&amp;D16&amp;"|"&amp;E16</f>
        <v/>
      </c>
      <c r="K16" s="22" t="n"/>
      <c r="L16" s="22">
        <f>", "&amp;C16&amp;", "</f>
        <v/>
      </c>
    </row>
    <row r="17" ht="15" customHeight="1" s="18">
      <c r="A17" s="29" t="inlineStr">
        <is>
          <t>Shea butter</t>
        </is>
      </c>
      <c r="B17" s="29" t="inlineStr">
        <is>
          <t>Oils, butters &amp; waxes</t>
        </is>
      </c>
      <c r="C17" s="30" t="n"/>
      <c r="D17" s="31" t="inlineStr">
        <is>
          <t>—</t>
        </is>
      </c>
      <c r="E17" s="31" t="inlineStr">
        <is>
          <t>—</t>
        </is>
      </c>
      <c r="F17" s="30" t="inlineStr">
        <is>
          <t>Base for Balm.</t>
        </is>
      </c>
      <c r="G17" s="29">
        <f>IF(OR(D17="—",D17="",K17=""),"",COUNTIF($J$2:$J$259,J17)-1)</f>
        <v/>
      </c>
      <c r="H17" s="31" t="n"/>
      <c r="I17" s="30" t="n"/>
      <c r="J17" s="22">
        <f>K17&amp;"|"&amp;D17&amp;"|"&amp;E17</f>
        <v/>
      </c>
      <c r="K17" s="22" t="n"/>
      <c r="L17" s="22">
        <f>", "&amp;C17&amp;", "</f>
        <v/>
      </c>
    </row>
    <row r="18" ht="15" customHeight="1" s="18">
      <c r="A18" s="29" t="inlineStr">
        <is>
          <t>Beeswax</t>
        </is>
      </c>
      <c r="B18" s="29" t="inlineStr">
        <is>
          <t>Oils, butters &amp; waxes</t>
        </is>
      </c>
      <c r="C18" s="30" t="n"/>
      <c r="D18" s="31" t="inlineStr">
        <is>
          <t>—</t>
        </is>
      </c>
      <c r="E18" s="31" t="inlineStr">
        <is>
          <t>—</t>
        </is>
      </c>
      <c r="F18" s="30" t="inlineStr">
        <is>
          <t>Base for Balm.</t>
        </is>
      </c>
      <c r="G18" s="29">
        <f>IF(OR(D18="—",D18="",K18=""),"",COUNTIF($J$2:$J$259,J18)-1)</f>
        <v/>
      </c>
      <c r="H18" s="31" t="n"/>
      <c r="I18" s="30" t="n"/>
      <c r="J18" s="22">
        <f>K18&amp;"|"&amp;D18&amp;"|"&amp;E18</f>
        <v/>
      </c>
      <c r="K18" s="22" t="n"/>
      <c r="L18" s="22">
        <f>", "&amp;C18&amp;", "</f>
        <v/>
      </c>
    </row>
    <row r="19" ht="15" customHeight="1" s="18">
      <c r="A19" s="29" t="inlineStr">
        <is>
          <t>Butter</t>
        </is>
      </c>
      <c r="B19" s="29" t="inlineStr">
        <is>
          <t>Oils, butters &amp; waxes</t>
        </is>
      </c>
      <c r="C19" s="30" t="n"/>
      <c r="D19" s="31" t="inlineStr">
        <is>
          <t>—</t>
        </is>
      </c>
      <c r="E19" s="31" t="inlineStr">
        <is>
          <t>—</t>
        </is>
      </c>
      <c r="F19" s="30" t="inlineStr">
        <is>
          <t>Base for Butter, Cookies.</t>
        </is>
      </c>
      <c r="G19" s="29">
        <f>IF(OR(D19="—",D19="",K19=""),"",COUNTIF($J$2:$J$259,J19)-1)</f>
        <v/>
      </c>
      <c r="H19" s="31" t="n"/>
      <c r="I19" s="30" t="n"/>
      <c r="J19" s="22">
        <f>K19&amp;"|"&amp;D19&amp;"|"&amp;E19</f>
        <v/>
      </c>
      <c r="K19" s="22" t="n"/>
      <c r="L19" s="22">
        <f>", "&amp;C19&amp;", "</f>
        <v/>
      </c>
    </row>
    <row r="20" ht="23.25" customHeight="1" s="18">
      <c r="A20" s="29" t="inlineStr">
        <is>
          <t>Angelica root</t>
        </is>
      </c>
      <c r="B20" s="29" t="inlineStr">
        <is>
          <t>Herbs &amp; flowers</t>
        </is>
      </c>
      <c r="C20" s="30" t="inlineStr">
        <is>
          <t>protection, healing, release</t>
        </is>
      </c>
      <c r="D20" s="31" t="inlineStr">
        <is>
          <t>Space</t>
        </is>
      </c>
      <c r="E20" s="31" t="inlineStr">
        <is>
          <t>Strong</t>
        </is>
      </c>
      <c r="F20" s="30" t="inlineStr">
        <is>
          <t>Guards the doorway and drives out whatever lingers. Not for skin.</t>
        </is>
      </c>
      <c r="G20" s="29">
        <f>IF(OR(D20="—",D20="",K20=""),"",COUNTIF($J$2:$J$259,J20)-1)</f>
        <v/>
      </c>
      <c r="H20" s="31" t="n"/>
      <c r="I20" s="30" t="n"/>
      <c r="J20" s="22">
        <f>K20&amp;"|"&amp;D20&amp;"|"&amp;E20</f>
        <v/>
      </c>
      <c r="K20" s="22" t="inlineStr">
        <is>
          <t>healing,protection,release</t>
        </is>
      </c>
      <c r="L20" s="22">
        <f>", "&amp;C20&amp;", "</f>
        <v/>
      </c>
    </row>
    <row r="21" ht="15" customHeight="1" s="18">
      <c r="A21" s="29" t="inlineStr">
        <is>
          <t>Basil</t>
        </is>
      </c>
      <c r="B21" s="29" t="inlineStr">
        <is>
          <t>Herbs &amp; flowers</t>
        </is>
      </c>
      <c r="C21" s="30" t="inlineStr">
        <is>
          <t>abundance, luck</t>
        </is>
      </c>
      <c r="D21" s="31" t="inlineStr">
        <is>
          <t>Space</t>
        </is>
      </c>
      <c r="E21" s="31" t="inlineStr">
        <is>
          <t>Gentle</t>
        </is>
      </c>
      <c r="F21" s="30" t="inlineStr">
        <is>
          <t>A pot on the windowsill invites plenty into the house.</t>
        </is>
      </c>
      <c r="G21" s="29">
        <f>IF(OR(D21="—",D21="",K21=""),"",COUNTIF($J$2:$J$259,J21)-1)</f>
        <v/>
      </c>
      <c r="H21" s="31" t="n"/>
      <c r="I21" s="30" t="n"/>
      <c r="J21" s="22">
        <f>K21&amp;"|"&amp;D21&amp;"|"&amp;E21</f>
        <v/>
      </c>
      <c r="K21" s="22" t="inlineStr">
        <is>
          <t>abundance,luck</t>
        </is>
      </c>
      <c r="L21" s="22">
        <f>", "&amp;C21&amp;", "</f>
        <v/>
      </c>
    </row>
    <row r="22" ht="15" customHeight="1" s="18">
      <c r="A22" s="29" t="inlineStr">
        <is>
          <t>Bay leaf</t>
        </is>
      </c>
      <c r="B22" s="29" t="inlineStr">
        <is>
          <t>Herbs &amp; flowers</t>
        </is>
      </c>
      <c r="C22" s="30" t="inlineStr">
        <is>
          <t>success, protection, luck, release</t>
        </is>
      </c>
      <c r="D22" s="31" t="inlineStr">
        <is>
          <t>Space</t>
        </is>
      </c>
      <c r="E22" s="31" t="inlineStr">
        <is>
          <t>Strong</t>
        </is>
      </c>
      <c r="F22" s="30" t="inlineStr">
        <is>
          <t>Write on it and burn it: wins, wards and send-offs.</t>
        </is>
      </c>
      <c r="G22" s="29">
        <f>IF(OR(D22="—",D22="",K22=""),"",COUNTIF($J$2:$J$259,J22)-1)</f>
        <v/>
      </c>
      <c r="H22" s="31" t="n"/>
      <c r="I22" s="30" t="n"/>
      <c r="J22" s="22">
        <f>K22&amp;"|"&amp;D22&amp;"|"&amp;E22</f>
        <v/>
      </c>
      <c r="K22" s="22" t="inlineStr">
        <is>
          <t>luck,protection,release,success</t>
        </is>
      </c>
      <c r="L22" s="22">
        <f>", "&amp;C22&amp;", "</f>
        <v/>
      </c>
    </row>
    <row r="23" ht="23.25" customHeight="1" s="18">
      <c r="A23" s="29" t="inlineStr">
        <is>
          <t>Calendula</t>
        </is>
      </c>
      <c r="B23" s="29" t="inlineStr">
        <is>
          <t>Herbs &amp; flowers</t>
        </is>
      </c>
      <c r="C23" s="30" t="inlineStr">
        <is>
          <t>healing, joy, confidence</t>
        </is>
      </c>
      <c r="D23" s="31" t="inlineStr">
        <is>
          <t>Body</t>
        </is>
      </c>
      <c r="E23" s="31" t="inlineStr">
        <is>
          <t>Gentle</t>
        </is>
      </c>
      <c r="F23" s="30" t="inlineStr">
        <is>
          <t>For scraped knees and sore skin. The gentlest healer on the shelf.</t>
        </is>
      </c>
      <c r="G23" s="29">
        <f>IF(OR(D23="—",D23="",K23=""),"",COUNTIF($J$2:$J$259,J23)-1)</f>
        <v/>
      </c>
      <c r="H23" s="31" t="n"/>
      <c r="I23" s="30" t="n"/>
      <c r="J23" s="22">
        <f>K23&amp;"|"&amp;D23&amp;"|"&amp;E23</f>
        <v/>
      </c>
      <c r="K23" s="22" t="inlineStr">
        <is>
          <t>confidence,healing,joy</t>
        </is>
      </c>
      <c r="L23" s="22">
        <f>", "&amp;C23&amp;", "</f>
        <v/>
      </c>
    </row>
    <row r="24" ht="15" customHeight="1" s="18">
      <c r="A24" s="29" t="inlineStr">
        <is>
          <t>Chamomile</t>
        </is>
      </c>
      <c r="B24" s="29" t="inlineStr">
        <is>
          <t>Herbs &amp; flowers</t>
        </is>
      </c>
      <c r="C24" s="30" t="inlineStr">
        <is>
          <t>calm, comfort, sleep, healing</t>
        </is>
      </c>
      <c r="D24" s="31" t="inlineStr">
        <is>
          <t>Mind</t>
        </is>
      </c>
      <c r="E24" s="31" t="inlineStr">
        <is>
          <t>Gentle</t>
        </is>
      </c>
      <c r="F24" s="30" t="inlineStr">
        <is>
          <t>For the child who lies awake worrying. Mild as warm milk.</t>
        </is>
      </c>
      <c r="G24" s="29">
        <f>IF(OR(D24="—",D24="",K24=""),"",COUNTIF($J$2:$J$259,J24)-1)</f>
        <v/>
      </c>
      <c r="H24" s="31" t="n"/>
      <c r="I24" s="30" t="n"/>
      <c r="J24" s="22">
        <f>K24&amp;"|"&amp;D24&amp;"|"&amp;E24</f>
        <v/>
      </c>
      <c r="K24" s="22" t="inlineStr">
        <is>
          <t>calm,comfort,healing,sleep</t>
        </is>
      </c>
      <c r="L24" s="22">
        <f>", "&amp;C24&amp;", "</f>
        <v/>
      </c>
    </row>
    <row r="25" ht="15" customHeight="1" s="18">
      <c r="A25" s="29" t="inlineStr">
        <is>
          <t>Clover</t>
        </is>
      </c>
      <c r="B25" s="29" t="inlineStr">
        <is>
          <t>Herbs &amp; flowers</t>
        </is>
      </c>
      <c r="C25" s="30" t="inlineStr">
        <is>
          <t>luck, friendship, joy</t>
        </is>
      </c>
      <c r="D25" s="31" t="inlineStr">
        <is>
          <t>Space</t>
        </is>
      </c>
      <c r="E25" s="31" t="inlineStr">
        <is>
          <t>Gentle</t>
        </is>
      </c>
      <c r="F25" s="30" t="inlineStr">
        <is>
          <t>Small, everyday good fortune, shared between friends.</t>
        </is>
      </c>
      <c r="G25" s="29">
        <f>IF(OR(D25="—",D25="",K25=""),"",COUNTIF($J$2:$J$259,J25)-1)</f>
        <v/>
      </c>
      <c r="H25" s="31" t="n"/>
      <c r="I25" s="30" t="n"/>
      <c r="J25" s="22">
        <f>K25&amp;"|"&amp;D25&amp;"|"&amp;E25</f>
        <v/>
      </c>
      <c r="K25" s="22" t="inlineStr">
        <is>
          <t>friendship,joy,luck</t>
        </is>
      </c>
      <c r="L25" s="22">
        <f>", "&amp;C25&amp;", "</f>
        <v/>
      </c>
    </row>
    <row r="26" ht="23.25" customHeight="1" s="18">
      <c r="A26" s="29" t="inlineStr">
        <is>
          <t>Comfrey leaf</t>
        </is>
      </c>
      <c r="B26" s="29" t="inlineStr">
        <is>
          <t>Herbs &amp; flowers</t>
        </is>
      </c>
      <c r="C26" s="30" t="inlineStr">
        <is>
          <t>travel, protection</t>
        </is>
      </c>
      <c r="D26" s="31" t="inlineStr">
        <is>
          <t>Space</t>
        </is>
      </c>
      <c r="E26" s="31" t="inlineStr">
        <is>
          <t>Gentle</t>
        </is>
      </c>
      <c r="F26" s="30" t="inlineStr">
        <is>
          <t>Tucked into a shoe for a safe road.</t>
        </is>
      </c>
      <c r="G26" s="29">
        <f>IF(OR(D26="—",D26="",K26=""),"",COUNTIF($J$2:$J$259,J26)-1)</f>
        <v/>
      </c>
      <c r="H26" s="31" t="inlineStr">
        <is>
          <t>OK</t>
        </is>
      </c>
      <c r="I26" s="30" t="inlineStr">
        <is>
          <t>Kept as a travel herb, matching its spellbook entry. The scraped-hand answer is calendula alone.</t>
        </is>
      </c>
      <c r="J26" s="22">
        <f>K26&amp;"|"&amp;D26&amp;"|"&amp;E26</f>
        <v/>
      </c>
      <c r="K26" s="22" t="inlineStr">
        <is>
          <t>protection,travel</t>
        </is>
      </c>
      <c r="L26" s="22">
        <f>", "&amp;C26&amp;", "</f>
        <v/>
      </c>
    </row>
    <row r="27" ht="15" customHeight="1" s="18">
      <c r="A27" s="29" t="inlineStr">
        <is>
          <t>Cornflower</t>
        </is>
      </c>
      <c r="B27" s="29" t="inlineStr">
        <is>
          <t>Herbs &amp; flowers</t>
        </is>
      </c>
      <c r="C27" s="30" t="inlineStr">
        <is>
          <t>calm, intuition</t>
        </is>
      </c>
      <c r="D27" s="31" t="inlineStr">
        <is>
          <t>Mind</t>
        </is>
      </c>
      <c r="E27" s="31" t="inlineStr">
        <is>
          <t>Gentle</t>
        </is>
      </c>
      <c r="F27" s="30" t="inlineStr">
        <is>
          <t>Clears the mind's eye like a blue sky after a muddle.</t>
        </is>
      </c>
      <c r="G27" s="29">
        <f>IF(OR(D27="—",D27="",K27=""),"",COUNTIF($J$2:$J$259,J27)-1)</f>
        <v/>
      </c>
      <c r="H27" s="31" t="n"/>
      <c r="I27" s="30" t="n"/>
      <c r="J27" s="22">
        <f>K27&amp;"|"&amp;D27&amp;"|"&amp;E27</f>
        <v/>
      </c>
      <c r="K27" s="22" t="inlineStr">
        <is>
          <t>calm,intuition</t>
        </is>
      </c>
      <c r="L27" s="22">
        <f>", "&amp;C27&amp;", "</f>
        <v/>
      </c>
    </row>
    <row r="28" ht="15" customHeight="1" s="18">
      <c r="A28" s="29" t="inlineStr">
        <is>
          <t>Daisy</t>
        </is>
      </c>
      <c r="B28" s="29" t="inlineStr">
        <is>
          <t>Herbs &amp; flowers</t>
        </is>
      </c>
      <c r="C28" s="30" t="inlineStr">
        <is>
          <t>joy, friendship, beginnings</t>
        </is>
      </c>
      <c r="D28" s="31" t="inlineStr">
        <is>
          <t>Mind</t>
        </is>
      </c>
      <c r="E28" s="31" t="inlineStr">
        <is>
          <t>Gentle</t>
        </is>
      </c>
      <c r="F28" s="30" t="inlineStr">
        <is>
          <t>A chain of them for a new classmate on the first day of school.</t>
        </is>
      </c>
      <c r="G28" s="29">
        <f>IF(OR(D28="—",D28="",K28=""),"",COUNTIF($J$2:$J$259,J28)-1)</f>
        <v/>
      </c>
      <c r="H28" s="31" t="n"/>
      <c r="I28" s="30" t="n"/>
      <c r="J28" s="22">
        <f>K28&amp;"|"&amp;D28&amp;"|"&amp;E28</f>
        <v/>
      </c>
      <c r="K28" s="22" t="inlineStr">
        <is>
          <t>beginnings,friendship,joy</t>
        </is>
      </c>
      <c r="L28" s="22">
        <f>", "&amp;C28&amp;", "</f>
        <v/>
      </c>
    </row>
    <row r="29" ht="15" customHeight="1" s="18">
      <c r="A29" s="29" t="inlineStr">
        <is>
          <t>Dandelion</t>
        </is>
      </c>
      <c r="B29" s="29" t="inlineStr">
        <is>
          <t>Herbs &amp; flowers</t>
        </is>
      </c>
      <c r="C29" s="30" t="inlineStr">
        <is>
          <t>wonder, joy, beginnings</t>
        </is>
      </c>
      <c r="D29" s="31" t="inlineStr">
        <is>
          <t>Mind</t>
        </is>
      </c>
      <c r="E29" s="31" t="inlineStr">
        <is>
          <t>Gentle</t>
        </is>
      </c>
      <c r="F29" s="30" t="inlineStr">
        <is>
          <t>Blow it and make a wish. Childlike amazement.</t>
        </is>
      </c>
      <c r="G29" s="29">
        <f>IF(OR(D29="—",D29="",K29=""),"",COUNTIF($J$2:$J$259,J29)-1)</f>
        <v/>
      </c>
      <c r="H29" s="31" t="n"/>
      <c r="I29" s="30" t="n"/>
      <c r="J29" s="22">
        <f>K29&amp;"|"&amp;D29&amp;"|"&amp;E29</f>
        <v/>
      </c>
      <c r="K29" s="22" t="inlineStr">
        <is>
          <t>beginnings,joy,wonder</t>
        </is>
      </c>
      <c r="L29" s="22">
        <f>", "&amp;C29&amp;", "</f>
        <v/>
      </c>
    </row>
    <row r="30" ht="15" customHeight="1" s="18">
      <c r="A30" s="29" t="inlineStr">
        <is>
          <t>Dandelion root</t>
        </is>
      </c>
      <c r="B30" s="29" t="inlineStr">
        <is>
          <t>Herbs &amp; flowers</t>
        </is>
      </c>
      <c r="C30" s="30" t="inlineStr">
        <is>
          <t>release, cleansing, healing</t>
        </is>
      </c>
      <c r="D30" s="31" t="inlineStr">
        <is>
          <t>Mind</t>
        </is>
      </c>
      <c r="E30" s="31" t="inlineStr">
        <is>
          <t>Strong</t>
        </is>
      </c>
      <c r="F30" s="30" t="inlineStr">
        <is>
          <t>Digs out what you've been holding on to. Bitter, but thorough.</t>
        </is>
      </c>
      <c r="G30" s="29">
        <f>IF(OR(D30="—",D30="",K30=""),"",COUNTIF($J$2:$J$259,J30)-1)</f>
        <v/>
      </c>
      <c r="H30" s="31" t="n"/>
      <c r="I30" s="30" t="inlineStr">
        <is>
          <t>Moved from Body/Gentle so calendula is the only gentle body healer among the herbs.</t>
        </is>
      </c>
      <c r="J30" s="22">
        <f>K30&amp;"|"&amp;D30&amp;"|"&amp;E30</f>
        <v/>
      </c>
      <c r="K30" s="22" t="inlineStr">
        <is>
          <t>cleansing,healing,release</t>
        </is>
      </c>
      <c r="L30" s="22">
        <f>", "&amp;C30&amp;", "</f>
        <v/>
      </c>
    </row>
    <row r="31" ht="15" customHeight="1" s="18">
      <c r="A31" s="29" t="inlineStr">
        <is>
          <t>Elderflower</t>
        </is>
      </c>
      <c r="B31" s="29" t="inlineStr">
        <is>
          <t>Herbs &amp; flowers</t>
        </is>
      </c>
      <c r="C31" s="30" t="inlineStr">
        <is>
          <t>joy, wonder</t>
        </is>
      </c>
      <c r="D31" s="31" t="inlineStr">
        <is>
          <t>Mind</t>
        </is>
      </c>
      <c r="E31" s="31" t="inlineStr">
        <is>
          <t>Gentle</t>
        </is>
      </c>
      <c r="F31" s="30" t="inlineStr">
        <is>
          <t>Light and sparkling, like cordial at a garden party.</t>
        </is>
      </c>
      <c r="G31" s="29">
        <f>IF(OR(D31="—",D31="",K31=""),"",COUNTIF($J$2:$J$259,J31)-1)</f>
        <v/>
      </c>
      <c r="H31" s="31" t="n"/>
      <c r="I31" s="30" t="n"/>
      <c r="J31" s="22">
        <f>K31&amp;"|"&amp;D31&amp;"|"&amp;E31</f>
        <v/>
      </c>
      <c r="K31" s="22" t="inlineStr">
        <is>
          <t>joy,wonder</t>
        </is>
      </c>
      <c r="L31" s="22">
        <f>", "&amp;C31&amp;", "</f>
        <v/>
      </c>
    </row>
    <row r="32" ht="15" customHeight="1" s="18">
      <c r="A32" s="29" t="inlineStr">
        <is>
          <t>Eucalyptus</t>
        </is>
      </c>
      <c r="B32" s="29" t="inlineStr">
        <is>
          <t>Herbs &amp; flowers</t>
        </is>
      </c>
      <c r="C32" s="30" t="inlineStr">
        <is>
          <t>cleansing, healing, release</t>
        </is>
      </c>
      <c r="D32" s="31" t="inlineStr">
        <is>
          <t>Body</t>
        </is>
      </c>
      <c r="E32" s="31" t="inlineStr">
        <is>
          <t>Strong</t>
        </is>
      </c>
      <c r="F32" s="30" t="inlineStr">
        <is>
          <t>Opens the chest and clears the breath. Sharp, for colds.</t>
        </is>
      </c>
      <c r="G32" s="29">
        <f>IF(OR(D32="—",D32="",K32=""),"",COUNTIF($J$2:$J$259,J32)-1)</f>
        <v/>
      </c>
      <c r="H32" s="31" t="n"/>
      <c r="I32" s="30" t="n"/>
      <c r="J32" s="22">
        <f>K32&amp;"|"&amp;D32&amp;"|"&amp;E32</f>
        <v/>
      </c>
      <c r="K32" s="22" t="inlineStr">
        <is>
          <t>cleansing,healing,release</t>
        </is>
      </c>
      <c r="L32" s="22">
        <f>", "&amp;C32&amp;", "</f>
        <v/>
      </c>
    </row>
    <row r="33" ht="15" customHeight="1" s="18">
      <c r="A33" s="29" t="inlineStr">
        <is>
          <t>Fern</t>
        </is>
      </c>
      <c r="B33" s="29" t="inlineStr">
        <is>
          <t>Herbs &amp; flowers</t>
        </is>
      </c>
      <c r="C33" s="30" t="inlineStr">
        <is>
          <t>connection, growth</t>
        </is>
      </c>
      <c r="D33" s="31" t="inlineStr">
        <is>
          <t>Space</t>
        </is>
      </c>
      <c r="E33" s="31" t="inlineStr">
        <is>
          <t>Gentle</t>
        </is>
      </c>
      <c r="F33" s="30" t="inlineStr">
        <is>
          <t>Spreads quietly underfoot and links one place to the next.</t>
        </is>
      </c>
      <c r="G33" s="29">
        <f>IF(OR(D33="—",D33="",K33=""),"",COUNTIF($J$2:$J$259,J33)-1)</f>
        <v/>
      </c>
      <c r="H33" s="31" t="n"/>
      <c r="I33" s="30" t="n"/>
      <c r="J33" s="22">
        <f>K33&amp;"|"&amp;D33&amp;"|"&amp;E33</f>
        <v/>
      </c>
      <c r="K33" s="22" t="inlineStr">
        <is>
          <t>connection,growth</t>
        </is>
      </c>
      <c r="L33" s="22">
        <f>", "&amp;C33&amp;", "</f>
        <v/>
      </c>
    </row>
    <row r="34" ht="15" customHeight="1" s="18">
      <c r="A34" s="29" t="inlineStr">
        <is>
          <t>Four-leaf clover</t>
        </is>
      </c>
      <c r="B34" s="29" t="inlineStr">
        <is>
          <t>Herbs &amp; flowers</t>
        </is>
      </c>
      <c r="C34" s="30" t="inlineStr">
        <is>
          <t>luck, opportunity, joy</t>
        </is>
      </c>
      <c r="D34" s="31" t="inlineStr">
        <is>
          <t>Space</t>
        </is>
      </c>
      <c r="E34" s="31" t="inlineStr">
        <is>
          <t>Strong</t>
        </is>
      </c>
      <c r="F34" s="30" t="inlineStr">
        <is>
          <t>Rare and potent fortune. Opens doors that were shut.</t>
        </is>
      </c>
      <c r="G34" s="29">
        <f>IF(OR(D34="—",D34="",K34=""),"",COUNTIF($J$2:$J$259,J34)-1)</f>
        <v/>
      </c>
      <c r="H34" s="31" t="n"/>
      <c r="I34" s="30" t="n"/>
      <c r="J34" s="22">
        <f>K34&amp;"|"&amp;D34&amp;"|"&amp;E34</f>
        <v/>
      </c>
      <c r="K34" s="22" t="inlineStr">
        <is>
          <t>joy,luck,opportunity</t>
        </is>
      </c>
      <c r="L34" s="22">
        <f>", "&amp;C34&amp;", "</f>
        <v/>
      </c>
    </row>
    <row r="35" ht="15" customHeight="1" s="18">
      <c r="A35" s="29" t="inlineStr">
        <is>
          <t>Garden sage</t>
        </is>
      </c>
      <c r="B35" s="29" t="inlineStr">
        <is>
          <t>Herbs &amp; flowers</t>
        </is>
      </c>
      <c r="C35" s="30" t="inlineStr">
        <is>
          <t>cleansing, truth, protection</t>
        </is>
      </c>
      <c r="D35" s="31" t="inlineStr">
        <is>
          <t>Space</t>
        </is>
      </c>
      <c r="E35" s="31" t="inlineStr">
        <is>
          <t>Strong</t>
        </is>
      </c>
      <c r="F35" s="30" t="inlineStr">
        <is>
          <t>Smoke that clears a room and leaves no space for lies.</t>
        </is>
      </c>
      <c r="G35" s="29">
        <f>IF(OR(D35="—",D35="",K35=""),"",COUNTIF($J$2:$J$259,J35)-1)</f>
        <v/>
      </c>
      <c r="H35" s="31" t="n"/>
      <c r="I35" s="30" t="n"/>
      <c r="J35" s="22">
        <f>K35&amp;"|"&amp;D35&amp;"|"&amp;E35</f>
        <v/>
      </c>
      <c r="K35" s="22" t="inlineStr">
        <is>
          <t>cleansing,protection,truth</t>
        </is>
      </c>
      <c r="L35" s="22">
        <f>", "&amp;C35&amp;", "</f>
        <v/>
      </c>
    </row>
    <row r="36" ht="15" customHeight="1" s="18">
      <c r="A36" s="29" t="inlineStr">
        <is>
          <t>Hibiscus</t>
        </is>
      </c>
      <c r="B36" s="29" t="inlineStr">
        <is>
          <t>Herbs &amp; flowers</t>
        </is>
      </c>
      <c r="C36" s="30" t="inlineStr">
        <is>
          <t>passion, love, beauty</t>
        </is>
      </c>
      <c r="D36" s="31" t="inlineStr">
        <is>
          <t>Body</t>
        </is>
      </c>
      <c r="E36" s="31" t="inlineStr">
        <is>
          <t>Strong</t>
        </is>
      </c>
      <c r="F36" s="30" t="inlineStr">
        <is>
          <t>Hot-blooded. A fire you can feel in your cheeks.</t>
        </is>
      </c>
      <c r="G36" s="29">
        <f>IF(OR(D36="—",D36="",K36=""),"",COUNTIF($J$2:$J$259,J36)-1)</f>
        <v/>
      </c>
      <c r="H36" s="31" t="n"/>
      <c r="I36" s="30" t="n"/>
      <c r="J36" s="22">
        <f>K36&amp;"|"&amp;D36&amp;"|"&amp;E36</f>
        <v/>
      </c>
      <c r="K36" s="22" t="inlineStr">
        <is>
          <t>beauty,love,passion</t>
        </is>
      </c>
      <c r="L36" s="22">
        <f>", "&amp;C36&amp;", "</f>
        <v/>
      </c>
    </row>
    <row r="37" ht="15" customHeight="1" s="18">
      <c r="A37" s="29" t="inlineStr">
        <is>
          <t>Hops</t>
        </is>
      </c>
      <c r="B37" s="29" t="inlineStr">
        <is>
          <t>Herbs &amp; flowers</t>
        </is>
      </c>
      <c r="C37" s="30" t="inlineStr">
        <is>
          <t>sleep, rest, calm</t>
        </is>
      </c>
      <c r="D37" s="31" t="inlineStr">
        <is>
          <t>Body</t>
        </is>
      </c>
      <c r="E37" s="31" t="inlineStr">
        <is>
          <t>Gentle</t>
        </is>
      </c>
      <c r="F37" s="30" t="inlineStr">
        <is>
          <t>Heavy-lidded and gentle. Brings the body down for the night.</t>
        </is>
      </c>
      <c r="G37" s="29">
        <f>IF(OR(D37="—",D37="",K37=""),"",COUNTIF($J$2:$J$259,J37)-1)</f>
        <v/>
      </c>
      <c r="H37" s="31" t="n"/>
      <c r="I37" s="30" t="n"/>
      <c r="J37" s="22">
        <f>K37&amp;"|"&amp;D37&amp;"|"&amp;E37</f>
        <v/>
      </c>
      <c r="K37" s="22" t="inlineStr">
        <is>
          <t>calm,rest,sleep</t>
        </is>
      </c>
      <c r="L37" s="22">
        <f>", "&amp;C37&amp;", "</f>
        <v/>
      </c>
    </row>
    <row r="38" ht="15" customHeight="1" s="18">
      <c r="A38" s="29" t="inlineStr">
        <is>
          <t>Jasmine</t>
        </is>
      </c>
      <c r="B38" s="29" t="inlineStr">
        <is>
          <t>Herbs &amp; flowers</t>
        </is>
      </c>
      <c r="C38" s="30" t="inlineStr">
        <is>
          <t>dreams, beauty, intuition</t>
        </is>
      </c>
      <c r="D38" s="31" t="inlineStr">
        <is>
          <t>Mind</t>
        </is>
      </c>
      <c r="E38" s="31" t="inlineStr">
        <is>
          <t>Gentle</t>
        </is>
      </c>
      <c r="F38" s="30" t="inlineStr">
        <is>
          <t>Opens at night. Sweetens the hours between lying down and drifting off.</t>
        </is>
      </c>
      <c r="G38" s="29">
        <f>IF(OR(D38="—",D38="",K38=""),"",COUNTIF($J$2:$J$259,J38)-1)</f>
        <v/>
      </c>
      <c r="H38" s="31" t="n"/>
      <c r="I38" s="30" t="n"/>
      <c r="J38" s="22">
        <f>K38&amp;"|"&amp;D38&amp;"|"&amp;E38</f>
        <v/>
      </c>
      <c r="K38" s="22" t="inlineStr">
        <is>
          <t>beauty,dreams,intuition</t>
        </is>
      </c>
      <c r="L38" s="22">
        <f>", "&amp;C38&amp;", "</f>
        <v/>
      </c>
    </row>
    <row r="39" ht="15" customHeight="1" s="18">
      <c r="A39" s="29" t="inlineStr">
        <is>
          <t>Lavender</t>
        </is>
      </c>
      <c r="B39" s="29" t="inlineStr">
        <is>
          <t>Herbs &amp; flowers</t>
        </is>
      </c>
      <c r="C39" s="30" t="inlineStr">
        <is>
          <t>calm, sleep, cleansing, love, joy</t>
        </is>
      </c>
      <c r="D39" s="31" t="inlineStr">
        <is>
          <t>Mind</t>
        </is>
      </c>
      <c r="E39" s="31" t="inlineStr">
        <is>
          <t>Gentle</t>
        </is>
      </c>
      <c r="F39" s="30" t="inlineStr">
        <is>
          <t>The great soother. For an evening that won't settle, a pillow, a drawer, a note to a sweetheart.</t>
        </is>
      </c>
      <c r="G39" s="29">
        <f>IF(OR(D39="—",D39="",K39=""),"",COUNTIF($J$2:$J$259,J39)-1)</f>
        <v/>
      </c>
      <c r="H39" s="31" t="n"/>
      <c r="I39" s="30" t="n"/>
      <c r="J39" s="22">
        <f>K39&amp;"|"&amp;D39&amp;"|"&amp;E39</f>
        <v/>
      </c>
      <c r="K39" s="22" t="inlineStr">
        <is>
          <t>calm,cleansing,joy,love,sleep</t>
        </is>
      </c>
      <c r="L39" s="22">
        <f>", "&amp;C39&amp;", "</f>
        <v/>
      </c>
    </row>
    <row r="40" ht="15" customHeight="1" s="18">
      <c r="A40" s="29" t="inlineStr">
        <is>
          <t>Lemon balm</t>
        </is>
      </c>
      <c r="B40" s="29" t="inlineStr">
        <is>
          <t>Herbs &amp; flowers</t>
        </is>
      </c>
      <c r="C40" s="30" t="inlineStr">
        <is>
          <t>calm, healing, communication</t>
        </is>
      </c>
      <c r="D40" s="31" t="inlineStr">
        <is>
          <t>Mind</t>
        </is>
      </c>
      <c r="E40" s="31" t="inlineStr">
        <is>
          <t>Gentle</t>
        </is>
      </c>
      <c r="F40" s="30" t="inlineStr">
        <is>
          <t>For the nervous stammer, and the worry underneath it.</t>
        </is>
      </c>
      <c r="G40" s="29">
        <f>IF(OR(D40="—",D40="",K40=""),"",COUNTIF($J$2:$J$259,J40)-1)</f>
        <v/>
      </c>
      <c r="H40" s="31" t="n"/>
      <c r="I40" s="30" t="n"/>
      <c r="J40" s="22">
        <f>K40&amp;"|"&amp;D40&amp;"|"&amp;E40</f>
        <v/>
      </c>
      <c r="K40" s="22" t="inlineStr">
        <is>
          <t>calm,communication,healing</t>
        </is>
      </c>
      <c r="L40" s="22">
        <f>", "&amp;C40&amp;", "</f>
        <v/>
      </c>
    </row>
    <row r="41" ht="15" customHeight="1" s="18">
      <c r="A41" s="29" t="inlineStr">
        <is>
          <t>Lemongrass</t>
        </is>
      </c>
      <c r="B41" s="29" t="inlineStr">
        <is>
          <t>Herbs &amp; flowers</t>
        </is>
      </c>
      <c r="C41" s="30" t="inlineStr">
        <is>
          <t>focus, energy</t>
        </is>
      </c>
      <c r="D41" s="31" t="inlineStr">
        <is>
          <t>Body</t>
        </is>
      </c>
      <c r="E41" s="31" t="inlineStr">
        <is>
          <t>Strong</t>
        </is>
      </c>
      <c r="F41" s="30" t="inlineStr">
        <is>
          <t>Sharp and waking. Snaps the body to attention.</t>
        </is>
      </c>
      <c r="G41" s="29">
        <f>IF(OR(D41="—",D41="",K41=""),"",COUNTIF($J$2:$J$259,J41)-1)</f>
        <v/>
      </c>
      <c r="H41" s="31" t="n"/>
      <c r="I41" s="30" t="n"/>
      <c r="J41" s="22">
        <f>K41&amp;"|"&amp;D41&amp;"|"&amp;E41</f>
        <v/>
      </c>
      <c r="K41" s="22" t="inlineStr">
        <is>
          <t>energy,focus</t>
        </is>
      </c>
      <c r="L41" s="22">
        <f>", "&amp;C41&amp;", "</f>
        <v/>
      </c>
    </row>
    <row r="42" ht="15" customHeight="1" s="18">
      <c r="A42" s="29" t="inlineStr">
        <is>
          <t>Licorice root</t>
        </is>
      </c>
      <c r="B42" s="29" t="inlineStr">
        <is>
          <t>Herbs &amp; flowers</t>
        </is>
      </c>
      <c r="C42" s="30" t="inlineStr">
        <is>
          <t>communication, confidence, passion</t>
        </is>
      </c>
      <c r="D42" s="31" t="inlineStr">
        <is>
          <t>Mind</t>
        </is>
      </c>
      <c r="E42" s="31" t="inlineStr">
        <is>
          <t>Strong</t>
        </is>
      </c>
      <c r="F42" s="30" t="inlineStr">
        <is>
          <t>Gives your words weight and nerve.</t>
        </is>
      </c>
      <c r="G42" s="29">
        <f>IF(OR(D42="—",D42="",K42=""),"",COUNTIF($J$2:$J$259,J42)-1)</f>
        <v/>
      </c>
      <c r="H42" s="31" t="n"/>
      <c r="I42" s="30" t="n"/>
      <c r="J42" s="22">
        <f>K42&amp;"|"&amp;D42&amp;"|"&amp;E42</f>
        <v/>
      </c>
      <c r="K42" s="22" t="inlineStr">
        <is>
          <t>communication,confidence,passion</t>
        </is>
      </c>
      <c r="L42" s="22">
        <f>", "&amp;C42&amp;", "</f>
        <v/>
      </c>
    </row>
    <row r="43" ht="15" customHeight="1" s="18">
      <c r="A43" s="29" t="inlineStr">
        <is>
          <t>Lilac</t>
        </is>
      </c>
      <c r="B43" s="29" t="inlineStr">
        <is>
          <t>Herbs &amp; flowers</t>
        </is>
      </c>
      <c r="C43" s="30" t="inlineStr">
        <is>
          <t>memory, beauty, comfort</t>
        </is>
      </c>
      <c r="D43" s="31" t="inlineStr">
        <is>
          <t>Mind</t>
        </is>
      </c>
      <c r="E43" s="31" t="inlineStr">
        <is>
          <t>Gentle</t>
        </is>
      </c>
      <c r="F43" s="30" t="inlineStr">
        <is>
          <t>Smells like a grandmother's garden. Brings back the good years.</t>
        </is>
      </c>
      <c r="G43" s="29">
        <f>IF(OR(D43="—",D43="",K43=""),"",COUNTIF($J$2:$J$259,J43)-1)</f>
        <v/>
      </c>
      <c r="H43" s="31" t="n"/>
      <c r="I43" s="30" t="n"/>
      <c r="J43" s="22">
        <f>K43&amp;"|"&amp;D43&amp;"|"&amp;E43</f>
        <v/>
      </c>
      <c r="K43" s="22" t="inlineStr">
        <is>
          <t>beauty,comfort,memory</t>
        </is>
      </c>
      <c r="L43" s="22">
        <f>", "&amp;C43&amp;", "</f>
        <v/>
      </c>
    </row>
    <row r="44" ht="15" customHeight="1" s="18">
      <c r="A44" s="29" t="inlineStr">
        <is>
          <t>Lotus</t>
        </is>
      </c>
      <c r="B44" s="29" t="inlineStr">
        <is>
          <t>Herbs &amp; flowers</t>
        </is>
      </c>
      <c r="C44" s="30" t="inlineStr">
        <is>
          <t>intuition, calm</t>
        </is>
      </c>
      <c r="D44" s="31" t="inlineStr">
        <is>
          <t>Mind</t>
        </is>
      </c>
      <c r="E44" s="31" t="inlineStr">
        <is>
          <t>Strong</t>
        </is>
      </c>
      <c r="F44" s="30" t="inlineStr">
        <is>
          <t>Opens deep inner sight. Heady and strong.</t>
        </is>
      </c>
      <c r="G44" s="29">
        <f>IF(OR(D44="—",D44="",K44=""),"",COUNTIF($J$2:$J$259,J44)-1)</f>
        <v/>
      </c>
      <c r="H44" s="31" t="n"/>
      <c r="I44" s="30" t="n"/>
      <c r="J44" s="22">
        <f>K44&amp;"|"&amp;D44&amp;"|"&amp;E44</f>
        <v/>
      </c>
      <c r="K44" s="22" t="inlineStr">
        <is>
          <t>calm,intuition</t>
        </is>
      </c>
      <c r="L44" s="22">
        <f>", "&amp;C44&amp;", "</f>
        <v/>
      </c>
    </row>
    <row r="45" ht="15" customHeight="1" s="18">
      <c r="A45" s="29" t="inlineStr">
        <is>
          <t>Mint</t>
        </is>
      </c>
      <c r="B45" s="29" t="inlineStr">
        <is>
          <t>Herbs &amp; flowers</t>
        </is>
      </c>
      <c r="C45" s="30" t="inlineStr">
        <is>
          <t>energy, cleansing, calm</t>
        </is>
      </c>
      <c r="D45" s="31" t="inlineStr">
        <is>
          <t>Body</t>
        </is>
      </c>
      <c r="E45" s="31" t="inlineStr">
        <is>
          <t>Gentle</t>
        </is>
      </c>
      <c r="F45" s="30" t="inlineStr">
        <is>
          <t>Cool breath and a cool head.</t>
        </is>
      </c>
      <c r="G45" s="29">
        <f>IF(OR(D45="—",D45="",K45=""),"",COUNTIF($J$2:$J$259,J45)-1)</f>
        <v/>
      </c>
      <c r="H45" s="31" t="n"/>
      <c r="I45" s="30" t="n"/>
      <c r="J45" s="22">
        <f>K45&amp;"|"&amp;D45&amp;"|"&amp;E45</f>
        <v/>
      </c>
      <c r="K45" s="22" t="inlineStr">
        <is>
          <t>calm,cleansing,energy</t>
        </is>
      </c>
      <c r="L45" s="22">
        <f>", "&amp;C45&amp;", "</f>
        <v/>
      </c>
    </row>
    <row r="46" ht="23.25" customHeight="1" s="18">
      <c r="A46" s="29" t="inlineStr">
        <is>
          <t>Mugwort</t>
        </is>
      </c>
      <c r="B46" s="29" t="inlineStr">
        <is>
          <t>Herbs &amp; flowers</t>
        </is>
      </c>
      <c r="C46" s="30" t="inlineStr">
        <is>
          <t>dreams, intuition, protection</t>
        </is>
      </c>
      <c r="D46" s="31" t="inlineStr">
        <is>
          <t>Mind</t>
        </is>
      </c>
      <c r="E46" s="31" t="inlineStr">
        <is>
          <t>Strong</t>
        </is>
      </c>
      <c r="F46" s="30" t="inlineStr">
        <is>
          <t>Vivid nights, open sight, a watchful pillow. Not for the faint-hearted.</t>
        </is>
      </c>
      <c r="G46" s="29">
        <f>IF(OR(D46="—",D46="",K46=""),"",COUNTIF($J$2:$J$259,J46)-1)</f>
        <v/>
      </c>
      <c r="H46" s="31" t="n"/>
      <c r="I46" s="30" t="n"/>
      <c r="J46" s="22">
        <f>K46&amp;"|"&amp;D46&amp;"|"&amp;E46</f>
        <v/>
      </c>
      <c r="K46" s="22" t="inlineStr">
        <is>
          <t>dreams,intuition,protection</t>
        </is>
      </c>
      <c r="L46" s="22">
        <f>", "&amp;C46&amp;", "</f>
        <v/>
      </c>
    </row>
    <row r="47" ht="15" customHeight="1" s="18">
      <c r="A47" s="29" t="inlineStr">
        <is>
          <t>Nettle</t>
        </is>
      </c>
      <c r="B47" s="29" t="inlineStr">
        <is>
          <t>Herbs &amp; flowers</t>
        </is>
      </c>
      <c r="C47" s="30" t="inlineStr">
        <is>
          <t>healing</t>
        </is>
      </c>
      <c r="D47" s="31" t="inlineStr">
        <is>
          <t>Body</t>
        </is>
      </c>
      <c r="E47" s="31" t="inlineStr">
        <is>
          <t>Strong</t>
        </is>
      </c>
      <c r="F47" s="30" t="inlineStr">
        <is>
          <t>Stings first, then strengthens. Restores a worn-out body.</t>
        </is>
      </c>
      <c r="G47" s="29">
        <f>IF(OR(D47="—",D47="",K47=""),"",COUNTIF($J$2:$J$259,J47)-1)</f>
        <v/>
      </c>
      <c r="H47" s="31" t="n"/>
      <c r="I47" s="30" t="n"/>
      <c r="J47" s="22">
        <f>K47&amp;"|"&amp;D47&amp;"|"&amp;E47</f>
        <v/>
      </c>
      <c r="K47" s="22" t="inlineStr">
        <is>
          <t>healing</t>
        </is>
      </c>
      <c r="L47" s="22">
        <f>", "&amp;C47&amp;", "</f>
        <v/>
      </c>
    </row>
    <row r="48" ht="15" customHeight="1" s="18">
      <c r="A48" s="29" t="inlineStr">
        <is>
          <t>Oak moss</t>
        </is>
      </c>
      <c r="B48" s="29" t="inlineStr">
        <is>
          <t>Herbs &amp; flowers</t>
        </is>
      </c>
      <c r="C48" s="30" t="inlineStr">
        <is>
          <t>grounding, abundance, connection</t>
        </is>
      </c>
      <c r="D48" s="31" t="inlineStr">
        <is>
          <t>Space</t>
        </is>
      </c>
      <c r="E48" s="31" t="inlineStr">
        <is>
          <t>Gentle</t>
        </is>
      </c>
      <c r="F48" s="30" t="inlineStr">
        <is>
          <t>Earthy and rooted. Holds a household together.</t>
        </is>
      </c>
      <c r="G48" s="29">
        <f>IF(OR(D48="—",D48="",K48=""),"",COUNTIF($J$2:$J$259,J48)-1)</f>
        <v/>
      </c>
      <c r="H48" s="31" t="n"/>
      <c r="I48" s="30" t="n"/>
      <c r="J48" s="22">
        <f>K48&amp;"|"&amp;D48&amp;"|"&amp;E48</f>
        <v/>
      </c>
      <c r="K48" s="22" t="inlineStr">
        <is>
          <t>abundance,connection,grounding</t>
        </is>
      </c>
      <c r="L48" s="22">
        <f>", "&amp;C48&amp;", "</f>
        <v/>
      </c>
    </row>
    <row r="49" ht="15" customHeight="1" s="18">
      <c r="A49" s="29" t="inlineStr">
        <is>
          <t>Orange blossom</t>
        </is>
      </c>
      <c r="B49" s="29" t="inlineStr">
        <is>
          <t>Herbs &amp; flowers</t>
        </is>
      </c>
      <c r="C49" s="30" t="inlineStr">
        <is>
          <t>joy, beauty</t>
        </is>
      </c>
      <c r="D49" s="31" t="inlineStr">
        <is>
          <t>Mind</t>
        </is>
      </c>
      <c r="E49" s="31" t="inlineStr">
        <is>
          <t>Gentle</t>
        </is>
      </c>
      <c r="F49" s="30" t="inlineStr">
        <is>
          <t>Worn by brides. Happiness that glows.</t>
        </is>
      </c>
      <c r="G49" s="29">
        <f>IF(OR(D49="—",D49="",K49=""),"",COUNTIF($J$2:$J$259,J49)-1)</f>
        <v/>
      </c>
      <c r="H49" s="31" t="n"/>
      <c r="I49" s="30" t="n"/>
      <c r="J49" s="22">
        <f>K49&amp;"|"&amp;D49&amp;"|"&amp;E49</f>
        <v/>
      </c>
      <c r="K49" s="22" t="inlineStr">
        <is>
          <t>beauty,joy</t>
        </is>
      </c>
      <c r="L49" s="22">
        <f>", "&amp;C49&amp;", "</f>
        <v/>
      </c>
    </row>
    <row r="50" ht="15" customHeight="1" s="18">
      <c r="A50" s="29" t="inlineStr">
        <is>
          <t>Orris root</t>
        </is>
      </c>
      <c r="B50" s="29" t="inlineStr">
        <is>
          <t>Herbs &amp; flowers</t>
        </is>
      </c>
      <c r="C50" s="30" t="inlineStr">
        <is>
          <t>love, attraction, communication</t>
        </is>
      </c>
      <c r="D50" s="31" t="inlineStr">
        <is>
          <t>Mind</t>
        </is>
      </c>
      <c r="E50" s="31" t="inlineStr">
        <is>
          <t>Strong</t>
        </is>
      </c>
      <c r="F50" s="30" t="inlineStr">
        <is>
          <t>Powdery and persuasive. Makes words hard to resist.</t>
        </is>
      </c>
      <c r="G50" s="29">
        <f>IF(OR(D50="—",D50="",K50=""),"",COUNTIF($J$2:$J$259,J50)-1)</f>
        <v/>
      </c>
      <c r="H50" s="31" t="n"/>
      <c r="I50" s="30" t="n"/>
      <c r="J50" s="22">
        <f>K50&amp;"|"&amp;D50&amp;"|"&amp;E50</f>
        <v/>
      </c>
      <c r="K50" s="22" t="inlineStr">
        <is>
          <t>attraction,communication,love</t>
        </is>
      </c>
      <c r="L50" s="22">
        <f>", "&amp;C50&amp;", "</f>
        <v/>
      </c>
    </row>
    <row r="51" ht="15" customHeight="1" s="18">
      <c r="A51" s="29" t="inlineStr">
        <is>
          <t>Peppermint</t>
        </is>
      </c>
      <c r="B51" s="29" t="inlineStr">
        <is>
          <t>Herbs &amp; flowers</t>
        </is>
      </c>
      <c r="C51" s="30" t="inlineStr">
        <is>
          <t>focus, energy, communication</t>
        </is>
      </c>
      <c r="D51" s="31" t="inlineStr">
        <is>
          <t>Mind</t>
        </is>
      </c>
      <c r="E51" s="31" t="inlineStr">
        <is>
          <t>Strong</t>
        </is>
      </c>
      <c r="F51" s="30" t="inlineStr">
        <is>
          <t>Clears the head and loosens the tongue.</t>
        </is>
      </c>
      <c r="G51" s="29">
        <f>IF(OR(D51="—",D51="",K51=""),"",COUNTIF($J$2:$J$259,J51)-1)</f>
        <v/>
      </c>
      <c r="H51" s="31" t="n"/>
      <c r="I51" s="30" t="n"/>
      <c r="J51" s="22">
        <f>K51&amp;"|"&amp;D51&amp;"|"&amp;E51</f>
        <v/>
      </c>
      <c r="K51" s="22" t="inlineStr">
        <is>
          <t>communication,energy,focus</t>
        </is>
      </c>
      <c r="L51" s="22">
        <f>", "&amp;C51&amp;", "</f>
        <v/>
      </c>
    </row>
    <row r="52" ht="15" customHeight="1" s="18">
      <c r="A52" s="29" t="inlineStr">
        <is>
          <t>Rose</t>
        </is>
      </c>
      <c r="B52" s="29" t="inlineStr">
        <is>
          <t>Herbs &amp; flowers</t>
        </is>
      </c>
      <c r="C52" s="30" t="inlineStr">
        <is>
          <t>beauty, healing, comfort</t>
        </is>
      </c>
      <c r="D52" s="31" t="inlineStr">
        <is>
          <t>Mind</t>
        </is>
      </c>
      <c r="E52" s="31" t="inlineStr">
        <is>
          <t>Gentle</t>
        </is>
      </c>
      <c r="F52" s="30" t="inlineStr">
        <is>
          <t>For bruised hearts more than bruised skin.</t>
        </is>
      </c>
      <c r="G52" s="29">
        <f>IF(OR(D52="—",D52="",K52=""),"",COUNTIF($J$2:$J$259,J52)-1)</f>
        <v/>
      </c>
      <c r="H52" s="31" t="n"/>
      <c r="I52" s="30" t="n"/>
      <c r="J52" s="22">
        <f>K52&amp;"|"&amp;D52&amp;"|"&amp;E52</f>
        <v/>
      </c>
      <c r="K52" s="22" t="inlineStr">
        <is>
          <t>beauty,comfort,healing</t>
        </is>
      </c>
      <c r="L52" s="22">
        <f>", "&amp;C52&amp;", "</f>
        <v/>
      </c>
    </row>
    <row r="53" ht="15" customHeight="1" s="18">
      <c r="A53" s="29" t="inlineStr">
        <is>
          <t>Rose petals</t>
        </is>
      </c>
      <c r="B53" s="29" t="inlineStr">
        <is>
          <t>Herbs &amp; flowers</t>
        </is>
      </c>
      <c r="C53" s="30" t="inlineStr">
        <is>
          <t>love, self-love, comfort, joy</t>
        </is>
      </c>
      <c r="D53" s="31" t="inlineStr">
        <is>
          <t>Mind</t>
        </is>
      </c>
      <c r="E53" s="31" t="inlineStr">
        <is>
          <t>Gentle</t>
        </is>
      </c>
      <c r="F53" s="30" t="inlineStr">
        <is>
          <t>Scattered in a bath you run for yourself, for once.</t>
        </is>
      </c>
      <c r="G53" s="29">
        <f>IF(OR(D53="—",D53="",K53=""),"",COUNTIF($J$2:$J$259,J53)-1)</f>
        <v/>
      </c>
      <c r="H53" s="31" t="n"/>
      <c r="I53" s="30" t="n"/>
      <c r="J53" s="22">
        <f>K53&amp;"|"&amp;D53&amp;"|"&amp;E53</f>
        <v/>
      </c>
      <c r="K53" s="22" t="inlineStr">
        <is>
          <t>comfort,joy,love,self-love</t>
        </is>
      </c>
      <c r="L53" s="22">
        <f>", "&amp;C53&amp;", "</f>
        <v/>
      </c>
    </row>
    <row r="54" ht="15" customHeight="1" s="18">
      <c r="A54" s="29" t="inlineStr">
        <is>
          <t>Rosebud</t>
        </is>
      </c>
      <c r="B54" s="29" t="inlineStr">
        <is>
          <t>Herbs &amp; flowers</t>
        </is>
      </c>
      <c r="C54" s="30" t="inlineStr">
        <is>
          <t>patience, growth, love</t>
        </is>
      </c>
      <c r="D54" s="31" t="inlineStr">
        <is>
          <t>Mind</t>
        </is>
      </c>
      <c r="E54" s="31" t="inlineStr">
        <is>
          <t>Gentle</t>
        </is>
      </c>
      <c r="F54" s="30" t="inlineStr">
        <is>
          <t>For a romance that isn't ready yet. Wait for it.</t>
        </is>
      </c>
      <c r="G54" s="29">
        <f>IF(OR(D54="—",D54="",K54=""),"",COUNTIF($J$2:$J$259,J54)-1)</f>
        <v/>
      </c>
      <c r="H54" s="31" t="n"/>
      <c r="I54" s="30" t="n"/>
      <c r="J54" s="22">
        <f>K54&amp;"|"&amp;D54&amp;"|"&amp;E54</f>
        <v/>
      </c>
      <c r="K54" s="22" t="inlineStr">
        <is>
          <t>growth,love,patience</t>
        </is>
      </c>
      <c r="L54" s="22">
        <f>", "&amp;C54&amp;", "</f>
        <v/>
      </c>
    </row>
    <row r="55" ht="15" customHeight="1" s="18">
      <c r="A55" s="29" t="inlineStr">
        <is>
          <t>Rose thorns</t>
        </is>
      </c>
      <c r="B55" s="29" t="inlineStr">
        <is>
          <t>Herbs &amp; flowers</t>
        </is>
      </c>
      <c r="C55" s="30" t="inlineStr">
        <is>
          <t>boundaries, release</t>
        </is>
      </c>
      <c r="D55" s="31" t="inlineStr">
        <is>
          <t>Space</t>
        </is>
      </c>
      <c r="E55" s="31" t="inlineStr">
        <is>
          <t>Strong</t>
        </is>
      </c>
      <c r="F55" s="30" t="inlineStr">
        <is>
          <t>A hedge around you. Keeps others at arm's length.</t>
        </is>
      </c>
      <c r="G55" s="29">
        <f>IF(OR(D55="—",D55="",K55=""),"",COUNTIF($J$2:$J$259,J55)-1)</f>
        <v/>
      </c>
      <c r="H55" s="31" t="n"/>
      <c r="I55" s="30" t="n"/>
      <c r="J55" s="22">
        <f>K55&amp;"|"&amp;D55&amp;"|"&amp;E55</f>
        <v/>
      </c>
      <c r="K55" s="22" t="inlineStr">
        <is>
          <t>boundaries,release</t>
        </is>
      </c>
      <c r="L55" s="22">
        <f>", "&amp;C55&amp;", "</f>
        <v/>
      </c>
    </row>
    <row r="56" ht="15" customHeight="1" s="18">
      <c r="A56" s="29" t="inlineStr">
        <is>
          <t>Rosemary</t>
        </is>
      </c>
      <c r="B56" s="29" t="inlineStr">
        <is>
          <t>Herbs &amp; flowers</t>
        </is>
      </c>
      <c r="C56" s="30" t="inlineStr">
        <is>
          <t>protection, memory, cleansing, focus</t>
        </is>
      </c>
      <c r="D56" s="31" t="inlineStr">
        <is>
          <t>Mind</t>
        </is>
      </c>
      <c r="E56" s="31" t="inlineStr">
        <is>
          <t>Strong</t>
        </is>
      </c>
      <c r="F56" s="30" t="inlineStr">
        <is>
          <t>Sharpens the mind. Students sip it before exams so nothing slips away.</t>
        </is>
      </c>
      <c r="G56" s="29">
        <f>IF(OR(D56="—",D56="",K56=""),"",COUNTIF($J$2:$J$259,J56)-1)</f>
        <v/>
      </c>
      <c r="H56" s="31" t="n"/>
      <c r="I56" s="30" t="n"/>
      <c r="J56" s="22">
        <f>K56&amp;"|"&amp;D56&amp;"|"&amp;E56</f>
        <v/>
      </c>
      <c r="K56" s="22" t="inlineStr">
        <is>
          <t>cleansing,focus,memory,protection</t>
        </is>
      </c>
      <c r="L56" s="22">
        <f>", "&amp;C56&amp;", "</f>
        <v/>
      </c>
    </row>
    <row r="57" ht="15" customHeight="1" s="18">
      <c r="A57" s="29" t="inlineStr">
        <is>
          <t>Rue</t>
        </is>
      </c>
      <c r="B57" s="29" t="inlineStr">
        <is>
          <t>Herbs &amp; flowers</t>
        </is>
      </c>
      <c r="C57" s="30" t="inlineStr">
        <is>
          <t>protection, banishing, boundaries</t>
        </is>
      </c>
      <c r="D57" s="31" t="inlineStr">
        <is>
          <t>Space</t>
        </is>
      </c>
      <c r="E57" s="31" t="inlineStr">
        <is>
          <t>Strong</t>
        </is>
      </c>
      <c r="F57" s="30" t="inlineStr">
        <is>
          <t>The bitter herb. Shuts the door hard on what isn't welcome.</t>
        </is>
      </c>
      <c r="G57" s="29">
        <f>IF(OR(D57="—",D57="",K57=""),"",COUNTIF($J$2:$J$259,J57)-1)</f>
        <v/>
      </c>
      <c r="H57" s="31" t="n"/>
      <c r="I57" s="30" t="n"/>
      <c r="J57" s="22">
        <f>K57&amp;"|"&amp;D57&amp;"|"&amp;E57</f>
        <v/>
      </c>
      <c r="K57" s="22" t="inlineStr">
        <is>
          <t>banishing,boundaries,protection</t>
        </is>
      </c>
      <c r="L57" s="22">
        <f>", "&amp;C57&amp;", "</f>
        <v/>
      </c>
    </row>
    <row r="58" ht="15" customHeight="1" s="18">
      <c r="A58" s="29" t="inlineStr">
        <is>
          <t>Snowdrop</t>
        </is>
      </c>
      <c r="B58" s="29" t="inlineStr">
        <is>
          <t>Herbs &amp; flowers</t>
        </is>
      </c>
      <c r="C58" s="30" t="inlineStr">
        <is>
          <t>beginnings, growth</t>
        </is>
      </c>
      <c r="D58" s="31" t="inlineStr">
        <is>
          <t>Mind</t>
        </is>
      </c>
      <c r="E58" s="31" t="inlineStr">
        <is>
          <t>Gentle</t>
        </is>
      </c>
      <c r="F58" s="30" t="inlineStr">
        <is>
          <t>The first flower after winter. Hope coming back.</t>
        </is>
      </c>
      <c r="G58" s="29">
        <f>IF(OR(D58="—",D58="",K58=""),"",COUNTIF($J$2:$J$259,J58)-1)</f>
        <v/>
      </c>
      <c r="H58" s="31" t="n"/>
      <c r="I58" s="30" t="n"/>
      <c r="J58" s="22">
        <f>K58&amp;"|"&amp;D58&amp;"|"&amp;E58</f>
        <v/>
      </c>
      <c r="K58" s="22" t="inlineStr">
        <is>
          <t>beginnings,growth</t>
        </is>
      </c>
      <c r="L58" s="22">
        <f>", "&amp;C58&amp;", "</f>
        <v/>
      </c>
    </row>
    <row r="59" ht="15" customHeight="1" s="18">
      <c r="A59" s="29" t="inlineStr">
        <is>
          <t>Sunflower petals</t>
        </is>
      </c>
      <c r="B59" s="29" t="inlineStr">
        <is>
          <t>Herbs &amp; flowers</t>
        </is>
      </c>
      <c r="C59" s="30" t="inlineStr">
        <is>
          <t>joy, confidence</t>
        </is>
      </c>
      <c r="D59" s="31" t="inlineStr">
        <is>
          <t>Mind</t>
        </is>
      </c>
      <c r="E59" s="31" t="inlineStr">
        <is>
          <t>Gentle</t>
        </is>
      </c>
      <c r="F59" s="30" t="inlineStr">
        <is>
          <t>For the shy child on stage. Turns their face toward the light.</t>
        </is>
      </c>
      <c r="G59" s="29">
        <f>IF(OR(D59="—",D59="",K59=""),"",COUNTIF($J$2:$J$259,J59)-1)</f>
        <v/>
      </c>
      <c r="H59" s="31" t="n"/>
      <c r="I59" s="30" t="n"/>
      <c r="J59" s="22">
        <f>K59&amp;"|"&amp;D59&amp;"|"&amp;E59</f>
        <v/>
      </c>
      <c r="K59" s="22" t="inlineStr">
        <is>
          <t>confidence,joy</t>
        </is>
      </c>
      <c r="L59" s="22">
        <f>", "&amp;C59&amp;", "</f>
        <v/>
      </c>
    </row>
    <row r="60" ht="15" customHeight="1" s="18">
      <c r="A60" s="29" t="inlineStr">
        <is>
          <t>Sweet pea</t>
        </is>
      </c>
      <c r="B60" s="29" t="inlineStr">
        <is>
          <t>Herbs &amp; flowers</t>
        </is>
      </c>
      <c r="C60" s="30" t="inlineStr">
        <is>
          <t>friendship</t>
        </is>
      </c>
      <c r="D60" s="31" t="inlineStr">
        <is>
          <t>Space</t>
        </is>
      </c>
      <c r="E60" s="31" t="inlineStr">
        <is>
          <t>Gentle</t>
        </is>
      </c>
      <c r="F60" s="30" t="inlineStr">
        <is>
          <t>The thank-you flower. Kind to the people you'd hate to lose.</t>
        </is>
      </c>
      <c r="G60" s="29">
        <f>IF(OR(D60="—",D60="",K60=""),"",COUNTIF($J$2:$J$259,J60)-1)</f>
        <v/>
      </c>
      <c r="H60" s="31" t="n"/>
      <c r="I60" s="30" t="n"/>
      <c r="J60" s="22">
        <f>K60&amp;"|"&amp;D60&amp;"|"&amp;E60</f>
        <v/>
      </c>
      <c r="K60" s="22" t="inlineStr">
        <is>
          <t>friendship</t>
        </is>
      </c>
      <c r="L60" s="22">
        <f>", "&amp;C60&amp;", "</f>
        <v/>
      </c>
    </row>
    <row r="61" ht="15" customHeight="1" s="18">
      <c r="A61" s="29" t="inlineStr">
        <is>
          <t>Thyme</t>
        </is>
      </c>
      <c r="B61" s="29" t="inlineStr">
        <is>
          <t>Herbs &amp; flowers</t>
        </is>
      </c>
      <c r="C61" s="30" t="inlineStr">
        <is>
          <t>courage, confidence</t>
        </is>
      </c>
      <c r="D61" s="31" t="inlineStr">
        <is>
          <t>Mind</t>
        </is>
      </c>
      <c r="E61" s="31" t="inlineStr">
        <is>
          <t>Strong</t>
        </is>
      </c>
      <c r="F61" s="30" t="inlineStr">
        <is>
          <t>Nerve for a fearful heart.</t>
        </is>
      </c>
      <c r="G61" s="29">
        <f>IF(OR(D61="—",D61="",K61=""),"",COUNTIF($J$2:$J$259,J61)-1)</f>
        <v/>
      </c>
      <c r="H61" s="31" t="n"/>
      <c r="I61" s="30" t="n"/>
      <c r="J61" s="22">
        <f>K61&amp;"|"&amp;D61&amp;"|"&amp;E61</f>
        <v/>
      </c>
      <c r="K61" s="22" t="inlineStr">
        <is>
          <t>confidence,courage</t>
        </is>
      </c>
      <c r="L61" s="22">
        <f>", "&amp;C61&amp;", "</f>
        <v/>
      </c>
    </row>
    <row r="62" ht="15" customHeight="1" s="18">
      <c r="A62" s="29" t="inlineStr">
        <is>
          <t>Valerian</t>
        </is>
      </c>
      <c r="B62" s="29" t="inlineStr">
        <is>
          <t>Herbs &amp; flowers</t>
        </is>
      </c>
      <c r="C62" s="30" t="inlineStr">
        <is>
          <t>sleep, rest, calm</t>
        </is>
      </c>
      <c r="D62" s="31" t="inlineStr">
        <is>
          <t>Body</t>
        </is>
      </c>
      <c r="E62" s="31" t="inlineStr">
        <is>
          <t>Strong</t>
        </is>
      </c>
      <c r="F62" s="30" t="inlineStr">
        <is>
          <t>Sleep that drops like a stone. Too much for little ones.</t>
        </is>
      </c>
      <c r="G62" s="29">
        <f>IF(OR(D62="—",D62="",K62=""),"",COUNTIF($J$2:$J$259,J62)-1)</f>
        <v/>
      </c>
      <c r="H62" s="31" t="n"/>
      <c r="I62" s="30" t="n"/>
      <c r="J62" s="22">
        <f>K62&amp;"|"&amp;D62&amp;"|"&amp;E62</f>
        <v/>
      </c>
      <c r="K62" s="22" t="inlineStr">
        <is>
          <t>calm,rest,sleep</t>
        </is>
      </c>
      <c r="L62" s="22">
        <f>", "&amp;C62&amp;", "</f>
        <v/>
      </c>
    </row>
    <row r="63" ht="15" customHeight="1" s="18">
      <c r="A63" s="29" t="inlineStr">
        <is>
          <t>Violet</t>
        </is>
      </c>
      <c r="B63" s="29" t="inlineStr">
        <is>
          <t>Herbs &amp; flowers</t>
        </is>
      </c>
      <c r="C63" s="30" t="inlineStr">
        <is>
          <t>dreams, creativity, wonder</t>
        </is>
      </c>
      <c r="D63" s="31" t="inlineStr">
        <is>
          <t>Mind</t>
        </is>
      </c>
      <c r="E63" s="31" t="inlineStr">
        <is>
          <t>Gentle</t>
        </is>
      </c>
      <c r="F63" s="30" t="inlineStr">
        <is>
          <t>For the shy artist who only draws at night.</t>
        </is>
      </c>
      <c r="G63" s="29">
        <f>IF(OR(D63="—",D63="",K63=""),"",COUNTIF($J$2:$J$259,J63)-1)</f>
        <v/>
      </c>
      <c r="H63" s="31" t="n"/>
      <c r="I63" s="30" t="n"/>
      <c r="J63" s="22">
        <f>K63&amp;"|"&amp;D63&amp;"|"&amp;E63</f>
        <v/>
      </c>
      <c r="K63" s="22" t="inlineStr">
        <is>
          <t>creativity,dreams,wonder</t>
        </is>
      </c>
      <c r="L63" s="22">
        <f>", "&amp;C63&amp;", "</f>
        <v/>
      </c>
    </row>
    <row r="64" ht="15" customHeight="1" s="18">
      <c r="A64" s="29" t="inlineStr">
        <is>
          <t>White lily</t>
        </is>
      </c>
      <c r="B64" s="29" t="inlineStr">
        <is>
          <t>Herbs &amp; flowers</t>
        </is>
      </c>
      <c r="C64" s="30" t="inlineStr">
        <is>
          <t>beauty, calm, truth</t>
        </is>
      </c>
      <c r="D64" s="31" t="inlineStr">
        <is>
          <t>Mind</t>
        </is>
      </c>
      <c r="E64" s="31" t="inlineStr">
        <is>
          <t>Gentle</t>
        </is>
      </c>
      <c r="F64" s="30" t="inlineStr">
        <is>
          <t>Still and white. For an honest answer, given quietly.</t>
        </is>
      </c>
      <c r="G64" s="29">
        <f>IF(OR(D64="—",D64="",K64=""),"",COUNTIF($J$2:$J$259,J64)-1)</f>
        <v/>
      </c>
      <c r="H64" s="31" t="n"/>
      <c r="I64" s="30" t="n"/>
      <c r="J64" s="22">
        <f>K64&amp;"|"&amp;D64&amp;"|"&amp;E64</f>
        <v/>
      </c>
      <c r="K64" s="22" t="inlineStr">
        <is>
          <t>beauty,calm,truth</t>
        </is>
      </c>
      <c r="L64" s="22">
        <f>", "&amp;C64&amp;", "</f>
        <v/>
      </c>
    </row>
    <row r="65" ht="15" customHeight="1" s="18">
      <c r="A65" s="29" t="inlineStr">
        <is>
          <t>Wormwood</t>
        </is>
      </c>
      <c r="B65" s="29" t="inlineStr">
        <is>
          <t>Herbs &amp; flowers</t>
        </is>
      </c>
      <c r="C65" s="30" t="inlineStr">
        <is>
          <t>transformation</t>
        </is>
      </c>
      <c r="D65" s="31" t="inlineStr">
        <is>
          <t>Mind</t>
        </is>
      </c>
      <c r="E65" s="31" t="inlineStr">
        <is>
          <t>Strong</t>
        </is>
      </c>
      <c r="F65" s="30" t="inlineStr">
        <is>
          <t>Bitter, uncanny change. Use it sparingly.</t>
        </is>
      </c>
      <c r="G65" s="29">
        <f>IF(OR(D65="—",D65="",K65=""),"",COUNTIF($J$2:$J$259,J65)-1)</f>
        <v/>
      </c>
      <c r="H65" s="31" t="n"/>
      <c r="I65" s="30" t="n"/>
      <c r="J65" s="22">
        <f>K65&amp;"|"&amp;D65&amp;"|"&amp;E65</f>
        <v/>
      </c>
      <c r="K65" s="22" t="inlineStr">
        <is>
          <t>transformation</t>
        </is>
      </c>
      <c r="L65" s="22">
        <f>", "&amp;C65&amp;", "</f>
        <v/>
      </c>
    </row>
    <row r="66" ht="15" customHeight="1" s="18">
      <c r="A66" s="29" t="inlineStr">
        <is>
          <t>Wheat</t>
        </is>
      </c>
      <c r="B66" s="29" t="inlineStr">
        <is>
          <t>Herbs &amp; flowers</t>
        </is>
      </c>
      <c r="C66" s="30" t="inlineStr">
        <is>
          <t>abundance, gratitude, home</t>
        </is>
      </c>
      <c r="D66" s="31" t="inlineStr">
        <is>
          <t>Space</t>
        </is>
      </c>
      <c r="E66" s="31" t="inlineStr">
        <is>
          <t>Gentle</t>
        </is>
      </c>
      <c r="F66" s="30" t="inlineStr">
        <is>
          <t>Harvest plenty and thanks for a full table.</t>
        </is>
      </c>
      <c r="G66" s="29">
        <f>IF(OR(D66="—",D66="",K66=""),"",COUNTIF($J$2:$J$259,J66)-1)</f>
        <v/>
      </c>
      <c r="H66" s="31" t="n"/>
      <c r="I66" s="30" t="n"/>
      <c r="J66" s="22">
        <f>K66&amp;"|"&amp;D66&amp;"|"&amp;E66</f>
        <v/>
      </c>
      <c r="K66" s="22" t="inlineStr">
        <is>
          <t>abundance,gratitude,home</t>
        </is>
      </c>
      <c r="L66" s="22">
        <f>", "&amp;C66&amp;", "</f>
        <v/>
      </c>
    </row>
    <row r="67" ht="23.25" customHeight="1" s="18">
      <c r="A67" s="29" t="inlineStr">
        <is>
          <t>Seaweed</t>
        </is>
      </c>
      <c r="B67" s="29" t="inlineStr">
        <is>
          <t>Herbs &amp; flowers</t>
        </is>
      </c>
      <c r="C67" s="30" t="inlineStr">
        <is>
          <t>healing, connection, release</t>
        </is>
      </c>
      <c r="D67" s="31" t="inlineStr">
        <is>
          <t>Space</t>
        </is>
      </c>
      <c r="E67" s="31" t="inlineStr">
        <is>
          <t>Gentle</t>
        </is>
      </c>
      <c r="F67" s="30" t="inlineStr">
        <is>
          <t>From the sea. Links shore to shore and carries sorrow off with the tide.</t>
        </is>
      </c>
      <c r="G67" s="29">
        <f>IF(OR(D67="—",D67="",K67=""),"",COUNTIF($J$2:$J$259,J67)-1)</f>
        <v/>
      </c>
      <c r="H67" s="31" t="inlineStr">
        <is>
          <t>OK</t>
        </is>
      </c>
      <c r="I67" s="30" t="inlineStr">
        <is>
          <t>Moved from Body to Space so calendula is the only gentle body healer among the herbs. Target is a guess.</t>
        </is>
      </c>
      <c r="J67" s="22">
        <f>K67&amp;"|"&amp;D67&amp;"|"&amp;E67</f>
        <v/>
      </c>
      <c r="K67" s="22" t="inlineStr">
        <is>
          <t>connection,healing,release</t>
        </is>
      </c>
      <c r="L67" s="22">
        <f>", "&amp;C67&amp;", "</f>
        <v/>
      </c>
    </row>
    <row r="68" ht="15" customHeight="1" s="18">
      <c r="A68" s="29" t="inlineStr">
        <is>
          <t>Pressed moon petals</t>
        </is>
      </c>
      <c r="B68" s="29" t="inlineStr">
        <is>
          <t>Herbs &amp; flowers</t>
        </is>
      </c>
      <c r="C68" s="30" t="inlineStr">
        <is>
          <t>gratitude, connection, memory</t>
        </is>
      </c>
      <c r="D68" s="31" t="inlineStr">
        <is>
          <t>Mind</t>
        </is>
      </c>
      <c r="E68" s="31" t="inlineStr">
        <is>
          <t>Gentle</t>
        </is>
      </c>
      <c r="F68" s="30" t="inlineStr">
        <is>
          <t>Pressed in a book for someone who's gone. Thank them, and feel them near.</t>
        </is>
      </c>
      <c r="G68" s="29">
        <f>IF(OR(D68="—",D68="",K68=""),"",COUNTIF($J$2:$J$259,J68)-1)</f>
        <v/>
      </c>
      <c r="H68" s="31" t="n"/>
      <c r="I68" s="30" t="n"/>
      <c r="J68" s="22">
        <f>K68&amp;"|"&amp;D68&amp;"|"&amp;E68</f>
        <v/>
      </c>
      <c r="K68" s="22" t="inlineStr">
        <is>
          <t>connection,gratitude,memory</t>
        </is>
      </c>
      <c r="L68" s="22">
        <f>", "&amp;C68&amp;", "</f>
        <v/>
      </c>
    </row>
    <row r="69" ht="15" customHeight="1" s="18">
      <c r="A69" s="29" t="inlineStr">
        <is>
          <t>Black tea</t>
        </is>
      </c>
      <c r="B69" s="29" t="inlineStr">
        <is>
          <t>Herbs &amp; flowers</t>
        </is>
      </c>
      <c r="C69" s="30" t="inlineStr">
        <is>
          <t>focus, energy, comfort</t>
        </is>
      </c>
      <c r="D69" s="31" t="inlineStr">
        <is>
          <t>Body</t>
        </is>
      </c>
      <c r="E69" s="31" t="inlineStr">
        <is>
          <t>Strong</t>
        </is>
      </c>
      <c r="F69" s="30" t="inlineStr">
        <is>
          <t>A strong brew for a tired body and a long night.</t>
        </is>
      </c>
      <c r="G69" s="29">
        <f>IF(OR(D69="—",D69="",K69=""),"",COUNTIF($J$2:$J$259,J69)-1)</f>
        <v/>
      </c>
      <c r="H69" s="31" t="n"/>
      <c r="I69" s="30" t="n"/>
      <c r="J69" s="22">
        <f>K69&amp;"|"&amp;D69&amp;"|"&amp;E69</f>
        <v/>
      </c>
      <c r="K69" s="22" t="inlineStr">
        <is>
          <t>comfort,energy,focus</t>
        </is>
      </c>
      <c r="L69" s="22">
        <f>", "&amp;C69&amp;", "</f>
        <v/>
      </c>
    </row>
    <row r="70" ht="15" customHeight="1" s="18">
      <c r="A70" s="29" t="inlineStr">
        <is>
          <t>Cedar</t>
        </is>
      </c>
      <c r="B70" s="29" t="inlineStr">
        <is>
          <t>Herbs &amp; flowers</t>
        </is>
      </c>
      <c r="C70" s="30" t="inlineStr">
        <is>
          <t>protection, cleansing, home</t>
        </is>
      </c>
      <c r="D70" s="31" t="inlineStr">
        <is>
          <t>Space</t>
        </is>
      </c>
      <c r="E70" s="31" t="inlineStr">
        <is>
          <t>Strong</t>
        </is>
      </c>
      <c r="F70" s="30" t="inlineStr">
        <is>
          <t>Guards a house's corners. Clean, stern wood.</t>
        </is>
      </c>
      <c r="G70" s="29">
        <f>IF(OR(D70="—",D70="",K70=""),"",COUNTIF($J$2:$J$259,J70)-1)</f>
        <v/>
      </c>
      <c r="H70" s="31" t="n"/>
      <c r="I70" s="30" t="n"/>
      <c r="J70" s="22">
        <f>K70&amp;"|"&amp;D70&amp;"|"&amp;E70</f>
        <v/>
      </c>
      <c r="K70" s="22" t="inlineStr">
        <is>
          <t>cleansing,home,protection</t>
        </is>
      </c>
      <c r="L70" s="22">
        <f>", "&amp;C70&amp;", "</f>
        <v/>
      </c>
    </row>
    <row r="71" ht="23.25" customHeight="1" s="18">
      <c r="A71" s="29" t="inlineStr">
        <is>
          <t>Cedar chips</t>
        </is>
      </c>
      <c r="B71" s="29" t="inlineStr">
        <is>
          <t>Herbs &amp; flowers</t>
        </is>
      </c>
      <c r="C71" s="30" t="inlineStr">
        <is>
          <t>home</t>
        </is>
      </c>
      <c r="D71" s="31" t="inlineStr">
        <is>
          <t>Space</t>
        </is>
      </c>
      <c r="E71" s="31" t="inlineStr">
        <is>
          <t>Gentle</t>
        </is>
      </c>
      <c r="F71" s="30" t="inlineStr">
        <is>
          <t>Scattered in drawers and cupboards until the place smells like yours.</t>
        </is>
      </c>
      <c r="G71" s="29">
        <f>IF(OR(D71="—",D71="",K71=""),"",COUNTIF($J$2:$J$259,J71)-1)</f>
        <v/>
      </c>
      <c r="H71" s="31" t="n"/>
      <c r="I71" s="30" t="n"/>
      <c r="J71" s="22">
        <f>K71&amp;"|"&amp;D71&amp;"|"&amp;E71</f>
        <v/>
      </c>
      <c r="K71" s="22" t="inlineStr">
        <is>
          <t>home</t>
        </is>
      </c>
      <c r="L71" s="22">
        <f>", "&amp;C71&amp;", "</f>
        <v/>
      </c>
    </row>
    <row r="72" ht="15" customHeight="1" s="18">
      <c r="A72" s="29" t="inlineStr">
        <is>
          <t>Cypress</t>
        </is>
      </c>
      <c r="B72" s="29" t="inlineStr">
        <is>
          <t>Herbs &amp; flowers</t>
        </is>
      </c>
      <c r="C72" s="30" t="inlineStr">
        <is>
          <t>endings, comfort, release</t>
        </is>
      </c>
      <c r="D72" s="31" t="inlineStr">
        <is>
          <t>Mind</t>
        </is>
      </c>
      <c r="E72" s="31" t="inlineStr">
        <is>
          <t>Gentle</t>
        </is>
      </c>
      <c r="F72" s="30" t="inlineStr">
        <is>
          <t>The mourning tree. Planted at gravesides for the ones left behind.</t>
        </is>
      </c>
      <c r="G72" s="29">
        <f>IF(OR(D72="—",D72="",K72=""),"",COUNTIF($J$2:$J$259,J72)-1)</f>
        <v/>
      </c>
      <c r="H72" s="31" t="n"/>
      <c r="I72" s="30" t="n"/>
      <c r="J72" s="22">
        <f>K72&amp;"|"&amp;D72&amp;"|"&amp;E72</f>
        <v/>
      </c>
      <c r="K72" s="22" t="inlineStr">
        <is>
          <t>comfort,endings,release</t>
        </is>
      </c>
      <c r="L72" s="22">
        <f>", "&amp;C72&amp;", "</f>
        <v/>
      </c>
    </row>
    <row r="73" ht="15" customHeight="1" s="18">
      <c r="A73" s="29" t="inlineStr">
        <is>
          <t>Juniper</t>
        </is>
      </c>
      <c r="B73" s="29" t="inlineStr">
        <is>
          <t>Herbs &amp; flowers</t>
        </is>
      </c>
      <c r="C73" s="30" t="inlineStr">
        <is>
          <t>protection, cleansing</t>
        </is>
      </c>
      <c r="D73" s="31" t="inlineStr">
        <is>
          <t>Space</t>
        </is>
      </c>
      <c r="E73" s="31" t="inlineStr">
        <is>
          <t>Strong</t>
        </is>
      </c>
      <c r="F73" s="30" t="inlineStr">
        <is>
          <t>Smoked through a room to purify and protect it.</t>
        </is>
      </c>
      <c r="G73" s="29">
        <f>IF(OR(D73="—",D73="",K73=""),"",COUNTIF($J$2:$J$259,J73)-1)</f>
        <v/>
      </c>
      <c r="H73" s="31" t="n"/>
      <c r="I73" s="30" t="n"/>
      <c r="J73" s="22">
        <f>K73&amp;"|"&amp;D73&amp;"|"&amp;E73</f>
        <v/>
      </c>
      <c r="K73" s="22" t="inlineStr">
        <is>
          <t>cleansing,protection</t>
        </is>
      </c>
      <c r="L73" s="22">
        <f>", "&amp;C73&amp;", "</f>
        <v/>
      </c>
    </row>
    <row r="74" ht="15" customHeight="1" s="18">
      <c r="A74" s="29" t="inlineStr">
        <is>
          <t>Pine</t>
        </is>
      </c>
      <c r="B74" s="29" t="inlineStr">
        <is>
          <t>Herbs &amp; flowers</t>
        </is>
      </c>
      <c r="C74" s="30" t="inlineStr">
        <is>
          <t>joy, connection</t>
        </is>
      </c>
      <c r="D74" s="31" t="inlineStr">
        <is>
          <t>Space</t>
        </is>
      </c>
      <c r="E74" s="31" t="inlineStr">
        <is>
          <t>Gentle</t>
        </is>
      </c>
      <c r="F74" s="30" t="inlineStr">
        <is>
          <t>Evergreen gatherings. Joy shared under one roof.</t>
        </is>
      </c>
      <c r="G74" s="29">
        <f>IF(OR(D74="—",D74="",K74=""),"",COUNTIF($J$2:$J$259,J74)-1)</f>
        <v/>
      </c>
      <c r="H74" s="31" t="n"/>
      <c r="I74" s="30" t="n"/>
      <c r="J74" s="22">
        <f>K74&amp;"|"&amp;D74&amp;"|"&amp;E74</f>
        <v/>
      </c>
      <c r="K74" s="22" t="inlineStr">
        <is>
          <t>connection,joy</t>
        </is>
      </c>
      <c r="L74" s="22">
        <f>", "&amp;C74&amp;", "</f>
        <v/>
      </c>
    </row>
    <row r="75" ht="23.25" customHeight="1" s="18">
      <c r="A75" s="29" t="inlineStr">
        <is>
          <t>Willow bark</t>
        </is>
      </c>
      <c r="B75" s="29" t="inlineStr">
        <is>
          <t>Herbs &amp; flowers</t>
        </is>
      </c>
      <c r="C75" s="30" t="inlineStr">
        <is>
          <t>release, intuition</t>
        </is>
      </c>
      <c r="D75" s="31" t="inlineStr">
        <is>
          <t>Body</t>
        </is>
      </c>
      <c r="E75" s="31" t="inlineStr">
        <is>
          <t>Gentle</t>
        </is>
      </c>
      <c r="F75" s="30" t="inlineStr">
        <is>
          <t>Eases aches and lets go of them slowly.</t>
        </is>
      </c>
      <c r="G75" s="29">
        <f>IF(OR(D75="—",D75="",K75=""),"",COUNTIF($J$2:$J$259,J75)-1)</f>
        <v/>
      </c>
      <c r="H75" s="31" t="inlineStr">
        <is>
          <t>OK</t>
        </is>
      </c>
      <c r="I75" s="30" t="inlineStr">
        <is>
          <t>Props are release + intuition, but folk use is pain relief. Body fits the use, not the props.</t>
        </is>
      </c>
      <c r="J75" s="22">
        <f>K75&amp;"|"&amp;D75&amp;"|"&amp;E75</f>
        <v/>
      </c>
      <c r="K75" s="22" t="inlineStr">
        <is>
          <t>intuition,release</t>
        </is>
      </c>
      <c r="L75" s="22">
        <f>", "&amp;C75&amp;", "</f>
        <v/>
      </c>
    </row>
    <row r="76" ht="15" customHeight="1" s="18">
      <c r="A76" s="29" t="inlineStr">
        <is>
          <t>Autumn leaf</t>
        </is>
      </c>
      <c r="B76" s="29" t="inlineStr">
        <is>
          <t>Herbs &amp; flowers</t>
        </is>
      </c>
      <c r="C76" s="30" t="inlineStr">
        <is>
          <t>transformation, gratitude</t>
        </is>
      </c>
      <c r="D76" s="31" t="inlineStr">
        <is>
          <t>Mind</t>
        </is>
      </c>
      <c r="E76" s="31" t="inlineStr">
        <is>
          <t>Gentle</t>
        </is>
      </c>
      <c r="F76" s="30" t="inlineStr">
        <is>
          <t>Let it fall. Change that comes softly, with thanks for what was.</t>
        </is>
      </c>
      <c r="G76" s="29">
        <f>IF(OR(D76="—",D76="",K76=""),"",COUNTIF($J$2:$J$259,J76)-1)</f>
        <v/>
      </c>
      <c r="H76" s="31" t="n"/>
      <c r="I76" s="30" t="n"/>
      <c r="J76" s="22">
        <f>K76&amp;"|"&amp;D76&amp;"|"&amp;E76</f>
        <v/>
      </c>
      <c r="K76" s="22" t="inlineStr">
        <is>
          <t>gratitude,transformation</t>
        </is>
      </c>
      <c r="L76" s="22">
        <f>", "&amp;C76&amp;", "</f>
        <v/>
      </c>
    </row>
    <row r="77" ht="15" customHeight="1" s="18">
      <c r="A77" s="29" t="inlineStr">
        <is>
          <t>Apple</t>
        </is>
      </c>
      <c r="B77" s="29" t="inlineStr">
        <is>
          <t>Fruits</t>
        </is>
      </c>
      <c r="C77" s="30" t="inlineStr">
        <is>
          <t>love</t>
        </is>
      </c>
      <c r="D77" s="31" t="inlineStr">
        <is>
          <t>Mind</t>
        </is>
      </c>
      <c r="E77" s="31" t="inlineStr">
        <is>
          <t>Gentle</t>
        </is>
      </c>
      <c r="F77" s="30" t="inlineStr">
        <is>
          <t>Shared between two people, bite for bite. Plain, honest affection.</t>
        </is>
      </c>
      <c r="G77" s="29">
        <f>IF(OR(D77="—",D77="",K77=""),"",COUNTIF($J$2:$J$259,J77)-1)</f>
        <v/>
      </c>
      <c r="H77" s="31" t="n"/>
      <c r="I77" s="30" t="n"/>
      <c r="J77" s="22">
        <f>K77&amp;"|"&amp;D77&amp;"|"&amp;E77</f>
        <v/>
      </c>
      <c r="K77" s="22" t="inlineStr">
        <is>
          <t>love</t>
        </is>
      </c>
      <c r="L77" s="22">
        <f>", "&amp;C77&amp;", "</f>
        <v/>
      </c>
    </row>
    <row r="78" ht="15" customHeight="1" s="18">
      <c r="A78" s="29" t="inlineStr">
        <is>
          <t>Apple peel</t>
        </is>
      </c>
      <c r="B78" s="29" t="inlineStr">
        <is>
          <t>Fruits</t>
        </is>
      </c>
      <c r="C78" s="30" t="inlineStr">
        <is>
          <t>love, home</t>
        </is>
      </c>
      <c r="D78" s="31" t="inlineStr">
        <is>
          <t>Space</t>
        </is>
      </c>
      <c r="E78" s="31" t="inlineStr">
        <is>
          <t>Gentle</t>
        </is>
      </c>
      <c r="F78" s="30" t="inlineStr">
        <is>
          <t>A family's sweetness, peeled in one long curl at the kitchen table.</t>
        </is>
      </c>
      <c r="G78" s="29">
        <f>IF(OR(D78="—",D78="",K78=""),"",COUNTIF($J$2:$J$259,J78)-1)</f>
        <v/>
      </c>
      <c r="H78" s="31" t="n"/>
      <c r="I78" s="30" t="n"/>
      <c r="J78" s="22">
        <f>K78&amp;"|"&amp;D78&amp;"|"&amp;E78</f>
        <v/>
      </c>
      <c r="K78" s="22" t="inlineStr">
        <is>
          <t>home,love</t>
        </is>
      </c>
      <c r="L78" s="22">
        <f>", "&amp;C78&amp;", "</f>
        <v/>
      </c>
    </row>
    <row r="79" ht="15" customHeight="1" s="18">
      <c r="A79" s="29" t="inlineStr">
        <is>
          <t>Cherry</t>
        </is>
      </c>
      <c r="B79" s="29" t="inlineStr">
        <is>
          <t>Fruits</t>
        </is>
      </c>
      <c r="C79" s="30" t="inlineStr">
        <is>
          <t>play, wonder</t>
        </is>
      </c>
      <c r="D79" s="31" t="inlineStr">
        <is>
          <t>Mind</t>
        </is>
      </c>
      <c r="E79" s="31" t="inlineStr">
        <is>
          <t>Gentle</t>
        </is>
      </c>
      <c r="F79" s="30" t="inlineStr">
        <is>
          <t>Tie the stalk in a knot with your tongue. Mischief and small amazements.</t>
        </is>
      </c>
      <c r="G79" s="29">
        <f>IF(OR(D79="—",D79="",K79=""),"",COUNTIF($J$2:$J$259,J79)-1)</f>
        <v/>
      </c>
      <c r="H79" s="31" t="n"/>
      <c r="I79" s="30" t="n"/>
      <c r="J79" s="22">
        <f>K79&amp;"|"&amp;D79&amp;"|"&amp;E79</f>
        <v/>
      </c>
      <c r="K79" s="22" t="inlineStr">
        <is>
          <t>play,wonder</t>
        </is>
      </c>
      <c r="L79" s="22">
        <f>", "&amp;C79&amp;", "</f>
        <v/>
      </c>
    </row>
    <row r="80" ht="15" customHeight="1" s="18">
      <c r="A80" s="29" t="inlineStr">
        <is>
          <t>Grapes</t>
        </is>
      </c>
      <c r="B80" s="29" t="inlineStr">
        <is>
          <t>Fruits</t>
        </is>
      </c>
      <c r="C80" s="30" t="inlineStr">
        <is>
          <t>joy, success</t>
        </is>
      </c>
      <c r="D80" s="31" t="inlineStr">
        <is>
          <t>Space</t>
        </is>
      </c>
      <c r="E80" s="31" t="inlineStr">
        <is>
          <t>Gentle</t>
        </is>
      </c>
      <c r="F80" s="30" t="inlineStr">
        <is>
          <t>Abundant clusters. A feast for a job well done.</t>
        </is>
      </c>
      <c r="G80" s="29">
        <f>IF(OR(D80="—",D80="",K80=""),"",COUNTIF($J$2:$J$259,J80)-1)</f>
        <v/>
      </c>
      <c r="H80" s="31" t="n"/>
      <c r="I80" s="30" t="n"/>
      <c r="J80" s="22">
        <f>K80&amp;"|"&amp;D80&amp;"|"&amp;E80</f>
        <v/>
      </c>
      <c r="K80" s="22" t="inlineStr">
        <is>
          <t>joy,success</t>
        </is>
      </c>
      <c r="L80" s="22">
        <f>", "&amp;C80&amp;", "</f>
        <v/>
      </c>
    </row>
    <row r="81" ht="15" customHeight="1" s="18">
      <c r="A81" s="29" t="inlineStr">
        <is>
          <t>Lemon</t>
        </is>
      </c>
      <c r="B81" s="29" t="inlineStr">
        <is>
          <t>Fruits</t>
        </is>
      </c>
      <c r="C81" s="30" t="inlineStr">
        <is>
          <t>cleansing, joy, focus</t>
        </is>
      </c>
      <c r="D81" s="31" t="inlineStr">
        <is>
          <t>Body</t>
        </is>
      </c>
      <c r="E81" s="31" t="inlineStr">
        <is>
          <t>Strong</t>
        </is>
      </c>
      <c r="F81" s="30" t="inlineStr">
        <is>
          <t>Sour and scouring. Wakes the whole body.</t>
        </is>
      </c>
      <c r="G81" s="29">
        <f>IF(OR(D81="—",D81="",K81=""),"",COUNTIF($J$2:$J$259,J81)-1)</f>
        <v/>
      </c>
      <c r="H81" s="31" t="n"/>
      <c r="I81" s="30" t="n"/>
      <c r="J81" s="22">
        <f>K81&amp;"|"&amp;D81&amp;"|"&amp;E81</f>
        <v/>
      </c>
      <c r="K81" s="22" t="inlineStr">
        <is>
          <t>cleansing,focus,joy</t>
        </is>
      </c>
      <c r="L81" s="22">
        <f>", "&amp;C81&amp;", "</f>
        <v/>
      </c>
    </row>
    <row r="82" ht="15" customHeight="1" s="18">
      <c r="A82" s="29" t="inlineStr">
        <is>
          <t>Lemon peel</t>
        </is>
      </c>
      <c r="B82" s="29" t="inlineStr">
        <is>
          <t>Fruits</t>
        </is>
      </c>
      <c r="C82" s="30" t="inlineStr">
        <is>
          <t>cleansing, focus, joy</t>
        </is>
      </c>
      <c r="D82" s="31" t="inlineStr">
        <is>
          <t>Space</t>
        </is>
      </c>
      <c r="E82" s="31" t="inlineStr">
        <is>
          <t>Strong</t>
        </is>
      </c>
      <c r="F82" s="30" t="inlineStr">
        <is>
          <t>Zest that scrubs a room bright.</t>
        </is>
      </c>
      <c r="G82" s="29">
        <f>IF(OR(D82="—",D82="",K82=""),"",COUNTIF($J$2:$J$259,J82)-1)</f>
        <v/>
      </c>
      <c r="H82" s="31" t="n"/>
      <c r="I82" s="30" t="n"/>
      <c r="J82" s="22">
        <f>K82&amp;"|"&amp;D82&amp;"|"&amp;E82</f>
        <v/>
      </c>
      <c r="K82" s="22" t="inlineStr">
        <is>
          <t>cleansing,focus,joy</t>
        </is>
      </c>
      <c r="L82" s="22">
        <f>", "&amp;C82&amp;", "</f>
        <v/>
      </c>
    </row>
    <row r="83" ht="15" customHeight="1" s="18">
      <c r="A83" s="29" t="inlineStr">
        <is>
          <t>Lime peel</t>
        </is>
      </c>
      <c r="B83" s="29" t="inlineStr">
        <is>
          <t>Fruits</t>
        </is>
      </c>
      <c r="C83" s="30" t="inlineStr">
        <is>
          <t>cleansing, banishing, release</t>
        </is>
      </c>
      <c r="D83" s="31" t="inlineStr">
        <is>
          <t>Space</t>
        </is>
      </c>
      <c r="E83" s="31" t="inlineStr">
        <is>
          <t>Strong</t>
        </is>
      </c>
      <c r="F83" s="30" t="inlineStr">
        <is>
          <t>Cuts ties sharply. Sour zest that sends things packing.</t>
        </is>
      </c>
      <c r="G83" s="29">
        <f>IF(OR(D83="—",D83="",K83=""),"",COUNTIF($J$2:$J$259,J83)-1)</f>
        <v/>
      </c>
      <c r="H83" s="31" t="n"/>
      <c r="I83" s="30" t="n"/>
      <c r="J83" s="22">
        <f>K83&amp;"|"&amp;D83&amp;"|"&amp;E83</f>
        <v/>
      </c>
      <c r="K83" s="22" t="inlineStr">
        <is>
          <t>banishing,cleansing,release</t>
        </is>
      </c>
      <c r="L83" s="22">
        <f>", "&amp;C83&amp;", "</f>
        <v/>
      </c>
    </row>
    <row r="84" ht="15" customHeight="1" s="18">
      <c r="A84" s="29" t="inlineStr">
        <is>
          <t>Orange</t>
        </is>
      </c>
      <c r="B84" s="29" t="inlineStr">
        <is>
          <t>Fruits</t>
        </is>
      </c>
      <c r="C84" s="30" t="inlineStr">
        <is>
          <t>joy, abundance</t>
        </is>
      </c>
      <c r="D84" s="31" t="inlineStr">
        <is>
          <t>Mind</t>
        </is>
      </c>
      <c r="E84" s="31" t="inlineStr">
        <is>
          <t>Gentle</t>
        </is>
      </c>
      <c r="F84" s="30" t="inlineStr">
        <is>
          <t>A whole orange in the toe of a stocking. Cheer, and the feeling there's enough.</t>
        </is>
      </c>
      <c r="G84" s="29">
        <f>IF(OR(D84="—",D84="",K84=""),"",COUNTIF($J$2:$J$259,J84)-1)</f>
        <v/>
      </c>
      <c r="H84" s="31" t="n"/>
      <c r="I84" s="30" t="n"/>
      <c r="J84" s="22">
        <f>K84&amp;"|"&amp;D84&amp;"|"&amp;E84</f>
        <v/>
      </c>
      <c r="K84" s="22" t="inlineStr">
        <is>
          <t>abundance,joy</t>
        </is>
      </c>
      <c r="L84" s="22">
        <f>", "&amp;C84&amp;", "</f>
        <v/>
      </c>
    </row>
    <row r="85" ht="15" customHeight="1" s="18">
      <c r="A85" s="29" t="inlineStr">
        <is>
          <t>Orange peel</t>
        </is>
      </c>
      <c r="B85" s="29" t="inlineStr">
        <is>
          <t>Fruits</t>
        </is>
      </c>
      <c r="C85" s="30" t="inlineStr">
        <is>
          <t>joy, abundance, energy, comfort</t>
        </is>
      </c>
      <c r="D85" s="31" t="inlineStr">
        <is>
          <t>Space</t>
        </is>
      </c>
      <c r="E85" s="31" t="inlineStr">
        <is>
          <t>Gentle</t>
        </is>
      </c>
      <c r="F85" s="30" t="inlineStr">
        <is>
          <t>Warm zest for a cosy, well-stocked home.</t>
        </is>
      </c>
      <c r="G85" s="29">
        <f>IF(OR(D85="—",D85="",K85=""),"",COUNTIF($J$2:$J$259,J85)-1)</f>
        <v/>
      </c>
      <c r="H85" s="31" t="n"/>
      <c r="I85" s="30" t="n"/>
      <c r="J85" s="22">
        <f>K85&amp;"|"&amp;D85&amp;"|"&amp;E85</f>
        <v/>
      </c>
      <c r="K85" s="22" t="inlineStr">
        <is>
          <t>abundance,comfort,energy,joy</t>
        </is>
      </c>
      <c r="L85" s="22">
        <f>", "&amp;C85&amp;", "</f>
        <v/>
      </c>
    </row>
    <row r="86" ht="15" customHeight="1" s="18">
      <c r="A86" s="29" t="inlineStr">
        <is>
          <t>Peach</t>
        </is>
      </c>
      <c r="B86" s="29" t="inlineStr">
        <is>
          <t>Fruits</t>
        </is>
      </c>
      <c r="C86" s="30" t="inlineStr">
        <is>
          <t>beauty</t>
        </is>
      </c>
      <c r="D86" s="31" t="inlineStr">
        <is>
          <t>Body</t>
        </is>
      </c>
      <c r="E86" s="31" t="inlineStr">
        <is>
          <t>Gentle</t>
        </is>
      </c>
      <c r="F86" s="30" t="inlineStr">
        <is>
          <t>Soft skin and a sweet blush.</t>
        </is>
      </c>
      <c r="G86" s="29">
        <f>IF(OR(D86="—",D86="",K86=""),"",COUNTIF($J$2:$J$259,J86)-1)</f>
        <v/>
      </c>
      <c r="H86" s="31" t="n"/>
      <c r="I86" s="30" t="n"/>
      <c r="J86" s="22">
        <f>K86&amp;"|"&amp;D86&amp;"|"&amp;E86</f>
        <v/>
      </c>
      <c r="K86" s="22" t="inlineStr">
        <is>
          <t>beauty</t>
        </is>
      </c>
      <c r="L86" s="22">
        <f>", "&amp;C86&amp;", "</f>
        <v/>
      </c>
    </row>
    <row r="87" ht="15" customHeight="1" s="18">
      <c r="A87" s="29" t="inlineStr">
        <is>
          <t>Pomegranate seeds</t>
        </is>
      </c>
      <c r="B87" s="29" t="inlineStr">
        <is>
          <t>Fruits</t>
        </is>
      </c>
      <c r="C87" s="30" t="inlineStr">
        <is>
          <t>abundance, transformation</t>
        </is>
      </c>
      <c r="D87" s="31" t="inlineStr">
        <is>
          <t>Mind</t>
        </is>
      </c>
      <c r="E87" s="31" t="inlineStr">
        <is>
          <t>Strong</t>
        </is>
      </c>
      <c r="F87" s="30" t="inlineStr">
        <is>
          <t>The underworld fruit. Many seeds, deep change.</t>
        </is>
      </c>
      <c r="G87" s="29">
        <f>IF(OR(D87="—",D87="",K87=""),"",COUNTIF($J$2:$J$259,J87)-1)</f>
        <v/>
      </c>
      <c r="H87" s="31" t="n"/>
      <c r="I87" s="30" t="n"/>
      <c r="J87" s="22">
        <f>K87&amp;"|"&amp;D87&amp;"|"&amp;E87</f>
        <v/>
      </c>
      <c r="K87" s="22" t="inlineStr">
        <is>
          <t>abundance,transformation</t>
        </is>
      </c>
      <c r="L87" s="22">
        <f>", "&amp;C87&amp;", "</f>
        <v/>
      </c>
    </row>
    <row r="88" ht="15" customHeight="1" s="18">
      <c r="A88" s="29" t="inlineStr">
        <is>
          <t>Rose hips</t>
        </is>
      </c>
      <c r="B88" s="29" t="inlineStr">
        <is>
          <t>Fruits</t>
        </is>
      </c>
      <c r="C88" s="30" t="inlineStr">
        <is>
          <t>healing, love, comfort</t>
        </is>
      </c>
      <c r="D88" s="31" t="inlineStr">
        <is>
          <t>Body</t>
        </is>
      </c>
      <c r="E88" s="31" t="inlineStr">
        <is>
          <t>Gentle</t>
        </is>
      </c>
      <c r="F88" s="30" t="inlineStr">
        <is>
          <t>Winter fruit for colds, and for being looked after.</t>
        </is>
      </c>
      <c r="G88" s="29">
        <f>IF(OR(D88="—",D88="",K88=""),"",COUNTIF($J$2:$J$259,J88)-1)</f>
        <v/>
      </c>
      <c r="H88" s="31" t="n"/>
      <c r="I88" s="30" t="n"/>
      <c r="J88" s="22">
        <f>K88&amp;"|"&amp;D88&amp;"|"&amp;E88</f>
        <v/>
      </c>
      <c r="K88" s="22" t="inlineStr">
        <is>
          <t>comfort,healing,love</t>
        </is>
      </c>
      <c r="L88" s="22">
        <f>", "&amp;C88&amp;", "</f>
        <v/>
      </c>
    </row>
    <row r="89" ht="15" customHeight="1" s="18">
      <c r="A89" s="29" t="inlineStr">
        <is>
          <t>Strawberry</t>
        </is>
      </c>
      <c r="B89" s="29" t="inlineStr">
        <is>
          <t>Fruits</t>
        </is>
      </c>
      <c r="C89" s="30" t="inlineStr">
        <is>
          <t>love, play, joy</t>
        </is>
      </c>
      <c r="D89" s="31" t="inlineStr">
        <is>
          <t>Mind</t>
        </is>
      </c>
      <c r="E89" s="31" t="inlineStr">
        <is>
          <t>Gentle</t>
        </is>
      </c>
      <c r="F89" s="30" t="inlineStr">
        <is>
          <t>For a first date, or a flirt across the market stall.</t>
        </is>
      </c>
      <c r="G89" s="29">
        <f>IF(OR(D89="—",D89="",K89=""),"",COUNTIF($J$2:$J$259,J89)-1)</f>
        <v/>
      </c>
      <c r="H89" s="31" t="n"/>
      <c r="I89" s="30" t="n"/>
      <c r="J89" s="22">
        <f>K89&amp;"|"&amp;D89&amp;"|"&amp;E89</f>
        <v/>
      </c>
      <c r="K89" s="22" t="inlineStr">
        <is>
          <t>joy,love,play</t>
        </is>
      </c>
      <c r="L89" s="22">
        <f>", "&amp;C89&amp;", "</f>
        <v/>
      </c>
    </row>
    <row r="90" ht="15" customHeight="1" s="18">
      <c r="A90" s="29" t="inlineStr">
        <is>
          <t>Raisins</t>
        </is>
      </c>
      <c r="B90" s="29" t="inlineStr">
        <is>
          <t>Fruits</t>
        </is>
      </c>
      <c r="C90" s="30" t="inlineStr">
        <is>
          <t>joy</t>
        </is>
      </c>
      <c r="D90" s="31" t="inlineStr">
        <is>
          <t>Mind</t>
        </is>
      </c>
      <c r="E90" s="31" t="inlineStr">
        <is>
          <t>Gentle</t>
        </is>
      </c>
      <c r="F90" s="30" t="inlineStr">
        <is>
          <t>In a child's lunch tin. Small, chewy happiness.</t>
        </is>
      </c>
      <c r="G90" s="29">
        <f>IF(OR(D90="—",D90="",K90=""),"",COUNTIF($J$2:$J$259,J90)-1)</f>
        <v/>
      </c>
      <c r="H90" s="31" t="n"/>
      <c r="I90" s="30" t="n"/>
      <c r="J90" s="22">
        <f>K90&amp;"|"&amp;D90&amp;"|"&amp;E90</f>
        <v/>
      </c>
      <c r="K90" s="22" t="inlineStr">
        <is>
          <t>joy</t>
        </is>
      </c>
      <c r="L90" s="22">
        <f>", "&amp;C90&amp;", "</f>
        <v/>
      </c>
    </row>
    <row r="91" ht="15" customHeight="1" s="18">
      <c r="A91" s="29" t="inlineStr">
        <is>
          <t>Beetroot powder</t>
        </is>
      </c>
      <c r="B91" s="29" t="inlineStr">
        <is>
          <t>Fruits</t>
        </is>
      </c>
      <c r="C91" s="30" t="inlineStr">
        <is>
          <t>passion</t>
        </is>
      </c>
      <c r="D91" s="31" t="inlineStr">
        <is>
          <t>Body</t>
        </is>
      </c>
      <c r="E91" s="31" t="inlineStr">
        <is>
          <t>Strong</t>
        </is>
      </c>
      <c r="F91" s="30" t="inlineStr">
        <is>
          <t>Colours lips and cheeks. A hot, flushed blush.</t>
        </is>
      </c>
      <c r="G91" s="29">
        <f>IF(OR(D91="—",D91="",K91=""),"",COUNTIF($J$2:$J$259,J91)-1)</f>
        <v/>
      </c>
      <c r="H91" s="31" t="n"/>
      <c r="I91" s="30" t="n"/>
      <c r="J91" s="22">
        <f>K91&amp;"|"&amp;D91&amp;"|"&amp;E91</f>
        <v/>
      </c>
      <c r="K91" s="22" t="inlineStr">
        <is>
          <t>passion</t>
        </is>
      </c>
      <c r="L91" s="22">
        <f>", "&amp;C91&amp;", "</f>
        <v/>
      </c>
    </row>
    <row r="92" ht="15" customHeight="1" s="18">
      <c r="A92" s="29" t="inlineStr">
        <is>
          <t>Allspice</t>
        </is>
      </c>
      <c r="B92" s="29" t="inlineStr">
        <is>
          <t>Spices</t>
        </is>
      </c>
      <c r="C92" s="30" t="inlineStr">
        <is>
          <t>luck, abundance, energy</t>
        </is>
      </c>
      <c r="D92" s="31" t="inlineStr">
        <is>
          <t>Space</t>
        </is>
      </c>
      <c r="E92" s="31" t="inlineStr">
        <is>
          <t>Strong</t>
        </is>
      </c>
      <c r="F92" s="30" t="inlineStr">
        <is>
          <t>Draws money and luck, fast.</t>
        </is>
      </c>
      <c r="G92" s="29">
        <f>IF(OR(D92="—",D92="",K92=""),"",COUNTIF($J$2:$J$259,J92)-1)</f>
        <v/>
      </c>
      <c r="H92" s="31" t="n"/>
      <c r="I92" s="30" t="n"/>
      <c r="J92" s="22">
        <f>K92&amp;"|"&amp;D92&amp;"|"&amp;E92</f>
        <v/>
      </c>
      <c r="K92" s="22" t="inlineStr">
        <is>
          <t>abundance,energy,luck</t>
        </is>
      </c>
      <c r="L92" s="22">
        <f>", "&amp;C92&amp;", "</f>
        <v/>
      </c>
    </row>
    <row r="93" ht="15" customHeight="1" s="18">
      <c r="A93" s="29" t="inlineStr">
        <is>
          <t>Bergamot</t>
        </is>
      </c>
      <c r="B93" s="29" t="inlineStr">
        <is>
          <t>Spices</t>
        </is>
      </c>
      <c r="C93" s="30" t="inlineStr">
        <is>
          <t>calm</t>
        </is>
      </c>
      <c r="D93" s="31" t="inlineStr">
        <is>
          <t>Mind</t>
        </is>
      </c>
      <c r="E93" s="31" t="inlineStr">
        <is>
          <t>Gentle</t>
        </is>
      </c>
      <c r="F93" s="30" t="inlineStr">
        <is>
          <t>For frayed nerves at tea-time.</t>
        </is>
      </c>
      <c r="G93" s="29">
        <f>IF(OR(D93="—",D93="",K93=""),"",COUNTIF($J$2:$J$259,J93)-1)</f>
        <v/>
      </c>
      <c r="H93" s="31" t="n"/>
      <c r="I93" s="30" t="n"/>
      <c r="J93" s="22">
        <f>K93&amp;"|"&amp;D93&amp;"|"&amp;E93</f>
        <v/>
      </c>
      <c r="K93" s="22" t="inlineStr">
        <is>
          <t>calm</t>
        </is>
      </c>
      <c r="L93" s="22">
        <f>", "&amp;C93&amp;", "</f>
        <v/>
      </c>
    </row>
    <row r="94" ht="15" customHeight="1" s="18">
      <c r="A94" s="29" t="inlineStr">
        <is>
          <t>Black pepper</t>
        </is>
      </c>
      <c r="B94" s="29" t="inlineStr">
        <is>
          <t>Spices</t>
        </is>
      </c>
      <c r="C94" s="30" t="inlineStr">
        <is>
          <t>courage</t>
        </is>
      </c>
      <c r="D94" s="31" t="inlineStr">
        <is>
          <t>Body</t>
        </is>
      </c>
      <c r="E94" s="31" t="inlineStr">
        <is>
          <t>Strong</t>
        </is>
      </c>
      <c r="F94" s="30" t="inlineStr">
        <is>
          <t>Heat in the belly. Nerve you can feel.</t>
        </is>
      </c>
      <c r="G94" s="29">
        <f>IF(OR(D94="—",D94="",K94=""),"",COUNTIF($J$2:$J$259,J94)-1)</f>
        <v/>
      </c>
      <c r="H94" s="31" t="n"/>
      <c r="I94" s="30" t="n"/>
      <c r="J94" s="22">
        <f>K94&amp;"|"&amp;D94&amp;"|"&amp;E94</f>
        <v/>
      </c>
      <c r="K94" s="22" t="inlineStr">
        <is>
          <t>courage</t>
        </is>
      </c>
      <c r="L94" s="22">
        <f>", "&amp;C94&amp;", "</f>
        <v/>
      </c>
    </row>
    <row r="95" ht="23.25" customHeight="1" s="18">
      <c r="A95" s="29" t="inlineStr">
        <is>
          <t>Cardamom</t>
        </is>
      </c>
      <c r="B95" s="29" t="inlineStr">
        <is>
          <t>Spices</t>
        </is>
      </c>
      <c r="C95" s="30" t="inlineStr">
        <is>
          <t>love, passion, joy</t>
        </is>
      </c>
      <c r="D95" s="31" t="inlineStr">
        <is>
          <t>Mind</t>
        </is>
      </c>
      <c r="E95" s="31" t="inlineStr">
        <is>
          <t>Gentle</t>
        </is>
      </c>
      <c r="F95" s="30" t="inlineStr">
        <is>
          <t>In the pastries you bake for someone special.</t>
        </is>
      </c>
      <c r="G95" s="29">
        <f>IF(OR(D95="—",D95="",K95=""),"",COUNTIF($J$2:$J$259,J95)-1)</f>
        <v/>
      </c>
      <c r="H95" s="31" t="inlineStr">
        <is>
          <t>OK</t>
        </is>
      </c>
      <c r="I95" s="30" t="inlineStr">
        <is>
          <t>Could be Strong (passion). Gentle chosen to separate it from Chili and Garnet.</t>
        </is>
      </c>
      <c r="J95" s="22">
        <f>K95&amp;"|"&amp;D95&amp;"|"&amp;E95</f>
        <v/>
      </c>
      <c r="K95" s="22" t="inlineStr">
        <is>
          <t>joy,love,passion</t>
        </is>
      </c>
      <c r="L95" s="22">
        <f>", "&amp;C95&amp;", "</f>
        <v/>
      </c>
    </row>
    <row r="96" ht="15" customHeight="1" s="18">
      <c r="A96" s="29" t="inlineStr">
        <is>
          <t>Chili</t>
        </is>
      </c>
      <c r="B96" s="29" t="inlineStr">
        <is>
          <t>Spices</t>
        </is>
      </c>
      <c r="C96" s="30" t="inlineStr">
        <is>
          <t>passion, energy, courage</t>
        </is>
      </c>
      <c r="D96" s="31" t="inlineStr">
        <is>
          <t>Body</t>
        </is>
      </c>
      <c r="E96" s="31" t="inlineStr">
        <is>
          <t>Strong</t>
        </is>
      </c>
      <c r="F96" s="30" t="inlineStr">
        <is>
          <t>Fire in the blood.</t>
        </is>
      </c>
      <c r="G96" s="29">
        <f>IF(OR(D96="—",D96="",K96=""),"",COUNTIF($J$2:$J$259,J96)-1)</f>
        <v/>
      </c>
      <c r="H96" s="31" t="n"/>
      <c r="I96" s="30" t="n"/>
      <c r="J96" s="22">
        <f>K96&amp;"|"&amp;D96&amp;"|"&amp;E96</f>
        <v/>
      </c>
      <c r="K96" s="22" t="inlineStr">
        <is>
          <t>courage,energy,passion</t>
        </is>
      </c>
      <c r="L96" s="22">
        <f>", "&amp;C96&amp;", "</f>
        <v/>
      </c>
    </row>
    <row r="97" ht="23.25" customHeight="1" s="18">
      <c r="A97" s="29" t="inlineStr">
        <is>
          <t>Cinnamon</t>
        </is>
      </c>
      <c r="B97" s="29" t="inlineStr">
        <is>
          <t>Spices</t>
        </is>
      </c>
      <c r="C97" s="30" t="inlineStr">
        <is>
          <t>success, passion, abundance, energy, comfort</t>
        </is>
      </c>
      <c r="D97" s="31" t="inlineStr">
        <is>
          <t>Space</t>
        </is>
      </c>
      <c r="E97" s="31" t="inlineStr">
        <is>
          <t>Strong</t>
        </is>
      </c>
      <c r="F97" s="30" t="inlineStr">
        <is>
          <t>Quick wins and warm plenty.</t>
        </is>
      </c>
      <c r="G97" s="29">
        <f>IF(OR(D97="—",D97="",K97=""),"",COUNTIF($J$2:$J$259,J97)-1)</f>
        <v/>
      </c>
      <c r="H97" s="31" t="n"/>
      <c r="I97" s="30" t="n"/>
      <c r="J97" s="22">
        <f>K97&amp;"|"&amp;D97&amp;"|"&amp;E97</f>
        <v/>
      </c>
      <c r="K97" s="22" t="inlineStr">
        <is>
          <t>abundance,comfort,energy,passion,success</t>
        </is>
      </c>
      <c r="L97" s="22">
        <f>", "&amp;C97&amp;", "</f>
        <v/>
      </c>
    </row>
    <row r="98" ht="15" customHeight="1" s="18">
      <c r="A98" s="29" t="inlineStr">
        <is>
          <t>Cinnamon stick</t>
        </is>
      </c>
      <c r="B98" s="29" t="inlineStr">
        <is>
          <t>Spices</t>
        </is>
      </c>
      <c r="C98" s="30" t="inlineStr">
        <is>
          <t>home</t>
        </is>
      </c>
      <c r="D98" s="31" t="inlineStr">
        <is>
          <t>Mind</t>
        </is>
      </c>
      <c r="E98" s="31" t="inlineStr">
        <is>
          <t>Gentle</t>
        </is>
      </c>
      <c r="F98" s="30" t="inlineStr">
        <is>
          <t>Simmered on the stove so a house smells like welcome.</t>
        </is>
      </c>
      <c r="G98" s="29">
        <f>IF(OR(D98="—",D98="",K98=""),"",COUNTIF($J$2:$J$259,J98)-1)</f>
        <v/>
      </c>
      <c r="H98" s="31" t="n"/>
      <c r="I98" s="30" t="n"/>
      <c r="J98" s="22">
        <f>K98&amp;"|"&amp;D98&amp;"|"&amp;E98</f>
        <v/>
      </c>
      <c r="K98" s="22" t="inlineStr">
        <is>
          <t>home</t>
        </is>
      </c>
      <c r="L98" s="22">
        <f>", "&amp;C98&amp;", "</f>
        <v/>
      </c>
    </row>
    <row r="99" ht="23.25" customHeight="1" s="18">
      <c r="A99" s="29" t="inlineStr">
        <is>
          <t>Clove</t>
        </is>
      </c>
      <c r="B99" s="29" t="inlineStr">
        <is>
          <t>Spices</t>
        </is>
      </c>
      <c r="C99" s="30" t="inlineStr">
        <is>
          <t>protection, abundance, home</t>
        </is>
      </c>
      <c r="D99" s="31" t="inlineStr">
        <is>
          <t>Space</t>
        </is>
      </c>
      <c r="E99" s="31" t="inlineStr">
        <is>
          <t>Strong</t>
        </is>
      </c>
      <c r="F99" s="30" t="inlineStr">
        <is>
          <t>Pinned into a doorframe, it keeps a house safe and stocked.</t>
        </is>
      </c>
      <c r="G99" s="29">
        <f>IF(OR(D99="—",D99="",K99=""),"",COUNTIF($J$2:$J$259,J99)-1)</f>
        <v/>
      </c>
      <c r="H99" s="31" t="n"/>
      <c r="I99" s="30" t="n"/>
      <c r="J99" s="22">
        <f>K99&amp;"|"&amp;D99&amp;"|"&amp;E99</f>
        <v/>
      </c>
      <c r="K99" s="22" t="inlineStr">
        <is>
          <t>abundance,home,protection</t>
        </is>
      </c>
      <c r="L99" s="22">
        <f>", "&amp;C99&amp;", "</f>
        <v/>
      </c>
    </row>
    <row r="100" ht="15" customHeight="1" s="18">
      <c r="A100" s="29" t="inlineStr">
        <is>
          <t>Fennel seed</t>
        </is>
      </c>
      <c r="B100" s="29" t="inlineStr">
        <is>
          <t>Spices</t>
        </is>
      </c>
      <c r="C100" s="30" t="inlineStr">
        <is>
          <t>gratitude</t>
        </is>
      </c>
      <c r="D100" s="31" t="inlineStr">
        <is>
          <t>Mind</t>
        </is>
      </c>
      <c r="E100" s="31" t="inlineStr">
        <is>
          <t>Gentle</t>
        </is>
      </c>
      <c r="F100" s="30" t="inlineStr">
        <is>
          <t>Chewed after a good meal, to thank the cook.</t>
        </is>
      </c>
      <c r="G100" s="29">
        <f>IF(OR(D100="—",D100="",K100=""),"",COUNTIF($J$2:$J$259,J100)-1)</f>
        <v/>
      </c>
      <c r="H100" s="31" t="n"/>
      <c r="I100" s="30" t="n"/>
      <c r="J100" s="22">
        <f>K100&amp;"|"&amp;D100&amp;"|"&amp;E100</f>
        <v/>
      </c>
      <c r="K100" s="22" t="inlineStr">
        <is>
          <t>gratitude</t>
        </is>
      </c>
      <c r="L100" s="22">
        <f>", "&amp;C100&amp;", "</f>
        <v/>
      </c>
    </row>
    <row r="101" ht="15" customHeight="1" s="18">
      <c r="A101" s="29" t="inlineStr">
        <is>
          <t>Ginger</t>
        </is>
      </c>
      <c r="B101" s="29" t="inlineStr">
        <is>
          <t>Spices</t>
        </is>
      </c>
      <c r="C101" s="30" t="inlineStr">
        <is>
          <t>energy, courage, success</t>
        </is>
      </c>
      <c r="D101" s="31" t="inlineStr">
        <is>
          <t>Body</t>
        </is>
      </c>
      <c r="E101" s="31" t="inlineStr">
        <is>
          <t>Strong</t>
        </is>
      </c>
      <c r="F101" s="30" t="inlineStr">
        <is>
          <t>Heats and quickens the body.</t>
        </is>
      </c>
      <c r="G101" s="29">
        <f>IF(OR(D101="—",D101="",K101=""),"",COUNTIF($J$2:$J$259,J101)-1)</f>
        <v/>
      </c>
      <c r="H101" s="31" t="n"/>
      <c r="I101" s="30" t="n"/>
      <c r="J101" s="22">
        <f>K101&amp;"|"&amp;D101&amp;"|"&amp;E101</f>
        <v/>
      </c>
      <c r="K101" s="22" t="inlineStr">
        <is>
          <t>courage,energy,success</t>
        </is>
      </c>
      <c r="L101" s="22">
        <f>", "&amp;C101&amp;", "</f>
        <v/>
      </c>
    </row>
    <row r="102" ht="15" customHeight="1" s="18">
      <c r="A102" s="29" t="inlineStr">
        <is>
          <t>Nutmeg</t>
        </is>
      </c>
      <c r="B102" s="29" t="inlineStr">
        <is>
          <t>Spices</t>
        </is>
      </c>
      <c r="C102" s="30" t="inlineStr">
        <is>
          <t>luck, comfort</t>
        </is>
      </c>
      <c r="D102" s="31" t="inlineStr">
        <is>
          <t>Space</t>
        </is>
      </c>
      <c r="E102" s="31" t="inlineStr">
        <is>
          <t>Gentle</t>
        </is>
      </c>
      <c r="F102" s="30" t="inlineStr">
        <is>
          <t>Slow fortune, a grated pinch at a time, warm as a pudding.</t>
        </is>
      </c>
      <c r="G102" s="29">
        <f>IF(OR(D102="—",D102="",K102=""),"",COUNTIF($J$2:$J$259,J102)-1)</f>
        <v/>
      </c>
      <c r="H102" s="31" t="n"/>
      <c r="I102" s="30" t="n"/>
      <c r="J102" s="22">
        <f>K102&amp;"|"&amp;D102&amp;"|"&amp;E102</f>
        <v/>
      </c>
      <c r="K102" s="22" t="inlineStr">
        <is>
          <t>comfort,luck</t>
        </is>
      </c>
      <c r="L102" s="22">
        <f>", "&amp;C102&amp;", "</f>
        <v/>
      </c>
    </row>
    <row r="103" ht="15" customHeight="1" s="18">
      <c r="A103" s="29" t="inlineStr">
        <is>
          <t>Poppy seeds</t>
        </is>
      </c>
      <c r="B103" s="29" t="inlineStr">
        <is>
          <t>Spices</t>
        </is>
      </c>
      <c r="C103" s="30" t="inlineStr">
        <is>
          <t>luck, dreams</t>
        </is>
      </c>
      <c r="D103" s="31" t="inlineStr">
        <is>
          <t>Mind</t>
        </is>
      </c>
      <c r="E103" s="31" t="inlineStr">
        <is>
          <t>Gentle</t>
        </is>
      </c>
      <c r="F103" s="30" t="inlineStr">
        <is>
          <t>For drowsy nights that end in good news.</t>
        </is>
      </c>
      <c r="G103" s="29">
        <f>IF(OR(D103="—",D103="",K103=""),"",COUNTIF($J$2:$J$259,J103)-1)</f>
        <v/>
      </c>
      <c r="H103" s="31" t="n"/>
      <c r="I103" s="30" t="n"/>
      <c r="J103" s="22">
        <f>K103&amp;"|"&amp;D103&amp;"|"&amp;E103</f>
        <v/>
      </c>
      <c r="K103" s="22" t="inlineStr">
        <is>
          <t>dreams,luck</t>
        </is>
      </c>
      <c r="L103" s="22">
        <f>", "&amp;C103&amp;", "</f>
        <v/>
      </c>
    </row>
    <row r="104" ht="15" customHeight="1" s="18">
      <c r="A104" s="29" t="inlineStr">
        <is>
          <t>Saffron</t>
        </is>
      </c>
      <c r="B104" s="29" t="inlineStr">
        <is>
          <t>Spices</t>
        </is>
      </c>
      <c r="C104" s="30" t="inlineStr">
        <is>
          <t>success, joy, creativity</t>
        </is>
      </c>
      <c r="D104" s="31" t="inlineStr">
        <is>
          <t>Mind</t>
        </is>
      </c>
      <c r="E104" s="31" t="inlineStr">
        <is>
          <t>Strong</t>
        </is>
      </c>
      <c r="F104" s="30" t="inlineStr">
        <is>
          <t>Precious golden threads. For the masterpiece, and the delight of finishing it.</t>
        </is>
      </c>
      <c r="G104" s="29">
        <f>IF(OR(D104="—",D104="",K104=""),"",COUNTIF($J$2:$J$259,J104)-1)</f>
        <v/>
      </c>
      <c r="H104" s="31" t="n"/>
      <c r="I104" s="30" t="n"/>
      <c r="J104" s="22">
        <f>K104&amp;"|"&amp;D104&amp;"|"&amp;E104</f>
        <v/>
      </c>
      <c r="K104" s="22" t="inlineStr">
        <is>
          <t>creativity,joy,success</t>
        </is>
      </c>
      <c r="L104" s="22">
        <f>", "&amp;C104&amp;", "</f>
        <v/>
      </c>
    </row>
    <row r="105" ht="15" customHeight="1" s="18">
      <c r="A105" s="29" t="inlineStr">
        <is>
          <t>Star anise</t>
        </is>
      </c>
      <c r="B105" s="29" t="inlineStr">
        <is>
          <t>Spices</t>
        </is>
      </c>
      <c r="C105" s="30" t="inlineStr">
        <is>
          <t>wonder, intuition, luck</t>
        </is>
      </c>
      <c r="D105" s="31" t="inlineStr">
        <is>
          <t>Mind</t>
        </is>
      </c>
      <c r="E105" s="31" t="inlineStr">
        <is>
          <t>Strong</t>
        </is>
      </c>
      <c r="F105" s="30" t="inlineStr">
        <is>
          <t>Strange, starry sight.</t>
        </is>
      </c>
      <c r="G105" s="29">
        <f>IF(OR(D105="—",D105="",K105=""),"",COUNTIF($J$2:$J$259,J105)-1)</f>
        <v/>
      </c>
      <c r="H105" s="31" t="n"/>
      <c r="I105" s="30" t="n"/>
      <c r="J105" s="22">
        <f>K105&amp;"|"&amp;D105&amp;"|"&amp;E105</f>
        <v/>
      </c>
      <c r="K105" s="22" t="inlineStr">
        <is>
          <t>intuition,luck,wonder</t>
        </is>
      </c>
      <c r="L105" s="22">
        <f>", "&amp;C105&amp;", "</f>
        <v/>
      </c>
    </row>
    <row r="106" ht="15" customHeight="1" s="18">
      <c r="A106" s="29" t="inlineStr">
        <is>
          <t>Vanilla</t>
        </is>
      </c>
      <c r="B106" s="29" t="inlineStr">
        <is>
          <t>Spices</t>
        </is>
      </c>
      <c r="C106" s="30" t="inlineStr">
        <is>
          <t>love, comfort, joy</t>
        </is>
      </c>
      <c r="D106" s="31" t="inlineStr">
        <is>
          <t>Mind</t>
        </is>
      </c>
      <c r="E106" s="31" t="inlineStr">
        <is>
          <t>Gentle</t>
        </is>
      </c>
      <c r="F106" s="30" t="inlineStr">
        <is>
          <t>Slow sweetness that lingers long after.</t>
        </is>
      </c>
      <c r="G106" s="29">
        <f>IF(OR(D106="—",D106="",K106=""),"",COUNTIF($J$2:$J$259,J106)-1)</f>
        <v/>
      </c>
      <c r="H106" s="31" t="n"/>
      <c r="I106" s="30" t="n"/>
      <c r="J106" s="22">
        <f>K106&amp;"|"&amp;D106&amp;"|"&amp;E106</f>
        <v/>
      </c>
      <c r="K106" s="22" t="inlineStr">
        <is>
          <t>comfort,joy,love</t>
        </is>
      </c>
      <c r="L106" s="22">
        <f>", "&amp;C106&amp;", "</f>
        <v/>
      </c>
    </row>
    <row r="107" ht="15" customHeight="1" s="18">
      <c r="A107" s="29" t="inlineStr">
        <is>
          <t>Baking soda</t>
        </is>
      </c>
      <c r="B107" s="29" t="inlineStr">
        <is>
          <t>Pantry: salts, sugars &amp; baking</t>
        </is>
      </c>
      <c r="C107" s="30" t="inlineStr">
        <is>
          <t>cleansing, home</t>
        </is>
      </c>
      <c r="D107" s="31" t="inlineStr">
        <is>
          <t>Space</t>
        </is>
      </c>
      <c r="E107" s="31" t="inlineStr">
        <is>
          <t>Gentle</t>
        </is>
      </c>
      <c r="F107" s="30" t="inlineStr">
        <is>
          <t>Freshens a kitchen, quietly.</t>
        </is>
      </c>
      <c r="G107" s="29">
        <f>IF(OR(D107="—",D107="",K107=""),"",COUNTIF($J$2:$J$259,J107)-1)</f>
        <v/>
      </c>
      <c r="H107" s="31" t="n"/>
      <c r="I107" s="30" t="n"/>
      <c r="J107" s="22">
        <f>K107&amp;"|"&amp;D107&amp;"|"&amp;E107</f>
        <v/>
      </c>
      <c r="K107" s="22" t="inlineStr">
        <is>
          <t>cleansing,home</t>
        </is>
      </c>
      <c r="L107" s="22">
        <f>", "&amp;C107&amp;", "</f>
        <v/>
      </c>
    </row>
    <row r="108" ht="15" customHeight="1" s="18">
      <c r="A108" s="29" t="inlineStr">
        <is>
          <t>Black salt</t>
        </is>
      </c>
      <c r="B108" s="29" t="inlineStr">
        <is>
          <t>Pantry: salts, sugars &amp; baking</t>
        </is>
      </c>
      <c r="C108" s="30" t="inlineStr">
        <is>
          <t>protection, boundaries</t>
        </is>
      </c>
      <c r="D108" s="31" t="inlineStr">
        <is>
          <t>Space</t>
        </is>
      </c>
      <c r="E108" s="31" t="inlineStr">
        <is>
          <t>Strong</t>
        </is>
      </c>
      <c r="F108" s="30" t="inlineStr">
        <is>
          <t>A black line at the threshold. Nothing crosses it.</t>
        </is>
      </c>
      <c r="G108" s="29">
        <f>IF(OR(D108="—",D108="",K108=""),"",COUNTIF($J$2:$J$259,J108)-1)</f>
        <v/>
      </c>
      <c r="H108" s="31" t="n"/>
      <c r="I108" s="30" t="n"/>
      <c r="J108" s="22">
        <f>K108&amp;"|"&amp;D108&amp;"|"&amp;E108</f>
        <v/>
      </c>
      <c r="K108" s="22" t="inlineStr">
        <is>
          <t>boundaries,protection</t>
        </is>
      </c>
      <c r="L108" s="22">
        <f>", "&amp;C108&amp;", "</f>
        <v/>
      </c>
    </row>
    <row r="109" ht="15" customHeight="1" s="18">
      <c r="A109" s="29" t="inlineStr">
        <is>
          <t>Brown sugar</t>
        </is>
      </c>
      <c r="B109" s="29" t="inlineStr">
        <is>
          <t>Pantry: salts, sugars &amp; baking</t>
        </is>
      </c>
      <c r="C109" s="30" t="inlineStr">
        <is>
          <t>abundance, comfort, home</t>
        </is>
      </c>
      <c r="D109" s="31" t="inlineStr">
        <is>
          <t>Space</t>
        </is>
      </c>
      <c r="E109" s="31" t="inlineStr">
        <is>
          <t>Gentle</t>
        </is>
      </c>
      <c r="F109" s="30" t="inlineStr">
        <is>
          <t>Sweet plenty for the whole household.</t>
        </is>
      </c>
      <c r="G109" s="29">
        <f>IF(OR(D109="—",D109="",K109=""),"",COUNTIF($J$2:$J$259,J109)-1)</f>
        <v/>
      </c>
      <c r="H109" s="31" t="n"/>
      <c r="I109" s="30" t="n"/>
      <c r="J109" s="22">
        <f>K109&amp;"|"&amp;D109&amp;"|"&amp;E109</f>
        <v/>
      </c>
      <c r="K109" s="22" t="inlineStr">
        <is>
          <t>abundance,comfort,home</t>
        </is>
      </c>
      <c r="L109" s="22">
        <f>", "&amp;C109&amp;", "</f>
        <v/>
      </c>
    </row>
    <row r="110" ht="15" customHeight="1" s="18">
      <c r="A110" s="29" t="inlineStr">
        <is>
          <t>Chocolate chips</t>
        </is>
      </c>
      <c r="B110" s="29" t="inlineStr">
        <is>
          <t>Pantry: salts, sugars &amp; baking</t>
        </is>
      </c>
      <c r="C110" s="30" t="inlineStr">
        <is>
          <t>joy, play</t>
        </is>
      </c>
      <c r="D110" s="31" t="inlineStr">
        <is>
          <t>Mind</t>
        </is>
      </c>
      <c r="E110" s="31" t="inlineStr">
        <is>
          <t>Gentle</t>
        </is>
      </c>
      <c r="F110" s="30" t="inlineStr">
        <is>
          <t>Stirred into cookies on a rainy afternoon with nothing to do.</t>
        </is>
      </c>
      <c r="G110" s="29">
        <f>IF(OR(D110="—",D110="",K110=""),"",COUNTIF($J$2:$J$259,J110)-1)</f>
        <v/>
      </c>
      <c r="H110" s="31" t="n"/>
      <c r="I110" s="30" t="n"/>
      <c r="J110" s="22">
        <f>K110&amp;"|"&amp;D110&amp;"|"&amp;E110</f>
        <v/>
      </c>
      <c r="K110" s="22" t="inlineStr">
        <is>
          <t>joy,play</t>
        </is>
      </c>
      <c r="L110" s="22">
        <f>", "&amp;C110&amp;", "</f>
        <v/>
      </c>
    </row>
    <row r="111" ht="15" customHeight="1" s="18">
      <c r="A111" s="29" t="inlineStr">
        <is>
          <t>Cocoa</t>
        </is>
      </c>
      <c r="B111" s="29" t="inlineStr">
        <is>
          <t>Pantry: salts, sugars &amp; baking</t>
        </is>
      </c>
      <c r="C111" s="30" t="inlineStr">
        <is>
          <t>comfort, joy</t>
        </is>
      </c>
      <c r="D111" s="31" t="inlineStr">
        <is>
          <t>Mind</t>
        </is>
      </c>
      <c r="E111" s="31" t="inlineStr">
        <is>
          <t>Gentle</t>
        </is>
      </c>
      <c r="F111" s="30" t="inlineStr">
        <is>
          <t>A warm mug after coming in from the cold.</t>
        </is>
      </c>
      <c r="G111" s="29">
        <f>IF(OR(D111="—",D111="",K111=""),"",COUNTIF($J$2:$J$259,J111)-1)</f>
        <v/>
      </c>
      <c r="H111" s="31" t="n"/>
      <c r="I111" s="30" t="n"/>
      <c r="J111" s="22">
        <f>K111&amp;"|"&amp;D111&amp;"|"&amp;E111</f>
        <v/>
      </c>
      <c r="K111" s="22" t="inlineStr">
        <is>
          <t>comfort,joy</t>
        </is>
      </c>
      <c r="L111" s="22">
        <f>", "&amp;C111&amp;", "</f>
        <v/>
      </c>
    </row>
    <row r="112" ht="15" customHeight="1" s="18">
      <c r="A112" s="29" t="inlineStr">
        <is>
          <t>Coconut milk powder</t>
        </is>
      </c>
      <c r="B112" s="29" t="inlineStr">
        <is>
          <t>Pantry: salts, sugars &amp; baking</t>
        </is>
      </c>
      <c r="C112" s="30" t="inlineStr">
        <is>
          <t>self-love, comfort, beauty</t>
        </is>
      </c>
      <c r="D112" s="31" t="inlineStr">
        <is>
          <t>Body</t>
        </is>
      </c>
      <c r="E112" s="31" t="inlineStr">
        <is>
          <t>Gentle</t>
        </is>
      </c>
      <c r="F112" s="30" t="inlineStr">
        <is>
          <t>Softens and soothes the skin.</t>
        </is>
      </c>
      <c r="G112" s="29">
        <f>IF(OR(D112="—",D112="",K112=""),"",COUNTIF($J$2:$J$259,J112)-1)</f>
        <v/>
      </c>
      <c r="H112" s="31" t="n"/>
      <c r="I112" s="30" t="n"/>
      <c r="J112" s="22">
        <f>K112&amp;"|"&amp;D112&amp;"|"&amp;E112</f>
        <v/>
      </c>
      <c r="K112" s="22" t="inlineStr">
        <is>
          <t>beauty,comfort,self-love</t>
        </is>
      </c>
      <c r="L112" s="22">
        <f>", "&amp;C112&amp;", "</f>
        <v/>
      </c>
    </row>
    <row r="113" ht="15" customHeight="1" s="18">
      <c r="A113" s="29" t="inlineStr">
        <is>
          <t>Epsom salt</t>
        </is>
      </c>
      <c r="B113" s="29" t="inlineStr">
        <is>
          <t>Pantry: salts, sugars &amp; baking</t>
        </is>
      </c>
      <c r="C113" s="30" t="inlineStr">
        <is>
          <t>cleansing</t>
        </is>
      </c>
      <c r="D113" s="31" t="inlineStr">
        <is>
          <t>Body</t>
        </is>
      </c>
      <c r="E113" s="31" t="inlineStr">
        <is>
          <t>Strong</t>
        </is>
      </c>
      <c r="F113" s="30" t="inlineStr">
        <is>
          <t>Draws the ache out of tired muscles.</t>
        </is>
      </c>
      <c r="G113" s="29">
        <f>IF(OR(D113="—",D113="",K113=""),"",COUNTIF($J$2:$J$259,J113)-1)</f>
        <v/>
      </c>
      <c r="H113" s="31" t="n"/>
      <c r="I113" s="30" t="n"/>
      <c r="J113" s="22">
        <f>K113&amp;"|"&amp;D113&amp;"|"&amp;E113</f>
        <v/>
      </c>
      <c r="K113" s="22" t="inlineStr">
        <is>
          <t>cleansing</t>
        </is>
      </c>
      <c r="L113" s="22">
        <f>", "&amp;C113&amp;", "</f>
        <v/>
      </c>
    </row>
    <row r="114" ht="15" customHeight="1" s="18">
      <c r="A114" s="29" t="inlineStr">
        <is>
          <t>Flour</t>
        </is>
      </c>
      <c r="B114" s="29" t="inlineStr">
        <is>
          <t>Pantry: salts, sugars &amp; baking</t>
        </is>
      </c>
      <c r="C114" s="30" t="n"/>
      <c r="D114" s="31" t="inlineStr">
        <is>
          <t>—</t>
        </is>
      </c>
      <c r="E114" s="31" t="inlineStr">
        <is>
          <t>—</t>
        </is>
      </c>
      <c r="F114" s="30" t="inlineStr">
        <is>
          <t>Base for Cookies.</t>
        </is>
      </c>
      <c r="G114" s="29">
        <f>IF(OR(D114="—",D114="",K114=""),"",COUNTIF($J$2:$J$259,J114)-1)</f>
        <v/>
      </c>
      <c r="H114" s="31" t="n"/>
      <c r="I114" s="30" t="n"/>
      <c r="J114" s="22">
        <f>K114&amp;"|"&amp;D114&amp;"|"&amp;E114</f>
        <v/>
      </c>
      <c r="K114" s="22" t="n"/>
      <c r="L114" s="22">
        <f>", "&amp;C114&amp;", "</f>
        <v/>
      </c>
    </row>
    <row r="115" ht="15" customHeight="1" s="18">
      <c r="A115" s="29" t="inlineStr">
        <is>
          <t>Gold sprinkles</t>
        </is>
      </c>
      <c r="B115" s="29" t="inlineStr">
        <is>
          <t>Pantry: salts, sugars &amp; baking</t>
        </is>
      </c>
      <c r="C115" s="30" t="inlineStr">
        <is>
          <t>success, joy</t>
        </is>
      </c>
      <c r="D115" s="31" t="inlineStr">
        <is>
          <t>Mind</t>
        </is>
      </c>
      <c r="E115" s="31" t="inlineStr">
        <is>
          <t>Gentle</t>
        </is>
      </c>
      <c r="F115" s="30" t="inlineStr">
        <is>
          <t>On a cake for passing a test. A small win, sprinkled on top.</t>
        </is>
      </c>
      <c r="G115" s="29">
        <f>IF(OR(D115="—",D115="",K115=""),"",COUNTIF($J$2:$J$259,J115)-1)</f>
        <v/>
      </c>
      <c r="H115" s="31" t="n"/>
      <c r="I115" s="30" t="n"/>
      <c r="J115" s="22">
        <f>K115&amp;"|"&amp;D115&amp;"|"&amp;E115</f>
        <v/>
      </c>
      <c r="K115" s="22" t="inlineStr">
        <is>
          <t>joy,success</t>
        </is>
      </c>
      <c r="L115" s="22">
        <f>", "&amp;C115&amp;", "</f>
        <v/>
      </c>
    </row>
    <row r="116" ht="23.25" customHeight="1" s="18">
      <c r="A116" s="29" t="inlineStr">
        <is>
          <t>Honey</t>
        </is>
      </c>
      <c r="B116" s="29" t="inlineStr">
        <is>
          <t>Pantry: salts, sugars &amp; baking</t>
        </is>
      </c>
      <c r="C116" s="30" t="inlineStr">
        <is>
          <t>love, comfort, joy, friendship, communication</t>
        </is>
      </c>
      <c r="D116" s="31" t="inlineStr">
        <is>
          <t>Mind</t>
        </is>
      </c>
      <c r="E116" s="31" t="inlineStr">
        <is>
          <t>Gentle</t>
        </is>
      </c>
      <c r="F116" s="30" t="inlineStr">
        <is>
          <t>A spoonful sweetens anything: a word, a tea, a grudge.</t>
        </is>
      </c>
      <c r="G116" s="29">
        <f>IF(OR(D116="—",D116="",K116=""),"",COUNTIF($J$2:$J$259,J116)-1)</f>
        <v/>
      </c>
      <c r="H116" s="31" t="n"/>
      <c r="I116" s="30" t="n"/>
      <c r="J116" s="22">
        <f>K116&amp;"|"&amp;D116&amp;"|"&amp;E116</f>
        <v/>
      </c>
      <c r="K116" s="22" t="inlineStr">
        <is>
          <t>comfort,communication,friendship,joy,love</t>
        </is>
      </c>
      <c r="L116" s="22">
        <f>", "&amp;C116&amp;", "</f>
        <v/>
      </c>
    </row>
    <row r="117" ht="15" customHeight="1" s="18">
      <c r="A117" s="29" t="inlineStr">
        <is>
          <t>Milk</t>
        </is>
      </c>
      <c r="B117" s="29" t="inlineStr">
        <is>
          <t>Pantry: salts, sugars &amp; baking</t>
        </is>
      </c>
      <c r="C117" s="30" t="inlineStr">
        <is>
          <t>rest, home</t>
        </is>
      </c>
      <c r="D117" s="31" t="inlineStr">
        <is>
          <t>Body</t>
        </is>
      </c>
      <c r="E117" s="31" t="inlineStr">
        <is>
          <t>Gentle</t>
        </is>
      </c>
      <c r="F117" s="30" t="inlineStr">
        <is>
          <t>A warm cup before bed.</t>
        </is>
      </c>
      <c r="G117" s="29">
        <f>IF(OR(D117="—",D117="",K117=""),"",COUNTIF($J$2:$J$259,J117)-1)</f>
        <v/>
      </c>
      <c r="H117" s="31" t="n"/>
      <c r="I117" s="30" t="n"/>
      <c r="J117" s="22">
        <f>K117&amp;"|"&amp;D117&amp;"|"&amp;E117</f>
        <v/>
      </c>
      <c r="K117" s="22" t="inlineStr">
        <is>
          <t>home,rest</t>
        </is>
      </c>
      <c r="L117" s="22">
        <f>", "&amp;C117&amp;", "</f>
        <v/>
      </c>
    </row>
    <row r="118" ht="15" customHeight="1" s="18">
      <c r="A118" s="29" t="inlineStr">
        <is>
          <t>Milk powder</t>
        </is>
      </c>
      <c r="B118" s="29" t="inlineStr">
        <is>
          <t>Pantry: salts, sugars &amp; baking</t>
        </is>
      </c>
      <c r="C118" s="30" t="inlineStr">
        <is>
          <t>comfort, rest, self-love</t>
        </is>
      </c>
      <c r="D118" s="31" t="inlineStr">
        <is>
          <t>Mind</t>
        </is>
      </c>
      <c r="E118" s="31" t="inlineStr">
        <is>
          <t>Gentle</t>
        </is>
      </c>
      <c r="F118" s="30" t="inlineStr">
        <is>
          <t>Nursery softness for grown-ups who need tucking in.</t>
        </is>
      </c>
      <c r="G118" s="29">
        <f>IF(OR(D118="—",D118="",K118=""),"",COUNTIF($J$2:$J$259,J118)-1)</f>
        <v/>
      </c>
      <c r="H118" s="31" t="n"/>
      <c r="I118" s="30" t="n"/>
      <c r="J118" s="22">
        <f>K118&amp;"|"&amp;D118&amp;"|"&amp;E118</f>
        <v/>
      </c>
      <c r="K118" s="22" t="inlineStr">
        <is>
          <t>comfort,rest,self-love</t>
        </is>
      </c>
      <c r="L118" s="22">
        <f>", "&amp;C118&amp;", "</f>
        <v/>
      </c>
    </row>
    <row r="119" ht="15" customHeight="1" s="18">
      <c r="A119" s="29" t="inlineStr">
        <is>
          <t>Oats</t>
        </is>
      </c>
      <c r="B119" s="29" t="inlineStr">
        <is>
          <t>Pantry: salts, sugars &amp; baking</t>
        </is>
      </c>
      <c r="C119" s="30" t="n"/>
      <c r="D119" s="31" t="inlineStr">
        <is>
          <t>—</t>
        </is>
      </c>
      <c r="E119" s="31" t="inlineStr">
        <is>
          <t>—</t>
        </is>
      </c>
      <c r="F119" s="30" t="inlineStr">
        <is>
          <t>Base for Cookies.</t>
        </is>
      </c>
      <c r="G119" s="29">
        <f>IF(OR(D119="—",D119="",K119=""),"",COUNTIF($J$2:$J$259,J119)-1)</f>
        <v/>
      </c>
      <c r="H119" s="31" t="n"/>
      <c r="I119" s="30" t="n"/>
      <c r="J119" s="22">
        <f>K119&amp;"|"&amp;D119&amp;"|"&amp;E119</f>
        <v/>
      </c>
      <c r="K119" s="22" t="n"/>
      <c r="L119" s="22">
        <f>", "&amp;C119&amp;", "</f>
        <v/>
      </c>
    </row>
    <row r="120" ht="15" customHeight="1" s="18">
      <c r="A120" s="29" t="inlineStr">
        <is>
          <t>Pink salt</t>
        </is>
      </c>
      <c r="B120" s="29" t="inlineStr">
        <is>
          <t>Pantry: salts, sugars &amp; baking</t>
        </is>
      </c>
      <c r="C120" s="30" t="inlineStr">
        <is>
          <t>self-love, love</t>
        </is>
      </c>
      <c r="D120" s="31" t="inlineStr">
        <is>
          <t>Body</t>
        </is>
      </c>
      <c r="E120" s="31" t="inlineStr">
        <is>
          <t>Gentle</t>
        </is>
      </c>
      <c r="F120" s="30" t="inlineStr">
        <is>
          <t>A pink bath. Tenderness the body can feel.</t>
        </is>
      </c>
      <c r="G120" s="29">
        <f>IF(OR(D120="—",D120="",K120=""),"",COUNTIF($J$2:$J$259,J120)-1)</f>
        <v/>
      </c>
      <c r="H120" s="31" t="n"/>
      <c r="I120" s="30" t="n"/>
      <c r="J120" s="22">
        <f>K120&amp;"|"&amp;D120&amp;"|"&amp;E120</f>
        <v/>
      </c>
      <c r="K120" s="22" t="inlineStr">
        <is>
          <t>love,self-love</t>
        </is>
      </c>
      <c r="L120" s="22">
        <f>", "&amp;C120&amp;", "</f>
        <v/>
      </c>
    </row>
    <row r="121" ht="15" customHeight="1" s="18">
      <c r="A121" s="29" t="inlineStr">
        <is>
          <t>Pink sprinkles</t>
        </is>
      </c>
      <c r="B121" s="29" t="inlineStr">
        <is>
          <t>Pantry: salts, sugars &amp; baking</t>
        </is>
      </c>
      <c r="C121" s="30" t="inlineStr">
        <is>
          <t>love, play</t>
        </is>
      </c>
      <c r="D121" s="31" t="inlineStr">
        <is>
          <t>Mind</t>
        </is>
      </c>
      <c r="E121" s="31" t="inlineStr">
        <is>
          <t>Gentle</t>
        </is>
      </c>
      <c r="F121" s="30" t="inlineStr">
        <is>
          <t>On a cupcake for a crush.</t>
        </is>
      </c>
      <c r="G121" s="29">
        <f>IF(OR(D121="—",D121="",K121=""),"",COUNTIF($J$2:$J$259,J121)-1)</f>
        <v/>
      </c>
      <c r="H121" s="31" t="n"/>
      <c r="I121" s="30" t="n"/>
      <c r="J121" s="22">
        <f>K121&amp;"|"&amp;D121&amp;"|"&amp;E121</f>
        <v/>
      </c>
      <c r="K121" s="22" t="inlineStr">
        <is>
          <t>love,play</t>
        </is>
      </c>
      <c r="L121" s="22">
        <f>", "&amp;C121&amp;", "</f>
        <v/>
      </c>
    </row>
    <row r="122" ht="15" customHeight="1" s="18">
      <c r="A122" s="29" t="inlineStr">
        <is>
          <t>Rainbow sprinkles</t>
        </is>
      </c>
      <c r="B122" s="29" t="inlineStr">
        <is>
          <t>Pantry: salts, sugars &amp; baking</t>
        </is>
      </c>
      <c r="C122" s="30" t="inlineStr">
        <is>
          <t>luck, joy</t>
        </is>
      </c>
      <c r="D122" s="31" t="inlineStr">
        <is>
          <t>Mind</t>
        </is>
      </c>
      <c r="E122" s="31" t="inlineStr">
        <is>
          <t>Gentle</t>
        </is>
      </c>
      <c r="F122" s="30" t="inlineStr">
        <is>
          <t>Birthday-cake fortune for whoever blows out the candles.</t>
        </is>
      </c>
      <c r="G122" s="29">
        <f>IF(OR(D122="—",D122="",K122=""),"",COUNTIF($J$2:$J$259,J122)-1)</f>
        <v/>
      </c>
      <c r="H122" s="31" t="n"/>
      <c r="I122" s="30" t="n"/>
      <c r="J122" s="22">
        <f>K122&amp;"|"&amp;D122&amp;"|"&amp;E122</f>
        <v/>
      </c>
      <c r="K122" s="22" t="inlineStr">
        <is>
          <t>joy,luck</t>
        </is>
      </c>
      <c r="L122" s="22">
        <f>", "&amp;C122&amp;", "</f>
        <v/>
      </c>
    </row>
    <row r="123" ht="15" customHeight="1" s="18">
      <c r="A123" s="29" t="inlineStr">
        <is>
          <t>Rice flour</t>
        </is>
      </c>
      <c r="B123" s="29" t="inlineStr">
        <is>
          <t>Pantry: salts, sugars &amp; baking</t>
        </is>
      </c>
      <c r="C123" s="30" t="n"/>
      <c r="D123" s="31" t="inlineStr">
        <is>
          <t>—</t>
        </is>
      </c>
      <c r="E123" s="31" t="inlineStr">
        <is>
          <t>—</t>
        </is>
      </c>
      <c r="F123" s="30" t="inlineStr">
        <is>
          <t>Base for Powder.</t>
        </is>
      </c>
      <c r="G123" s="29">
        <f>IF(OR(D123="—",D123="",K123=""),"",COUNTIF($J$2:$J$259,J123)-1)</f>
        <v/>
      </c>
      <c r="H123" s="31" t="n"/>
      <c r="I123" s="30" t="n"/>
      <c r="J123" s="22">
        <f>K123&amp;"|"&amp;D123&amp;"|"&amp;E123</f>
        <v/>
      </c>
      <c r="K123" s="22" t="n"/>
      <c r="L123" s="22">
        <f>", "&amp;C123&amp;", "</f>
        <v/>
      </c>
    </row>
    <row r="124" ht="15" customHeight="1" s="18">
      <c r="A124" s="29" t="inlineStr">
        <is>
          <t>Rose clay</t>
        </is>
      </c>
      <c r="B124" s="29" t="inlineStr">
        <is>
          <t>Pantry: salts, sugars &amp; baking</t>
        </is>
      </c>
      <c r="C124" s="30" t="inlineStr">
        <is>
          <t>beauty, self-love, comfort</t>
        </is>
      </c>
      <c r="D124" s="31" t="inlineStr">
        <is>
          <t>Body</t>
        </is>
      </c>
      <c r="E124" s="31" t="inlineStr">
        <is>
          <t>Strong</t>
        </is>
      </c>
      <c r="F124" s="30" t="inlineStr">
        <is>
          <t>Draws out and smooths the skin. A face mask for a glow.</t>
        </is>
      </c>
      <c r="G124" s="29">
        <f>IF(OR(D124="—",D124="",K124=""),"",COUNTIF($J$2:$J$259,J124)-1)</f>
        <v/>
      </c>
      <c r="H124" s="31" t="n"/>
      <c r="I124" s="30" t="n"/>
      <c r="J124" s="22">
        <f>K124&amp;"|"&amp;D124&amp;"|"&amp;E124</f>
        <v/>
      </c>
      <c r="K124" s="22" t="inlineStr">
        <is>
          <t>beauty,comfort,self-love</t>
        </is>
      </c>
      <c r="L124" s="22">
        <f>", "&amp;C124&amp;", "</f>
        <v/>
      </c>
    </row>
    <row r="125" ht="23.25" customHeight="1" s="18">
      <c r="A125" s="29" t="inlineStr">
        <is>
          <t>Sea salt</t>
        </is>
      </c>
      <c r="B125" s="29" t="inlineStr">
        <is>
          <t>Pantry: salts, sugars &amp; baking</t>
        </is>
      </c>
      <c r="C125" s="30" t="inlineStr">
        <is>
          <t>protection, cleansing, grounding, home</t>
        </is>
      </c>
      <c r="D125" s="31" t="inlineStr">
        <is>
          <t>Space</t>
        </is>
      </c>
      <c r="E125" s="31" t="inlineStr">
        <is>
          <t>Strong</t>
        </is>
      </c>
      <c r="F125" s="30" t="inlineStr">
        <is>
          <t>Cleanses and protects any space.</t>
        </is>
      </c>
      <c r="G125" s="29">
        <f>IF(OR(D125="—",D125="",K125=""),"",COUNTIF($J$2:$J$259,J125)-1)</f>
        <v/>
      </c>
      <c r="H125" s="31" t="n"/>
      <c r="I125" s="30" t="n"/>
      <c r="J125" s="22">
        <f>K125&amp;"|"&amp;D125&amp;"|"&amp;E125</f>
        <v/>
      </c>
      <c r="K125" s="22" t="inlineStr">
        <is>
          <t>cleansing,grounding,home,protection</t>
        </is>
      </c>
      <c r="L125" s="22">
        <f>", "&amp;C125&amp;", "</f>
        <v/>
      </c>
    </row>
    <row r="126" ht="23.25" customHeight="1" s="18">
      <c r="A126" s="29" t="inlineStr">
        <is>
          <t>Sugar</t>
        </is>
      </c>
      <c r="B126" s="29" t="inlineStr">
        <is>
          <t>Pantry: salts, sugars &amp; baking</t>
        </is>
      </c>
      <c r="C126" s="30" t="inlineStr">
        <is>
          <t>love, joy, comfort</t>
        </is>
      </c>
      <c r="D126" s="31" t="inlineStr">
        <is>
          <t>Mind</t>
        </is>
      </c>
      <c r="E126" s="31" t="inlineStr">
        <is>
          <t>Strong</t>
        </is>
      </c>
      <c r="F126" s="30" t="inlineStr">
        <is>
          <t>Quick sweetness. Sweetens anyone, fast, and fades fast.</t>
        </is>
      </c>
      <c r="G126" s="29">
        <f>IF(OR(D126="—",D126="",K126=""),"",COUNTIF($J$2:$J$259,J126)-1)</f>
        <v/>
      </c>
      <c r="H126" s="31" t="inlineStr">
        <is>
          <t>OK</t>
        </is>
      </c>
      <c r="I126" s="30" t="inlineStr">
        <is>
          <t>Strong here means quick and intense. Check this reading of "Strong" works for sweets.</t>
        </is>
      </c>
      <c r="J126" s="22">
        <f>K126&amp;"|"&amp;D126&amp;"|"&amp;E126</f>
        <v/>
      </c>
      <c r="K126" s="22" t="inlineStr">
        <is>
          <t>comfort,joy,love</t>
        </is>
      </c>
      <c r="L126" s="22">
        <f>", "&amp;C126&amp;", "</f>
        <v/>
      </c>
    </row>
    <row r="127" ht="15" customHeight="1" s="18">
      <c r="A127" s="29" t="inlineStr">
        <is>
          <t>Garden soil</t>
        </is>
      </c>
      <c r="B127" s="29" t="inlineStr">
        <is>
          <t>Pantry: salts, sugars &amp; baking</t>
        </is>
      </c>
      <c r="C127" s="30" t="inlineStr">
        <is>
          <t>grounding, growth</t>
        </is>
      </c>
      <c r="D127" s="31" t="inlineStr">
        <is>
          <t>Body</t>
        </is>
      </c>
      <c r="E127" s="31" t="inlineStr">
        <is>
          <t>Gentle</t>
        </is>
      </c>
      <c r="F127" s="30" t="inlineStr">
        <is>
          <t>Bare feet on earth. Roots, and green things coming up.</t>
        </is>
      </c>
      <c r="G127" s="29">
        <f>IF(OR(D127="—",D127="",K127=""),"",COUNTIF($J$2:$J$259,J127)-1)</f>
        <v/>
      </c>
      <c r="H127" s="31" t="n"/>
      <c r="I127" s="30" t="n"/>
      <c r="J127" s="22">
        <f>K127&amp;"|"&amp;D127&amp;"|"&amp;E127</f>
        <v/>
      </c>
      <c r="K127" s="22" t="inlineStr">
        <is>
          <t>grounding,growth</t>
        </is>
      </c>
      <c r="L127" s="22">
        <f>", "&amp;C127&amp;", "</f>
        <v/>
      </c>
    </row>
    <row r="128" ht="15" customHeight="1" s="18">
      <c r="A128" s="29" t="inlineStr">
        <is>
          <t>Hearth ash</t>
        </is>
      </c>
      <c r="B128" s="29" t="inlineStr">
        <is>
          <t>Pantry: salts, sugars &amp; baking</t>
        </is>
      </c>
      <c r="C128" s="30" t="inlineStr">
        <is>
          <t>protection, home, endings</t>
        </is>
      </c>
      <c r="D128" s="31" t="inlineStr">
        <is>
          <t>Space</t>
        </is>
      </c>
      <c r="E128" s="31" t="inlineStr">
        <is>
          <t>Strong</t>
        </is>
      </c>
      <c r="F128" s="30" t="inlineStr">
        <is>
          <t>From the household fire. Guards, and closes what is finished.</t>
        </is>
      </c>
      <c r="G128" s="29">
        <f>IF(OR(D128="—",D128="",K128=""),"",COUNTIF($J$2:$J$259,J128)-1)</f>
        <v/>
      </c>
      <c r="H128" s="31" t="n"/>
      <c r="I128" s="30" t="n"/>
      <c r="J128" s="22">
        <f>K128&amp;"|"&amp;D128&amp;"|"&amp;E128</f>
        <v/>
      </c>
      <c r="K128" s="22" t="inlineStr">
        <is>
          <t>endings,home,protection</t>
        </is>
      </c>
      <c r="L128" s="22">
        <f>", "&amp;C128&amp;", "</f>
        <v/>
      </c>
    </row>
    <row r="129" ht="15" customHeight="1" s="18">
      <c r="A129" s="29" t="inlineStr">
        <is>
          <t>Eggshell</t>
        </is>
      </c>
      <c r="B129" s="29" t="inlineStr">
        <is>
          <t>Pantry: salts, sugars &amp; baking</t>
        </is>
      </c>
      <c r="C129" s="30" t="inlineStr">
        <is>
          <t>protection, beginnings</t>
        </is>
      </c>
      <c r="D129" s="31" t="inlineStr">
        <is>
          <t>Space</t>
        </is>
      </c>
      <c r="E129" s="31" t="inlineStr">
        <is>
          <t>Gentle</t>
        </is>
      </c>
      <c r="F129" s="30" t="inlineStr">
        <is>
          <t>Crushed shell that gently guards new things.</t>
        </is>
      </c>
      <c r="G129" s="29">
        <f>IF(OR(D129="—",D129="",K129=""),"",COUNTIF($J$2:$J$259,J129)-1)</f>
        <v/>
      </c>
      <c r="H129" s="31" t="n"/>
      <c r="I129" s="30" t="n"/>
      <c r="J129" s="22">
        <f>K129&amp;"|"&amp;D129&amp;"|"&amp;E129</f>
        <v/>
      </c>
      <c r="K129" s="22" t="inlineStr">
        <is>
          <t>beginnings,protection</t>
        </is>
      </c>
      <c r="L129" s="22">
        <f>", "&amp;C129&amp;", "</f>
        <v/>
      </c>
    </row>
    <row r="130" ht="15" customHeight="1" s="18">
      <c r="A130" s="29" t="inlineStr">
        <is>
          <t>Soap base</t>
        </is>
      </c>
      <c r="B130" s="29" t="inlineStr">
        <is>
          <t>Pantry: salts, sugars &amp; baking</t>
        </is>
      </c>
      <c r="C130" s="30" t="n"/>
      <c r="D130" s="31" t="inlineStr">
        <is>
          <t>—</t>
        </is>
      </c>
      <c r="E130" s="31" t="inlineStr">
        <is>
          <t>—</t>
        </is>
      </c>
      <c r="F130" s="30" t="inlineStr">
        <is>
          <t>Base for Soap.</t>
        </is>
      </c>
      <c r="G130" s="29">
        <f>IF(OR(D130="—",D130="",K130=""),"",COUNTIF($J$2:$J$259,J130)-1)</f>
        <v/>
      </c>
      <c r="H130" s="31" t="n"/>
      <c r="I130" s="30" t="n"/>
      <c r="J130" s="22">
        <f>K130&amp;"|"&amp;D130&amp;"|"&amp;E130</f>
        <v/>
      </c>
      <c r="K130" s="22" t="n"/>
      <c r="L130" s="22">
        <f>", "&amp;C130&amp;", "</f>
        <v/>
      </c>
    </row>
    <row r="131" ht="15" customHeight="1" s="18">
      <c r="A131" s="29" t="inlineStr">
        <is>
          <t>Soap base (charcoal)</t>
        </is>
      </c>
      <c r="B131" s="29" t="inlineStr">
        <is>
          <t>Pantry: salts, sugars &amp; baking</t>
        </is>
      </c>
      <c r="C131" s="30" t="n"/>
      <c r="D131" s="31" t="inlineStr">
        <is>
          <t>—</t>
        </is>
      </c>
      <c r="E131" s="31" t="inlineStr">
        <is>
          <t>—</t>
        </is>
      </c>
      <c r="F131" s="30" t="inlineStr">
        <is>
          <t>Base for Soap.</t>
        </is>
      </c>
      <c r="G131" s="29">
        <f>IF(OR(D131="—",D131="",K131=""),"",COUNTIF($J$2:$J$259,J131)-1)</f>
        <v/>
      </c>
      <c r="H131" s="31" t="n"/>
      <c r="I131" s="30" t="n"/>
      <c r="J131" s="22">
        <f>K131&amp;"|"&amp;D131&amp;"|"&amp;E131</f>
        <v/>
      </c>
      <c r="K131" s="22" t="n"/>
      <c r="L131" s="22">
        <f>", "&amp;C131&amp;", "</f>
        <v/>
      </c>
    </row>
    <row r="132" ht="15" customHeight="1" s="18">
      <c r="A132" s="29" t="inlineStr">
        <is>
          <t>Gold mica</t>
        </is>
      </c>
      <c r="B132" s="29" t="inlineStr">
        <is>
          <t>Pantry: salts, sugars &amp; baking</t>
        </is>
      </c>
      <c r="C132" s="30" t="inlineStr">
        <is>
          <t>success, confidence, joy</t>
        </is>
      </c>
      <c r="D132" s="31" t="inlineStr">
        <is>
          <t>Body</t>
        </is>
      </c>
      <c r="E132" s="31" t="inlineStr">
        <is>
          <t>Gentle</t>
        </is>
      </c>
      <c r="F132" s="30" t="inlineStr">
        <is>
          <t>Shimmer on the skin that makes people look twice.</t>
        </is>
      </c>
      <c r="G132" s="29">
        <f>IF(OR(D132="—",D132="",K132=""),"",COUNTIF($J$2:$J$259,J132)-1)</f>
        <v/>
      </c>
      <c r="H132" s="31" t="n"/>
      <c r="I132" s="30" t="n"/>
      <c r="J132" s="22">
        <f>K132&amp;"|"&amp;D132&amp;"|"&amp;E132</f>
        <v/>
      </c>
      <c r="K132" s="22" t="inlineStr">
        <is>
          <t>confidence,joy,success</t>
        </is>
      </c>
      <c r="L132" s="22">
        <f>", "&amp;C132&amp;", "</f>
        <v/>
      </c>
    </row>
    <row r="133" ht="15" customHeight="1" s="18">
      <c r="A133" s="29" t="inlineStr">
        <is>
          <t>Silver mica</t>
        </is>
      </c>
      <c r="B133" s="29" t="inlineStr">
        <is>
          <t>Pantry: salts, sugars &amp; baking</t>
        </is>
      </c>
      <c r="C133" s="30" t="inlineStr">
        <is>
          <t>intuition, wonder, dreams</t>
        </is>
      </c>
      <c r="D133" s="31" t="inlineStr">
        <is>
          <t>Mind</t>
        </is>
      </c>
      <c r="E133" s="31" t="inlineStr">
        <is>
          <t>Gentle</t>
        </is>
      </c>
      <c r="F133" s="30" t="inlineStr">
        <is>
          <t>Brushed on the eyelids of people who see things in their sleep.</t>
        </is>
      </c>
      <c r="G133" s="29">
        <f>IF(OR(D133="—",D133="",K133=""),"",COUNTIF($J$2:$J$259,J133)-1)</f>
        <v/>
      </c>
      <c r="H133" s="31" t="n"/>
      <c r="I133" s="30" t="n"/>
      <c r="J133" s="22">
        <f>K133&amp;"|"&amp;D133&amp;"|"&amp;E133</f>
        <v/>
      </c>
      <c r="K133" s="22" t="inlineStr">
        <is>
          <t>dreams,intuition,wonder</t>
        </is>
      </c>
      <c r="L133" s="22">
        <f>", "&amp;C133&amp;", "</f>
        <v/>
      </c>
    </row>
    <row r="134" ht="15" customHeight="1" s="18">
      <c r="A134" s="29" t="inlineStr">
        <is>
          <t>Silver glitter</t>
        </is>
      </c>
      <c r="B134" s="29" t="inlineStr">
        <is>
          <t>Pantry: salts, sugars &amp; baking</t>
        </is>
      </c>
      <c r="C134" s="30" t="inlineStr">
        <is>
          <t>wonder, dreams, play</t>
        </is>
      </c>
      <c r="D134" s="31" t="inlineStr">
        <is>
          <t>Mind</t>
        </is>
      </c>
      <c r="E134" s="31" t="inlineStr">
        <is>
          <t>Gentle</t>
        </is>
      </c>
      <c r="F134" s="30" t="inlineStr">
        <is>
          <t>Shaken over a child's bedroom on a starless night.</t>
        </is>
      </c>
      <c r="G134" s="29">
        <f>IF(OR(D134="—",D134="",K134=""),"",COUNTIF($J$2:$J$259,J134)-1)</f>
        <v/>
      </c>
      <c r="H134" s="31" t="n"/>
      <c r="I134" s="30" t="n"/>
      <c r="J134" s="22">
        <f>K134&amp;"|"&amp;D134&amp;"|"&amp;E134</f>
        <v/>
      </c>
      <c r="K134" s="22" t="inlineStr">
        <is>
          <t>dreams,play,wonder</t>
        </is>
      </c>
      <c r="L134" s="22">
        <f>", "&amp;C134&amp;", "</f>
        <v/>
      </c>
    </row>
    <row r="135" ht="15" customHeight="1" s="18">
      <c r="A135" s="29" t="inlineStr">
        <is>
          <t>Pink glitter</t>
        </is>
      </c>
      <c r="B135" s="29" t="inlineStr">
        <is>
          <t>Pantry: salts, sugars &amp; baking</t>
        </is>
      </c>
      <c r="C135" s="30" t="inlineStr">
        <is>
          <t>play, self-love</t>
        </is>
      </c>
      <c r="D135" s="31" t="inlineStr">
        <is>
          <t>Mind</t>
        </is>
      </c>
      <c r="E135" s="31" t="inlineStr">
        <is>
          <t>Gentle</t>
        </is>
      </c>
      <c r="F135" s="30" t="inlineStr">
        <is>
          <t>Sparkle for anyone who's been told to tone it down.</t>
        </is>
      </c>
      <c r="G135" s="29">
        <f>IF(OR(D135="—",D135="",K135=""),"",COUNTIF($J$2:$J$259,J135)-1)</f>
        <v/>
      </c>
      <c r="H135" s="31" t="n"/>
      <c r="I135" s="30" t="n"/>
      <c r="J135" s="22">
        <f>K135&amp;"|"&amp;D135&amp;"|"&amp;E135</f>
        <v/>
      </c>
      <c r="K135" s="22" t="inlineStr">
        <is>
          <t>play,self-love</t>
        </is>
      </c>
      <c r="L135" s="22">
        <f>", "&amp;C135&amp;", "</f>
        <v/>
      </c>
    </row>
    <row r="136" ht="15" customHeight="1" s="18">
      <c r="A136" s="29" t="inlineStr">
        <is>
          <t>Biodegradable glitter</t>
        </is>
      </c>
      <c r="B136" s="29" t="inlineStr">
        <is>
          <t>Pantry: salts, sugars &amp; baking</t>
        </is>
      </c>
      <c r="C136" s="30" t="inlineStr">
        <is>
          <t>play, creativity</t>
        </is>
      </c>
      <c r="D136" s="31" t="inlineStr">
        <is>
          <t>Mind</t>
        </is>
      </c>
      <c r="E136" s="31" t="inlineStr">
        <is>
          <t>Gentle</t>
        </is>
      </c>
      <c r="F136" s="30" t="inlineStr">
        <is>
          <t>Gets everywhere, like a good idea.</t>
        </is>
      </c>
      <c r="G136" s="29">
        <f>IF(OR(D136="—",D136="",K136=""),"",COUNTIF($J$2:$J$259,J136)-1)</f>
        <v/>
      </c>
      <c r="H136" s="31" t="n"/>
      <c r="I136" s="30" t="n"/>
      <c r="J136" s="22">
        <f>K136&amp;"|"&amp;D136&amp;"|"&amp;E136</f>
        <v/>
      </c>
      <c r="K136" s="22" t="inlineStr">
        <is>
          <t>creativity,play</t>
        </is>
      </c>
      <c r="L136" s="22">
        <f>", "&amp;C136&amp;", "</f>
        <v/>
      </c>
    </row>
    <row r="137" ht="15" customHeight="1" s="18">
      <c r="A137" s="29" t="inlineStr">
        <is>
          <t>Amber resin</t>
        </is>
      </c>
      <c r="B137" s="29" t="inlineStr">
        <is>
          <t>Resins &amp; incense</t>
        </is>
      </c>
      <c r="C137" s="30" t="inlineStr">
        <is>
          <t>comfort, calm, joy</t>
        </is>
      </c>
      <c r="D137" s="31" t="inlineStr">
        <is>
          <t>Mind</t>
        </is>
      </c>
      <c r="E137" s="31" t="inlineStr">
        <is>
          <t>Gentle</t>
        </is>
      </c>
      <c r="F137" s="30" t="inlineStr">
        <is>
          <t>Golden and warm, like sitting by the fire with an old dog.</t>
        </is>
      </c>
      <c r="G137" s="29">
        <f>IF(OR(D137="—",D137="",K137=""),"",COUNTIF($J$2:$J$259,J137)-1)</f>
        <v/>
      </c>
      <c r="H137" s="31" t="n"/>
      <c r="I137" s="30" t="n"/>
      <c r="J137" s="22">
        <f>K137&amp;"|"&amp;D137&amp;"|"&amp;E137</f>
        <v/>
      </c>
      <c r="K137" s="22" t="inlineStr">
        <is>
          <t>calm,comfort,joy</t>
        </is>
      </c>
      <c r="L137" s="22">
        <f>", "&amp;C137&amp;", "</f>
        <v/>
      </c>
    </row>
    <row r="138" ht="15" customHeight="1" s="18">
      <c r="A138" s="29" t="inlineStr">
        <is>
          <t>Copal</t>
        </is>
      </c>
      <c r="B138" s="29" t="inlineStr">
        <is>
          <t>Resins &amp; incense</t>
        </is>
      </c>
      <c r="C138" s="30" t="inlineStr">
        <is>
          <t>calm, connection</t>
        </is>
      </c>
      <c r="D138" s="31" t="inlineStr">
        <is>
          <t>Space</t>
        </is>
      </c>
      <c r="E138" s="31" t="inlineStr">
        <is>
          <t>Gentle</t>
        </is>
      </c>
      <c r="F138" s="30" t="inlineStr">
        <is>
          <t>Sweet smoke that gathers people together.</t>
        </is>
      </c>
      <c r="G138" s="29">
        <f>IF(OR(D138="—",D138="",K138=""),"",COUNTIF($J$2:$J$259,J138)-1)</f>
        <v/>
      </c>
      <c r="H138" s="31" t="n"/>
      <c r="I138" s="30" t="n"/>
      <c r="J138" s="22">
        <f>K138&amp;"|"&amp;D138&amp;"|"&amp;E138</f>
        <v/>
      </c>
      <c r="K138" s="22" t="inlineStr">
        <is>
          <t>calm,connection</t>
        </is>
      </c>
      <c r="L138" s="22">
        <f>", "&amp;C138&amp;", "</f>
        <v/>
      </c>
    </row>
    <row r="139" ht="23.25" customHeight="1" s="18">
      <c r="A139" s="29" t="inlineStr">
        <is>
          <t>Frankincense</t>
        </is>
      </c>
      <c r="B139" s="29" t="inlineStr">
        <is>
          <t>Resins &amp; incense</t>
        </is>
      </c>
      <c r="C139" s="30" t="inlineStr">
        <is>
          <t>cleansing, protection, intuition, creativity</t>
        </is>
      </c>
      <c r="D139" s="31" t="inlineStr">
        <is>
          <t>Space</t>
        </is>
      </c>
      <c r="E139" s="31" t="inlineStr">
        <is>
          <t>Strong</t>
        </is>
      </c>
      <c r="F139" s="30" t="inlineStr">
        <is>
          <t>Holy smoke. Purifies and protects a room.</t>
        </is>
      </c>
      <c r="G139" s="29">
        <f>IF(OR(D139="—",D139="",K139=""),"",COUNTIF($J$2:$J$259,J139)-1)</f>
        <v/>
      </c>
      <c r="H139" s="31" t="n"/>
      <c r="I139" s="30" t="n"/>
      <c r="J139" s="22">
        <f>K139&amp;"|"&amp;D139&amp;"|"&amp;E139</f>
        <v/>
      </c>
      <c r="K139" s="22" t="inlineStr">
        <is>
          <t>cleansing,creativity,intuition,protection</t>
        </is>
      </c>
      <c r="L139" s="22">
        <f>", "&amp;C139&amp;", "</f>
        <v/>
      </c>
    </row>
    <row r="140" ht="15" customHeight="1" s="18">
      <c r="A140" s="29" t="inlineStr">
        <is>
          <t>Myrrh</t>
        </is>
      </c>
      <c r="B140" s="29" t="inlineStr">
        <is>
          <t>Resins &amp; incense</t>
        </is>
      </c>
      <c r="C140" s="30" t="inlineStr">
        <is>
          <t>release, protection, healing, intuition</t>
        </is>
      </c>
      <c r="D140" s="31" t="inlineStr">
        <is>
          <t>Body</t>
        </is>
      </c>
      <c r="E140" s="31" t="inlineStr">
        <is>
          <t>Strong</t>
        </is>
      </c>
      <c r="F140" s="30" t="inlineStr">
        <is>
          <t>Bitter resin for deep mending and letting go.</t>
        </is>
      </c>
      <c r="G140" s="29">
        <f>IF(OR(D140="—",D140="",K140=""),"",COUNTIF($J$2:$J$259,J140)-1)</f>
        <v/>
      </c>
      <c r="H140" s="31" t="n"/>
      <c r="I140" s="30" t="n"/>
      <c r="J140" s="22">
        <f>K140&amp;"|"&amp;D140&amp;"|"&amp;E140</f>
        <v/>
      </c>
      <c r="K140" s="22" t="inlineStr">
        <is>
          <t>healing,intuition,protection,release</t>
        </is>
      </c>
      <c r="L140" s="22">
        <f>", "&amp;C140&amp;", "</f>
        <v/>
      </c>
    </row>
    <row r="141" ht="15" customHeight="1" s="18">
      <c r="A141" s="29" t="inlineStr">
        <is>
          <t>Patchouli</t>
        </is>
      </c>
      <c r="B141" s="29" t="inlineStr">
        <is>
          <t>Resins &amp; incense</t>
        </is>
      </c>
      <c r="C141" s="30" t="inlineStr">
        <is>
          <t>grounding, attraction</t>
        </is>
      </c>
      <c r="D141" s="31" t="inlineStr">
        <is>
          <t>Body</t>
        </is>
      </c>
      <c r="E141" s="31" t="inlineStr">
        <is>
          <t>Strong</t>
        </is>
      </c>
      <c r="F141" s="30" t="inlineStr">
        <is>
          <t>Earthy, heady musk. People drift closer and don't know why.</t>
        </is>
      </c>
      <c r="G141" s="29">
        <f>IF(OR(D141="—",D141="",K141=""),"",COUNTIF($J$2:$J$259,J141)-1)</f>
        <v/>
      </c>
      <c r="H141" s="31" t="n"/>
      <c r="I141" s="30" t="n"/>
      <c r="J141" s="22">
        <f>K141&amp;"|"&amp;D141&amp;"|"&amp;E141</f>
        <v/>
      </c>
      <c r="K141" s="22" t="inlineStr">
        <is>
          <t>attraction,grounding</t>
        </is>
      </c>
      <c r="L141" s="22">
        <f>", "&amp;C141&amp;", "</f>
        <v/>
      </c>
    </row>
    <row r="142" ht="15" customHeight="1" s="18">
      <c r="A142" s="29" t="inlineStr">
        <is>
          <t>Sandalwood</t>
        </is>
      </c>
      <c r="B142" s="29" t="inlineStr">
        <is>
          <t>Resins &amp; incense</t>
        </is>
      </c>
      <c r="C142" s="30" t="inlineStr">
        <is>
          <t>calm, intuition, rest</t>
        </is>
      </c>
      <c r="D142" s="31" t="inlineStr">
        <is>
          <t>Mind</t>
        </is>
      </c>
      <c r="E142" s="31" t="inlineStr">
        <is>
          <t>Gentle</t>
        </is>
      </c>
      <c r="F142" s="30" t="inlineStr">
        <is>
          <t>Burned before meditation, for sitting still.</t>
        </is>
      </c>
      <c r="G142" s="29">
        <f>IF(OR(D142="—",D142="",K142=""),"",COUNTIF($J$2:$J$259,J142)-1)</f>
        <v/>
      </c>
      <c r="H142" s="31" t="n"/>
      <c r="I142" s="30" t="n"/>
      <c r="J142" s="22">
        <f>K142&amp;"|"&amp;D142&amp;"|"&amp;E142</f>
        <v/>
      </c>
      <c r="K142" s="22" t="inlineStr">
        <is>
          <t>calm,intuition,rest</t>
        </is>
      </c>
      <c r="L142" s="22">
        <f>", "&amp;C142&amp;", "</f>
        <v/>
      </c>
    </row>
    <row r="143" ht="15" customHeight="1" s="18">
      <c r="A143" s="29" t="inlineStr">
        <is>
          <t>Amazonite</t>
        </is>
      </c>
      <c r="B143" s="29" t="inlineStr">
        <is>
          <t>Crystals</t>
        </is>
      </c>
      <c r="C143" s="30" t="inlineStr">
        <is>
          <t>communication, friendship, calm</t>
        </is>
      </c>
      <c r="D143" s="31" t="inlineStr">
        <is>
          <t>Mind</t>
        </is>
      </c>
      <c r="E143" s="31" t="inlineStr">
        <is>
          <t>Gentle</t>
        </is>
      </c>
      <c r="F143" s="30" t="inlineStr">
        <is>
          <t>For making up with a friend over tea.</t>
        </is>
      </c>
      <c r="G143" s="29">
        <f>IF(OR(D143="—",D143="",K143=""),"",COUNTIF($J$2:$J$259,J143)-1)</f>
        <v/>
      </c>
      <c r="H143" s="31" t="n"/>
      <c r="I143" s="30" t="n"/>
      <c r="J143" s="22">
        <f>K143&amp;"|"&amp;D143&amp;"|"&amp;E143</f>
        <v/>
      </c>
      <c r="K143" s="22" t="inlineStr">
        <is>
          <t>calm,communication,friendship</t>
        </is>
      </c>
      <c r="L143" s="22">
        <f>", "&amp;C143&amp;", "</f>
        <v/>
      </c>
    </row>
    <row r="144" ht="15" customHeight="1" s="18">
      <c r="A144" s="29" t="inlineStr">
        <is>
          <t>Amethyst</t>
        </is>
      </c>
      <c r="B144" s="29" t="inlineStr">
        <is>
          <t>Crystals</t>
        </is>
      </c>
      <c r="C144" s="30" t="inlineStr">
        <is>
          <t>intuition, dreams, calm</t>
        </is>
      </c>
      <c r="D144" s="31" t="inlineStr">
        <is>
          <t>Mind</t>
        </is>
      </c>
      <c r="E144" s="31" t="inlineStr">
        <is>
          <t>Gentle</t>
        </is>
      </c>
      <c r="F144" s="30" t="inlineStr">
        <is>
          <t>Under the pillow of a restless sleeper who sees riddles in the night.</t>
        </is>
      </c>
      <c r="G144" s="29">
        <f>IF(OR(D144="—",D144="",K144=""),"",COUNTIF($J$2:$J$259,J144)-1)</f>
        <v/>
      </c>
      <c r="H144" s="31" t="n"/>
      <c r="I144" s="30" t="n"/>
      <c r="J144" s="22">
        <f>K144&amp;"|"&amp;D144&amp;"|"&amp;E144</f>
        <v/>
      </c>
      <c r="K144" s="22" t="inlineStr">
        <is>
          <t>calm,dreams,intuition</t>
        </is>
      </c>
      <c r="L144" s="22">
        <f>", "&amp;C144&amp;", "</f>
        <v/>
      </c>
    </row>
    <row r="145" ht="15" customHeight="1" s="18">
      <c r="A145" s="29" t="inlineStr">
        <is>
          <t>Aquamarine</t>
        </is>
      </c>
      <c r="B145" s="29" t="inlineStr">
        <is>
          <t>Crystals</t>
        </is>
      </c>
      <c r="C145" s="30" t="inlineStr">
        <is>
          <t>calm, communication, release</t>
        </is>
      </c>
      <c r="D145" s="31" t="inlineStr">
        <is>
          <t>Mind</t>
        </is>
      </c>
      <c r="E145" s="31" t="inlineStr">
        <is>
          <t>Gentle</t>
        </is>
      </c>
      <c r="F145" s="30" t="inlineStr">
        <is>
          <t>For saying the thing you've swallowed for years, then letting it go out with the tide.</t>
        </is>
      </c>
      <c r="G145" s="29">
        <f>IF(OR(D145="—",D145="",K145=""),"",COUNTIF($J$2:$J$259,J145)-1)</f>
        <v/>
      </c>
      <c r="H145" s="31" t="n"/>
      <c r="I145" s="30" t="n"/>
      <c r="J145" s="22">
        <f>K145&amp;"|"&amp;D145&amp;"|"&amp;E145</f>
        <v/>
      </c>
      <c r="K145" s="22" t="inlineStr">
        <is>
          <t>calm,communication,release</t>
        </is>
      </c>
      <c r="L145" s="22">
        <f>", "&amp;C145&amp;", "</f>
        <v/>
      </c>
    </row>
    <row r="146" ht="15" customHeight="1" s="18">
      <c r="A146" s="29" t="inlineStr">
        <is>
          <t>Birthstone (customer's)</t>
        </is>
      </c>
      <c r="B146" s="29" t="inlineStr">
        <is>
          <t>Crystals</t>
        </is>
      </c>
      <c r="C146" s="30" t="n"/>
      <c r="D146" s="31" t="inlineStr">
        <is>
          <t>—</t>
        </is>
      </c>
      <c r="E146" s="31" t="inlineStr">
        <is>
          <t>—</t>
        </is>
      </c>
      <c r="F146" s="30" t="inlineStr">
        <is>
          <t>Works as a base for any spell type.</t>
        </is>
      </c>
      <c r="G146" s="29">
        <f>IF(OR(D146="—",D146="",K146=""),"",COUNTIF($J$2:$J$259,J146)-1)</f>
        <v/>
      </c>
      <c r="H146" s="31" t="n"/>
      <c r="I146" s="30" t="n"/>
      <c r="J146" s="22">
        <f>K146&amp;"|"&amp;D146&amp;"|"&amp;E146</f>
        <v/>
      </c>
      <c r="K146" s="22" t="n"/>
      <c r="L146" s="22">
        <f>", "&amp;C146&amp;", "</f>
        <v/>
      </c>
    </row>
    <row r="147" ht="15" customHeight="1" s="18">
      <c r="A147" s="29" t="inlineStr">
        <is>
          <t>Black tourmaline</t>
        </is>
      </c>
      <c r="B147" s="29" t="inlineStr">
        <is>
          <t>Crystals</t>
        </is>
      </c>
      <c r="C147" s="30" t="inlineStr">
        <is>
          <t>protection, banishing</t>
        </is>
      </c>
      <c r="D147" s="31" t="inlineStr">
        <is>
          <t>Space</t>
        </is>
      </c>
      <c r="E147" s="31" t="inlineStr">
        <is>
          <t>Strong</t>
        </is>
      </c>
      <c r="F147" s="30" t="inlineStr">
        <is>
          <t>A shield stone. Absorbs and repels.</t>
        </is>
      </c>
      <c r="G147" s="29">
        <f>IF(OR(D147="—",D147="",K147=""),"",COUNTIF($J$2:$J$259,J147)-1)</f>
        <v/>
      </c>
      <c r="H147" s="31" t="n"/>
      <c r="I147" s="30" t="n"/>
      <c r="J147" s="22">
        <f>K147&amp;"|"&amp;D147&amp;"|"&amp;E147</f>
        <v/>
      </c>
      <c r="K147" s="22" t="inlineStr">
        <is>
          <t>banishing,protection</t>
        </is>
      </c>
      <c r="L147" s="22">
        <f>", "&amp;C147&amp;", "</f>
        <v/>
      </c>
    </row>
    <row r="148" ht="15" customHeight="1" s="18">
      <c r="A148" s="29" t="inlineStr">
        <is>
          <t>Blue lace agate</t>
        </is>
      </c>
      <c r="B148" s="29" t="inlineStr">
        <is>
          <t>Crystals</t>
        </is>
      </c>
      <c r="C148" s="30" t="inlineStr">
        <is>
          <t>calm, communication, comfort</t>
        </is>
      </c>
      <c r="D148" s="31" t="inlineStr">
        <is>
          <t>Mind</t>
        </is>
      </c>
      <c r="E148" s="31" t="inlineStr">
        <is>
          <t>Gentle</t>
        </is>
      </c>
      <c r="F148" s="30" t="inlineStr">
        <is>
          <t>For the quiet one who needs to be heard, softly.</t>
        </is>
      </c>
      <c r="G148" s="29">
        <f>IF(OR(D148="—",D148="",K148=""),"",COUNTIF($J$2:$J$259,J148)-1)</f>
        <v/>
      </c>
      <c r="H148" s="31" t="n"/>
      <c r="I148" s="30" t="n"/>
      <c r="J148" s="22">
        <f>K148&amp;"|"&amp;D148&amp;"|"&amp;E148</f>
        <v/>
      </c>
      <c r="K148" s="22" t="inlineStr">
        <is>
          <t>calm,comfort,communication</t>
        </is>
      </c>
      <c r="L148" s="22">
        <f>", "&amp;C148&amp;", "</f>
        <v/>
      </c>
    </row>
    <row r="149" ht="15" customHeight="1" s="18">
      <c r="A149" s="29" t="inlineStr">
        <is>
          <t>Carnelian</t>
        </is>
      </c>
      <c r="B149" s="29" t="inlineStr">
        <is>
          <t>Crystals</t>
        </is>
      </c>
      <c r="C149" s="30" t="inlineStr">
        <is>
          <t>courage, creativity, energy</t>
        </is>
      </c>
      <c r="D149" s="31" t="inlineStr">
        <is>
          <t>Body</t>
        </is>
      </c>
      <c r="E149" s="31" t="inlineStr">
        <is>
          <t>Strong</t>
        </is>
      </c>
      <c r="F149" s="30" t="inlineStr">
        <is>
          <t>Fire for action and nerve.</t>
        </is>
      </c>
      <c r="G149" s="29">
        <f>IF(OR(D149="—",D149="",K149=""),"",COUNTIF($J$2:$J$259,J149)-1)</f>
        <v/>
      </c>
      <c r="H149" s="31" t="n"/>
      <c r="I149" s="30" t="n"/>
      <c r="J149" s="22">
        <f>K149&amp;"|"&amp;D149&amp;"|"&amp;E149</f>
        <v/>
      </c>
      <c r="K149" s="22" t="inlineStr">
        <is>
          <t>courage,creativity,energy</t>
        </is>
      </c>
      <c r="L149" s="22">
        <f>", "&amp;C149&amp;", "</f>
        <v/>
      </c>
    </row>
    <row r="150" ht="15" customHeight="1" s="18">
      <c r="A150" s="29" t="inlineStr">
        <is>
          <t>Citrine</t>
        </is>
      </c>
      <c r="B150" s="29" t="inlineStr">
        <is>
          <t>Crystals</t>
        </is>
      </c>
      <c r="C150" s="30" t="inlineStr">
        <is>
          <t>abundance, joy, success, luck</t>
        </is>
      </c>
      <c r="D150" s="31" t="inlineStr">
        <is>
          <t>Space</t>
        </is>
      </c>
      <c r="E150" s="31" t="inlineStr">
        <is>
          <t>Strong</t>
        </is>
      </c>
      <c r="F150" s="30" t="inlineStr">
        <is>
          <t>The merchant's stone. Draws money to the till.</t>
        </is>
      </c>
      <c r="G150" s="29">
        <f>IF(OR(D150="—",D150="",K150=""),"",COUNTIF($J$2:$J$259,J150)-1)</f>
        <v/>
      </c>
      <c r="H150" s="31" t="n"/>
      <c r="I150" s="30" t="n"/>
      <c r="J150" s="22">
        <f>K150&amp;"|"&amp;D150&amp;"|"&amp;E150</f>
        <v/>
      </c>
      <c r="K150" s="22" t="inlineStr">
        <is>
          <t>abundance,joy,luck,success</t>
        </is>
      </c>
      <c r="L150" s="22">
        <f>", "&amp;C150&amp;", "</f>
        <v/>
      </c>
    </row>
    <row r="151" ht="15" customHeight="1" s="18">
      <c r="A151" s="29" t="inlineStr">
        <is>
          <t>Clear quartz</t>
        </is>
      </c>
      <c r="B151" s="29" t="inlineStr">
        <is>
          <t>Crystals</t>
        </is>
      </c>
      <c r="C151" s="30" t="inlineStr">
        <is>
          <t>focus, truth, energy, protection</t>
        </is>
      </c>
      <c r="D151" s="31" t="inlineStr">
        <is>
          <t>Mind</t>
        </is>
      </c>
      <c r="E151" s="31" t="inlineStr">
        <is>
          <t>Strong</t>
        </is>
      </c>
      <c r="F151" s="30" t="inlineStr">
        <is>
          <t>The amplifier. Sharpens and strengthens.</t>
        </is>
      </c>
      <c r="G151" s="29">
        <f>IF(OR(D151="—",D151="",K151=""),"",COUNTIF($J$2:$J$259,J151)-1)</f>
        <v/>
      </c>
      <c r="H151" s="31" t="n"/>
      <c r="I151" s="30" t="n"/>
      <c r="J151" s="22">
        <f>K151&amp;"|"&amp;D151&amp;"|"&amp;E151</f>
        <v/>
      </c>
      <c r="K151" s="22" t="inlineStr">
        <is>
          <t>energy,focus,protection,truth</t>
        </is>
      </c>
      <c r="L151" s="22">
        <f>", "&amp;C151&amp;", "</f>
        <v/>
      </c>
    </row>
    <row r="152" ht="15" customHeight="1" s="18">
      <c r="A152" s="29" t="inlineStr">
        <is>
          <t>Fluorite</t>
        </is>
      </c>
      <c r="B152" s="29" t="inlineStr">
        <is>
          <t>Crystals</t>
        </is>
      </c>
      <c r="C152" s="30" t="inlineStr">
        <is>
          <t>focus, creativity</t>
        </is>
      </c>
      <c r="D152" s="31" t="inlineStr">
        <is>
          <t>Mind</t>
        </is>
      </c>
      <c r="E152" s="31" t="inlineStr">
        <is>
          <t>Gentle</t>
        </is>
      </c>
      <c r="F152" s="30" t="inlineStr">
        <is>
          <t>For a child's messy homework. Puts thoughts in neat rows.</t>
        </is>
      </c>
      <c r="G152" s="29">
        <f>IF(OR(D152="—",D152="",K152=""),"",COUNTIF($J$2:$J$259,J152)-1)</f>
        <v/>
      </c>
      <c r="H152" s="31" t="n"/>
      <c r="I152" s="30" t="n"/>
      <c r="J152" s="22">
        <f>K152&amp;"|"&amp;D152&amp;"|"&amp;E152</f>
        <v/>
      </c>
      <c r="K152" s="22" t="inlineStr">
        <is>
          <t>creativity,focus</t>
        </is>
      </c>
      <c r="L152" s="22">
        <f>", "&amp;C152&amp;", "</f>
        <v/>
      </c>
    </row>
    <row r="153" ht="15" customHeight="1" s="18">
      <c r="A153" s="29" t="inlineStr">
        <is>
          <t>Garnet</t>
        </is>
      </c>
      <c r="B153" s="29" t="inlineStr">
        <is>
          <t>Crystals</t>
        </is>
      </c>
      <c r="C153" s="30" t="inlineStr">
        <is>
          <t>passion, courage, love</t>
        </is>
      </c>
      <c r="D153" s="31" t="inlineStr">
        <is>
          <t>Body</t>
        </is>
      </c>
      <c r="E153" s="31" t="inlineStr">
        <is>
          <t>Strong</t>
        </is>
      </c>
      <c r="F153" s="30" t="inlineStr">
        <is>
          <t>Passion in the blood.</t>
        </is>
      </c>
      <c r="G153" s="29">
        <f>IF(OR(D153="—",D153="",K153=""),"",COUNTIF($J$2:$J$259,J153)-1)</f>
        <v/>
      </c>
      <c r="H153" s="31" t="n"/>
      <c r="I153" s="30" t="n"/>
      <c r="J153" s="22">
        <f>K153&amp;"|"&amp;D153&amp;"|"&amp;E153</f>
        <v/>
      </c>
      <c r="K153" s="22" t="inlineStr">
        <is>
          <t>courage,love,passion</t>
        </is>
      </c>
      <c r="L153" s="22">
        <f>", "&amp;C153&amp;", "</f>
        <v/>
      </c>
    </row>
    <row r="154" ht="15" customHeight="1" s="18">
      <c r="A154" s="29" t="inlineStr">
        <is>
          <t>Green aventurine</t>
        </is>
      </c>
      <c r="B154" s="29" t="inlineStr">
        <is>
          <t>Crystals</t>
        </is>
      </c>
      <c r="C154" s="30" t="inlineStr">
        <is>
          <t>luck, opportunity, abundance</t>
        </is>
      </c>
      <c r="D154" s="31" t="inlineStr">
        <is>
          <t>Space</t>
        </is>
      </c>
      <c r="E154" s="31" t="inlineStr">
        <is>
          <t>Gentle</t>
        </is>
      </c>
      <c r="F154" s="30" t="inlineStr">
        <is>
          <t>Gentle good fortune and new chances.</t>
        </is>
      </c>
      <c r="G154" s="29">
        <f>IF(OR(D154="—",D154="",K154=""),"",COUNTIF($J$2:$J$259,J154)-1)</f>
        <v/>
      </c>
      <c r="H154" s="31" t="n"/>
      <c r="I154" s="30" t="n"/>
      <c r="J154" s="22">
        <f>K154&amp;"|"&amp;D154&amp;"|"&amp;E154</f>
        <v/>
      </c>
      <c r="K154" s="22" t="inlineStr">
        <is>
          <t>abundance,luck,opportunity</t>
        </is>
      </c>
      <c r="L154" s="22">
        <f>", "&amp;C154&amp;", "</f>
        <v/>
      </c>
    </row>
    <row r="155" ht="15" customHeight="1" s="18">
      <c r="A155" s="29" t="inlineStr">
        <is>
          <t>Hematite</t>
        </is>
      </c>
      <c r="B155" s="29" t="inlineStr">
        <is>
          <t>Crystals</t>
        </is>
      </c>
      <c r="C155" s="30" t="inlineStr">
        <is>
          <t>grounding, protection, focus</t>
        </is>
      </c>
      <c r="D155" s="31" t="inlineStr">
        <is>
          <t>Body</t>
        </is>
      </c>
      <c r="E155" s="31" t="inlineStr">
        <is>
          <t>Strong</t>
        </is>
      </c>
      <c r="F155" s="30" t="inlineStr">
        <is>
          <t>Heavy iron weight that keeps the body steady.</t>
        </is>
      </c>
      <c r="G155" s="29">
        <f>IF(OR(D155="—",D155="",K155=""),"",COUNTIF($J$2:$J$259,J155)-1)</f>
        <v/>
      </c>
      <c r="H155" s="31" t="n"/>
      <c r="I155" s="30" t="n"/>
      <c r="J155" s="22">
        <f>K155&amp;"|"&amp;D155&amp;"|"&amp;E155</f>
        <v/>
      </c>
      <c r="K155" s="22" t="inlineStr">
        <is>
          <t>focus,grounding,protection</t>
        </is>
      </c>
      <c r="L155" s="22">
        <f>", "&amp;C155&amp;", "</f>
        <v/>
      </c>
    </row>
    <row r="156" ht="15" customHeight="1" s="18">
      <c r="A156" s="29" t="inlineStr">
        <is>
          <t>Howlite</t>
        </is>
      </c>
      <c r="B156" s="29" t="inlineStr">
        <is>
          <t>Crystals</t>
        </is>
      </c>
      <c r="C156" s="30" t="inlineStr">
        <is>
          <t>calm, patience</t>
        </is>
      </c>
      <c r="D156" s="31" t="inlineStr">
        <is>
          <t>Mind</t>
        </is>
      </c>
      <c r="E156" s="31" t="inlineStr">
        <is>
          <t>Gentle</t>
        </is>
      </c>
      <c r="F156" s="30" t="inlineStr">
        <is>
          <t>For the long wait by the telephone.</t>
        </is>
      </c>
      <c r="G156" s="29">
        <f>IF(OR(D156="—",D156="",K156=""),"",COUNTIF($J$2:$J$259,J156)-1)</f>
        <v/>
      </c>
      <c r="H156" s="31" t="n"/>
      <c r="I156" s="30" t="n"/>
      <c r="J156" s="22">
        <f>K156&amp;"|"&amp;D156&amp;"|"&amp;E156</f>
        <v/>
      </c>
      <c r="K156" s="22" t="inlineStr">
        <is>
          <t>calm,patience</t>
        </is>
      </c>
      <c r="L156" s="22">
        <f>", "&amp;C156&amp;", "</f>
        <v/>
      </c>
    </row>
    <row r="157" ht="15" customHeight="1" s="18">
      <c r="A157" s="29" t="inlineStr">
        <is>
          <t>Jade</t>
        </is>
      </c>
      <c r="B157" s="29" t="inlineStr">
        <is>
          <t>Crystals</t>
        </is>
      </c>
      <c r="C157" s="30" t="inlineStr">
        <is>
          <t>abundance, harmony, friendship</t>
        </is>
      </c>
      <c r="D157" s="31" t="inlineStr">
        <is>
          <t>Space</t>
        </is>
      </c>
      <c r="E157" s="31" t="inlineStr">
        <is>
          <t>Gentle</t>
        </is>
      </c>
      <c r="F157" s="30" t="inlineStr">
        <is>
          <t>Keeps a household and its friends getting along.</t>
        </is>
      </c>
      <c r="G157" s="29">
        <f>IF(OR(D157="—",D157="",K157=""),"",COUNTIF($J$2:$J$259,J157)-1)</f>
        <v/>
      </c>
      <c r="H157" s="31" t="n"/>
      <c r="I157" s="30" t="n"/>
      <c r="J157" s="22">
        <f>K157&amp;"|"&amp;D157&amp;"|"&amp;E157</f>
        <v/>
      </c>
      <c r="K157" s="22" t="inlineStr">
        <is>
          <t>abundance,friendship,harmony</t>
        </is>
      </c>
      <c r="L157" s="22">
        <f>", "&amp;C157&amp;", "</f>
        <v/>
      </c>
    </row>
    <row r="158" ht="15" customHeight="1" s="18">
      <c r="A158" s="29" t="inlineStr">
        <is>
          <t>Labradorite</t>
        </is>
      </c>
      <c r="B158" s="29" t="inlineStr">
        <is>
          <t>Crystals</t>
        </is>
      </c>
      <c r="C158" s="30" t="inlineStr">
        <is>
          <t>transformation, intuition, creativity</t>
        </is>
      </c>
      <c r="D158" s="31" t="inlineStr">
        <is>
          <t>Mind</t>
        </is>
      </c>
      <c r="E158" s="31" t="inlineStr">
        <is>
          <t>Strong</t>
        </is>
      </c>
      <c r="F158" s="30" t="inlineStr">
        <is>
          <t>Shifting light, for becoming someone new.</t>
        </is>
      </c>
      <c r="G158" s="29">
        <f>IF(OR(D158="—",D158="",K158=""),"",COUNTIF($J$2:$J$259,J158)-1)</f>
        <v/>
      </c>
      <c r="H158" s="31" t="n"/>
      <c r="I158" s="30" t="n"/>
      <c r="J158" s="22">
        <f>K158&amp;"|"&amp;D158&amp;"|"&amp;E158</f>
        <v/>
      </c>
      <c r="K158" s="22" t="inlineStr">
        <is>
          <t>creativity,intuition,transformation</t>
        </is>
      </c>
      <c r="L158" s="22">
        <f>", "&amp;C158&amp;", "</f>
        <v/>
      </c>
    </row>
    <row r="159" ht="15" customHeight="1" s="18">
      <c r="A159" s="29" t="inlineStr">
        <is>
          <t>Lapis lazuli</t>
        </is>
      </c>
      <c r="B159" s="29" t="inlineStr">
        <is>
          <t>Crystals</t>
        </is>
      </c>
      <c r="C159" s="30" t="inlineStr">
        <is>
          <t>truth, communication</t>
        </is>
      </c>
      <c r="D159" s="31" t="inlineStr">
        <is>
          <t>Mind</t>
        </is>
      </c>
      <c r="E159" s="31" t="inlineStr">
        <is>
          <t>Strong</t>
        </is>
      </c>
      <c r="F159" s="30" t="inlineStr">
        <is>
          <t>The stone for saying what is real.</t>
        </is>
      </c>
      <c r="G159" s="29">
        <f>IF(OR(D159="—",D159="",K159=""),"",COUNTIF($J$2:$J$259,J159)-1)</f>
        <v/>
      </c>
      <c r="H159" s="31" t="n"/>
      <c r="I159" s="30" t="n"/>
      <c r="J159" s="22">
        <f>K159&amp;"|"&amp;D159&amp;"|"&amp;E159</f>
        <v/>
      </c>
      <c r="K159" s="22" t="inlineStr">
        <is>
          <t>communication,truth</t>
        </is>
      </c>
      <c r="L159" s="22">
        <f>", "&amp;C159&amp;", "</f>
        <v/>
      </c>
    </row>
    <row r="160" ht="15" customHeight="1" s="18">
      <c r="A160" s="29" t="inlineStr">
        <is>
          <t>Malachite</t>
        </is>
      </c>
      <c r="B160" s="29" t="inlineStr">
        <is>
          <t>Crystals</t>
        </is>
      </c>
      <c r="C160" s="30" t="inlineStr">
        <is>
          <t>transformation, protection, travel</t>
        </is>
      </c>
      <c r="D160" s="31" t="inlineStr">
        <is>
          <t>Space</t>
        </is>
      </c>
      <c r="E160" s="31" t="inlineStr">
        <is>
          <t>Strong</t>
        </is>
      </c>
      <c r="F160" s="30" t="inlineStr">
        <is>
          <t>Guards those on long roads through great change.</t>
        </is>
      </c>
      <c r="G160" s="29">
        <f>IF(OR(D160="—",D160="",K160=""),"",COUNTIF($J$2:$J$259,J160)-1)</f>
        <v/>
      </c>
      <c r="H160" s="31" t="n"/>
      <c r="I160" s="30" t="n"/>
      <c r="J160" s="22">
        <f>K160&amp;"|"&amp;D160&amp;"|"&amp;E160</f>
        <v/>
      </c>
      <c r="K160" s="22" t="inlineStr">
        <is>
          <t>protection,transformation,travel</t>
        </is>
      </c>
      <c r="L160" s="22">
        <f>", "&amp;C160&amp;", "</f>
        <v/>
      </c>
    </row>
    <row r="161" ht="23.25" customHeight="1" s="18">
      <c r="A161" s="29" t="inlineStr">
        <is>
          <t>Moonstone</t>
        </is>
      </c>
      <c r="B161" s="29" t="inlineStr">
        <is>
          <t>Crystals</t>
        </is>
      </c>
      <c r="C161" s="30" t="inlineStr">
        <is>
          <t>intuition, dreams, beginnings, self-love</t>
        </is>
      </c>
      <c r="D161" s="31" t="inlineStr">
        <is>
          <t>Mind</t>
        </is>
      </c>
      <c r="E161" s="31" t="inlineStr">
        <is>
          <t>Gentle</t>
        </is>
      </c>
      <c r="F161" s="30" t="inlineStr">
        <is>
          <t>For a new chapter, and for trusting yourself in it.</t>
        </is>
      </c>
      <c r="G161" s="29">
        <f>IF(OR(D161="—",D161="",K161=""),"",COUNTIF($J$2:$J$259,J161)-1)</f>
        <v/>
      </c>
      <c r="H161" s="31" t="n"/>
      <c r="I161" s="30" t="n"/>
      <c r="J161" s="22">
        <f>K161&amp;"|"&amp;D161&amp;"|"&amp;E161</f>
        <v/>
      </c>
      <c r="K161" s="22" t="inlineStr">
        <is>
          <t>beginnings,dreams,intuition,self-love</t>
        </is>
      </c>
      <c r="L161" s="22">
        <f>", "&amp;C161&amp;", "</f>
        <v/>
      </c>
    </row>
    <row r="162" ht="15" customHeight="1" s="18">
      <c r="A162" s="29" t="inlineStr">
        <is>
          <t>Moss agate</t>
        </is>
      </c>
      <c r="B162" s="29" t="inlineStr">
        <is>
          <t>Crystals</t>
        </is>
      </c>
      <c r="C162" s="30" t="inlineStr">
        <is>
          <t>growth, connection</t>
        </is>
      </c>
      <c r="D162" s="31" t="inlineStr">
        <is>
          <t>Mind</t>
        </is>
      </c>
      <c r="E162" s="31" t="inlineStr">
        <is>
          <t>Gentle</t>
        </is>
      </c>
      <c r="F162" s="30" t="inlineStr">
        <is>
          <t>For a slow friendship or a garden just planted. It takes its time.</t>
        </is>
      </c>
      <c r="G162" s="29">
        <f>IF(OR(D162="—",D162="",K162=""),"",COUNTIF($J$2:$J$259,J162)-1)</f>
        <v/>
      </c>
      <c r="H162" s="31" t="n"/>
      <c r="I162" s="30" t="n"/>
      <c r="J162" s="22">
        <f>K162&amp;"|"&amp;D162&amp;"|"&amp;E162</f>
        <v/>
      </c>
      <c r="K162" s="22" t="inlineStr">
        <is>
          <t>connection,growth</t>
        </is>
      </c>
      <c r="L162" s="22">
        <f>", "&amp;C162&amp;", "</f>
        <v/>
      </c>
    </row>
    <row r="163" ht="15" customHeight="1" s="18">
      <c r="A163" s="29" t="inlineStr">
        <is>
          <t>Obsidian</t>
        </is>
      </c>
      <c r="B163" s="29" t="inlineStr">
        <is>
          <t>Crystals</t>
        </is>
      </c>
      <c r="C163" s="30" t="inlineStr">
        <is>
          <t>protection, release, truth</t>
        </is>
      </c>
      <c r="D163" s="31" t="inlineStr">
        <is>
          <t>Mind</t>
        </is>
      </c>
      <c r="E163" s="31" t="inlineStr">
        <is>
          <t>Strong</t>
        </is>
      </c>
      <c r="F163" s="30" t="inlineStr">
        <is>
          <t>Black glass that shows things as they are.</t>
        </is>
      </c>
      <c r="G163" s="29">
        <f>IF(OR(D163="—",D163="",K163=""),"",COUNTIF($J$2:$J$259,J163)-1)</f>
        <v/>
      </c>
      <c r="H163" s="31" t="n"/>
      <c r="I163" s="30" t="n"/>
      <c r="J163" s="22">
        <f>K163&amp;"|"&amp;D163&amp;"|"&amp;E163</f>
        <v/>
      </c>
      <c r="K163" s="22" t="inlineStr">
        <is>
          <t>protection,release,truth</t>
        </is>
      </c>
      <c r="L163" s="22">
        <f>", "&amp;C163&amp;", "</f>
        <v/>
      </c>
    </row>
    <row r="164" ht="15" customHeight="1" s="18">
      <c r="A164" s="29" t="inlineStr">
        <is>
          <t>Pearl</t>
        </is>
      </c>
      <c r="B164" s="29" t="inlineStr">
        <is>
          <t>Crystals</t>
        </is>
      </c>
      <c r="C164" s="30" t="inlineStr">
        <is>
          <t>beauty, self-love, calm</t>
        </is>
      </c>
      <c r="D164" s="31" t="inlineStr">
        <is>
          <t>Body</t>
        </is>
      </c>
      <c r="E164" s="31" t="inlineStr">
        <is>
          <t>Gentle</t>
        </is>
      </c>
      <c r="F164" s="30" t="inlineStr">
        <is>
          <t>Lustrous and still. Loveliness that doesn't need to try.</t>
        </is>
      </c>
      <c r="G164" s="29">
        <f>IF(OR(D164="—",D164="",K164=""),"",COUNTIF($J$2:$J$259,J164)-1)</f>
        <v/>
      </c>
      <c r="H164" s="31" t="n"/>
      <c r="I164" s="30" t="n"/>
      <c r="J164" s="22">
        <f>K164&amp;"|"&amp;D164&amp;"|"&amp;E164</f>
        <v/>
      </c>
      <c r="K164" s="22" t="inlineStr">
        <is>
          <t>beauty,calm,self-love</t>
        </is>
      </c>
      <c r="L164" s="22">
        <f>", "&amp;C164&amp;", "</f>
        <v/>
      </c>
    </row>
    <row r="165" ht="15" customHeight="1" s="18">
      <c r="A165" s="29" t="inlineStr">
        <is>
          <t>Peridot</t>
        </is>
      </c>
      <c r="B165" s="29" t="inlineStr">
        <is>
          <t>Crystals</t>
        </is>
      </c>
      <c r="C165" s="30" t="inlineStr">
        <is>
          <t>growth, joy</t>
        </is>
      </c>
      <c r="D165" s="31" t="inlineStr">
        <is>
          <t>Mind</t>
        </is>
      </c>
      <c r="E165" s="31" t="inlineStr">
        <is>
          <t>Gentle</t>
        </is>
      </c>
      <c r="F165" s="30" t="inlineStr">
        <is>
          <t>For the first good week after a hard winter.</t>
        </is>
      </c>
      <c r="G165" s="29">
        <f>IF(OR(D165="—",D165="",K165=""),"",COUNTIF($J$2:$J$259,J165)-1)</f>
        <v/>
      </c>
      <c r="H165" s="31" t="n"/>
      <c r="I165" s="30" t="n"/>
      <c r="J165" s="22">
        <f>K165&amp;"|"&amp;D165&amp;"|"&amp;E165</f>
        <v/>
      </c>
      <c r="K165" s="22" t="inlineStr">
        <is>
          <t>growth,joy</t>
        </is>
      </c>
      <c r="L165" s="22">
        <f>", "&amp;C165&amp;", "</f>
        <v/>
      </c>
    </row>
    <row r="166" ht="15" customHeight="1" s="18">
      <c r="A166" s="29" t="inlineStr">
        <is>
          <t>Pyrite</t>
        </is>
      </c>
      <c r="B166" s="29" t="inlineStr">
        <is>
          <t>Crystals</t>
        </is>
      </c>
      <c r="C166" s="30" t="inlineStr">
        <is>
          <t>abundance, success, confidence</t>
        </is>
      </c>
      <c r="D166" s="31" t="inlineStr">
        <is>
          <t>Space</t>
        </is>
      </c>
      <c r="E166" s="31" t="inlineStr">
        <is>
          <t>Strong</t>
        </is>
      </c>
      <c r="F166" s="30" t="inlineStr">
        <is>
          <t>Fool's gold. Plenty, and the nerve to ask for more.</t>
        </is>
      </c>
      <c r="G166" s="29">
        <f>IF(OR(D166="—",D166="",K166=""),"",COUNTIF($J$2:$J$259,J166)-1)</f>
        <v/>
      </c>
      <c r="H166" s="31" t="n"/>
      <c r="I166" s="30" t="n"/>
      <c r="J166" s="22">
        <f>K166&amp;"|"&amp;D166&amp;"|"&amp;E166</f>
        <v/>
      </c>
      <c r="K166" s="22" t="inlineStr">
        <is>
          <t>abundance,confidence,success</t>
        </is>
      </c>
      <c r="L166" s="22">
        <f>", "&amp;C166&amp;", "</f>
        <v/>
      </c>
    </row>
    <row r="167" ht="15" customHeight="1" s="18">
      <c r="A167" s="29" t="inlineStr">
        <is>
          <t>Rhodonite</t>
        </is>
      </c>
      <c r="B167" s="29" t="inlineStr">
        <is>
          <t>Crystals</t>
        </is>
      </c>
      <c r="C167" s="30" t="inlineStr">
        <is>
          <t>healing, self-love, release</t>
        </is>
      </c>
      <c r="D167" s="31" t="inlineStr">
        <is>
          <t>Mind</t>
        </is>
      </c>
      <c r="E167" s="31" t="inlineStr">
        <is>
          <t>Strong</t>
        </is>
      </c>
      <c r="F167" s="30" t="inlineStr">
        <is>
          <t>Heals emotional wounds.</t>
        </is>
      </c>
      <c r="G167" s="29">
        <f>IF(OR(D167="—",D167="",K167=""),"",COUNTIF($J$2:$J$259,J167)-1)</f>
        <v/>
      </c>
      <c r="H167" s="31" t="n"/>
      <c r="I167" s="30" t="n"/>
      <c r="J167" s="22">
        <f>K167&amp;"|"&amp;D167&amp;"|"&amp;E167</f>
        <v/>
      </c>
      <c r="K167" s="22" t="inlineStr">
        <is>
          <t>healing,release,self-love</t>
        </is>
      </c>
      <c r="L167" s="22">
        <f>", "&amp;C167&amp;", "</f>
        <v/>
      </c>
    </row>
    <row r="168" ht="15" customHeight="1" s="18">
      <c r="A168" s="29" t="inlineStr">
        <is>
          <t>Rose quartz</t>
        </is>
      </c>
      <c r="B168" s="29" t="inlineStr">
        <is>
          <t>Crystals</t>
        </is>
      </c>
      <c r="C168" s="30" t="inlineStr">
        <is>
          <t>self-love, love, comfort</t>
        </is>
      </c>
      <c r="D168" s="31" t="inlineStr">
        <is>
          <t>Mind</t>
        </is>
      </c>
      <c r="E168" s="31" t="inlineStr">
        <is>
          <t>Gentle</t>
        </is>
      </c>
      <c r="F168" s="30" t="inlineStr">
        <is>
          <t>Hold it after a cruel word, whether someone else said it or you did.</t>
        </is>
      </c>
      <c r="G168" s="29">
        <f>IF(OR(D168="—",D168="",K168=""),"",COUNTIF($J$2:$J$259,J168)-1)</f>
        <v/>
      </c>
      <c r="H168" s="31" t="n"/>
      <c r="I168" s="30" t="n"/>
      <c r="J168" s="22">
        <f>K168&amp;"|"&amp;D168&amp;"|"&amp;E168</f>
        <v/>
      </c>
      <c r="K168" s="22" t="inlineStr">
        <is>
          <t>comfort,love,self-love</t>
        </is>
      </c>
      <c r="L168" s="22">
        <f>", "&amp;C168&amp;", "</f>
        <v/>
      </c>
    </row>
    <row r="169" ht="15" customHeight="1" s="18">
      <c r="A169" s="29" t="inlineStr">
        <is>
          <t>Selenite</t>
        </is>
      </c>
      <c r="B169" s="29" t="inlineStr">
        <is>
          <t>Crystals</t>
        </is>
      </c>
      <c r="C169" s="30" t="inlineStr">
        <is>
          <t>cleansing, calm, intuition</t>
        </is>
      </c>
      <c r="D169" s="31" t="inlineStr">
        <is>
          <t>Space</t>
        </is>
      </c>
      <c r="E169" s="31" t="inlineStr">
        <is>
          <t>Gentle</t>
        </is>
      </c>
      <c r="F169" s="30" t="inlineStr">
        <is>
          <t>Clears the energy of a room, softly.</t>
        </is>
      </c>
      <c r="G169" s="29">
        <f>IF(OR(D169="—",D169="",K169=""),"",COUNTIF($J$2:$J$259,J169)-1)</f>
        <v/>
      </c>
      <c r="H169" s="31" t="n"/>
      <c r="I169" s="30" t="n"/>
      <c r="J169" s="22">
        <f>K169&amp;"|"&amp;D169&amp;"|"&amp;E169</f>
        <v/>
      </c>
      <c r="K169" s="22" t="inlineStr">
        <is>
          <t>calm,cleansing,intuition</t>
        </is>
      </c>
      <c r="L169" s="22">
        <f>", "&amp;C169&amp;", "</f>
        <v/>
      </c>
    </row>
    <row r="170" ht="15" customHeight="1" s="18">
      <c r="A170" s="29" t="inlineStr">
        <is>
          <t>Smoky quartz</t>
        </is>
      </c>
      <c r="B170" s="29" t="inlineStr">
        <is>
          <t>Crystals</t>
        </is>
      </c>
      <c r="C170" s="30" t="inlineStr">
        <is>
          <t>grounding, release, protection</t>
        </is>
      </c>
      <c r="D170" s="31" t="inlineStr">
        <is>
          <t>Space</t>
        </is>
      </c>
      <c r="E170" s="31" t="inlineStr">
        <is>
          <t>Strong</t>
        </is>
      </c>
      <c r="F170" s="30" t="inlineStr">
        <is>
          <t>Grounds and protects. Takes heavy things away.</t>
        </is>
      </c>
      <c r="G170" s="29">
        <f>IF(OR(D170="—",D170="",K170=""),"",COUNTIF($J$2:$J$259,J170)-1)</f>
        <v/>
      </c>
      <c r="H170" s="31" t="n"/>
      <c r="I170" s="30" t="n"/>
      <c r="J170" s="22">
        <f>K170&amp;"|"&amp;D170&amp;"|"&amp;E170</f>
        <v/>
      </c>
      <c r="K170" s="22" t="inlineStr">
        <is>
          <t>grounding,protection,release</t>
        </is>
      </c>
      <c r="L170" s="22">
        <f>", "&amp;C170&amp;", "</f>
        <v/>
      </c>
    </row>
    <row r="171" ht="15" customHeight="1" s="18">
      <c r="A171" s="29" t="inlineStr">
        <is>
          <t>Sunstone</t>
        </is>
      </c>
      <c r="B171" s="29" t="inlineStr">
        <is>
          <t>Crystals</t>
        </is>
      </c>
      <c r="C171" s="30" t="inlineStr">
        <is>
          <t>joy, confidence, success</t>
        </is>
      </c>
      <c r="D171" s="31" t="inlineStr">
        <is>
          <t>Mind</t>
        </is>
      </c>
      <c r="E171" s="31" t="inlineStr">
        <is>
          <t>Strong</t>
        </is>
      </c>
      <c r="F171" s="30" t="inlineStr">
        <is>
          <t>An inner sun. Bold self-belief.</t>
        </is>
      </c>
      <c r="G171" s="29">
        <f>IF(OR(D171="—",D171="",K171=""),"",COUNTIF($J$2:$J$259,J171)-1)</f>
        <v/>
      </c>
      <c r="H171" s="31" t="n"/>
      <c r="I171" s="30" t="n"/>
      <c r="J171" s="22">
        <f>K171&amp;"|"&amp;D171&amp;"|"&amp;E171</f>
        <v/>
      </c>
      <c r="K171" s="22" t="inlineStr">
        <is>
          <t>confidence,joy,success</t>
        </is>
      </c>
      <c r="L171" s="22">
        <f>", "&amp;C171&amp;", "</f>
        <v/>
      </c>
    </row>
    <row r="172" ht="15" customHeight="1" s="18">
      <c r="A172" s="29" t="inlineStr">
        <is>
          <t>Tiger's eye</t>
        </is>
      </c>
      <c r="B172" s="29" t="inlineStr">
        <is>
          <t>Crystals</t>
        </is>
      </c>
      <c r="C172" s="30" t="inlineStr">
        <is>
          <t>courage, confidence, success</t>
        </is>
      </c>
      <c r="D172" s="31" t="inlineStr">
        <is>
          <t>Mind</t>
        </is>
      </c>
      <c r="E172" s="31" t="inlineStr">
        <is>
          <t>Strong</t>
        </is>
      </c>
      <c r="F172" s="30" t="inlineStr">
        <is>
          <t>A striped stone for walking into the room first.</t>
        </is>
      </c>
      <c r="G172" s="29">
        <f>IF(OR(D172="—",D172="",K172=""),"",COUNTIF($J$2:$J$259,J172)-1)</f>
        <v/>
      </c>
      <c r="H172" s="31" t="n"/>
      <c r="I172" s="30" t="n"/>
      <c r="J172" s="22">
        <f>K172&amp;"|"&amp;D172&amp;"|"&amp;E172</f>
        <v/>
      </c>
      <c r="K172" s="22" t="inlineStr">
        <is>
          <t>confidence,courage,success</t>
        </is>
      </c>
      <c r="L172" s="22">
        <f>", "&amp;C172&amp;", "</f>
        <v/>
      </c>
    </row>
    <row r="173" ht="15" customHeight="1" s="18">
      <c r="A173" s="29" t="inlineStr">
        <is>
          <t>River stone</t>
        </is>
      </c>
      <c r="B173" s="29" t="inlineStr">
        <is>
          <t>Crystals</t>
        </is>
      </c>
      <c r="C173" s="30" t="inlineStr">
        <is>
          <t>grounding, patience, calm</t>
        </is>
      </c>
      <c r="D173" s="31" t="inlineStr">
        <is>
          <t>Mind</t>
        </is>
      </c>
      <c r="E173" s="31" t="inlineStr">
        <is>
          <t>Gentle</t>
        </is>
      </c>
      <c r="F173" s="30" t="inlineStr">
        <is>
          <t>Pocketed by people who rush. It slows the step.</t>
        </is>
      </c>
      <c r="G173" s="29">
        <f>IF(OR(D173="—",D173="",K173=""),"",COUNTIF($J$2:$J$259,J173)-1)</f>
        <v/>
      </c>
      <c r="H173" s="31" t="n"/>
      <c r="I173" s="30" t="n"/>
      <c r="J173" s="22">
        <f>K173&amp;"|"&amp;D173&amp;"|"&amp;E173</f>
        <v/>
      </c>
      <c r="K173" s="22" t="inlineStr">
        <is>
          <t>calm,grounding,patience</t>
        </is>
      </c>
      <c r="L173" s="22">
        <f>", "&amp;C173&amp;", "</f>
        <v/>
      </c>
    </row>
    <row r="174" ht="15" customHeight="1" s="18">
      <c r="A174" s="29" t="inlineStr">
        <is>
          <t>Bee pollen</t>
        </is>
      </c>
      <c r="B174" s="29" t="inlineStr">
        <is>
          <t>Animal gifts</t>
        </is>
      </c>
      <c r="C174" s="30" t="inlineStr">
        <is>
          <t>friendship, joy</t>
        </is>
      </c>
      <c r="D174" s="31" t="inlineStr">
        <is>
          <t>Space</t>
        </is>
      </c>
      <c r="E174" s="31" t="inlineStr">
        <is>
          <t>Gentle</t>
        </is>
      </c>
      <c r="F174" s="30" t="inlineStr">
        <is>
          <t>The shared sweetness of the hive.</t>
        </is>
      </c>
      <c r="G174" s="29">
        <f>IF(OR(D174="—",D174="",K174=""),"",COUNTIF($J$2:$J$259,J174)-1)</f>
        <v/>
      </c>
      <c r="H174" s="31" t="n"/>
      <c r="I174" s="30" t="n"/>
      <c r="J174" s="22">
        <f>K174&amp;"|"&amp;D174&amp;"|"&amp;E174</f>
        <v/>
      </c>
      <c r="K174" s="22" t="inlineStr">
        <is>
          <t>friendship,joy</t>
        </is>
      </c>
      <c r="L174" s="22">
        <f>", "&amp;C174&amp;", "</f>
        <v/>
      </c>
    </row>
    <row r="175" ht="15" customHeight="1" s="18">
      <c r="A175" s="29" t="inlineStr">
        <is>
          <t>Dove feather</t>
        </is>
      </c>
      <c r="B175" s="29" t="inlineStr">
        <is>
          <t>Animal gifts</t>
        </is>
      </c>
      <c r="C175" s="30" t="inlineStr">
        <is>
          <t>love, calm, friendship</t>
        </is>
      </c>
      <c r="D175" s="31" t="inlineStr">
        <is>
          <t>Mind</t>
        </is>
      </c>
      <c r="E175" s="31" t="inlineStr">
        <is>
          <t>Gentle</t>
        </is>
      </c>
      <c r="F175" s="30" t="inlineStr">
        <is>
          <t>Tucked into a letter to make peace after a quarrel.</t>
        </is>
      </c>
      <c r="G175" s="29">
        <f>IF(OR(D175="—",D175="",K175=""),"",COUNTIF($J$2:$J$259,J175)-1)</f>
        <v/>
      </c>
      <c r="H175" s="31" t="n"/>
      <c r="I175" s="30" t="n"/>
      <c r="J175" s="22">
        <f>K175&amp;"|"&amp;D175&amp;"|"&amp;E175</f>
        <v/>
      </c>
      <c r="K175" s="22" t="inlineStr">
        <is>
          <t>calm,friendship,love</t>
        </is>
      </c>
      <c r="L175" s="22">
        <f>", "&amp;C175&amp;", "</f>
        <v/>
      </c>
    </row>
    <row r="176" ht="15" customHeight="1" s="18">
      <c r="A176" s="29" t="inlineStr">
        <is>
          <t>Hedgehog quill</t>
        </is>
      </c>
      <c r="B176" s="29" t="inlineStr">
        <is>
          <t>Animal gifts</t>
        </is>
      </c>
      <c r="C176" s="30" t="inlineStr">
        <is>
          <t>boundaries, protection</t>
        </is>
      </c>
      <c r="D176" s="31" t="inlineStr">
        <is>
          <t>Mind</t>
        </is>
      </c>
      <c r="E176" s="31" t="inlineStr">
        <is>
          <t>Strong</t>
        </is>
      </c>
      <c r="F176" s="30" t="inlineStr">
        <is>
          <t>Prickly. A line drawn for someone too soft-hearted.</t>
        </is>
      </c>
      <c r="G176" s="29">
        <f>IF(OR(D176="—",D176="",K176=""),"",COUNTIF($J$2:$J$259,J176)-1)</f>
        <v/>
      </c>
      <c r="H176" s="31" t="n"/>
      <c r="I176" s="30" t="n"/>
      <c r="J176" s="22">
        <f>K176&amp;"|"&amp;D176&amp;"|"&amp;E176</f>
        <v/>
      </c>
      <c r="K176" s="22" t="inlineStr">
        <is>
          <t>boundaries,protection</t>
        </is>
      </c>
      <c r="L176" s="22">
        <f>", "&amp;C176&amp;", "</f>
        <v/>
      </c>
    </row>
    <row r="177" ht="15" customHeight="1" s="18">
      <c r="A177" s="29" t="inlineStr">
        <is>
          <t>Honeycomb</t>
        </is>
      </c>
      <c r="B177" s="29" t="inlineStr">
        <is>
          <t>Animal gifts</t>
        </is>
      </c>
      <c r="C177" s="30" t="inlineStr">
        <is>
          <t>abundance, home, friendship</t>
        </is>
      </c>
      <c r="D177" s="31" t="inlineStr">
        <is>
          <t>Space</t>
        </is>
      </c>
      <c r="E177" s="31" t="inlineStr">
        <is>
          <t>Gentle</t>
        </is>
      </c>
      <c r="F177" s="30" t="inlineStr">
        <is>
          <t>Hive plenty for a busy, crowded kitchen.</t>
        </is>
      </c>
      <c r="G177" s="29">
        <f>IF(OR(D177="—",D177="",K177=""),"",COUNTIF($J$2:$J$259,J177)-1)</f>
        <v/>
      </c>
      <c r="H177" s="31" t="n"/>
      <c r="I177" s="30" t="n"/>
      <c r="J177" s="22">
        <f>K177&amp;"|"&amp;D177&amp;"|"&amp;E177</f>
        <v/>
      </c>
      <c r="K177" s="22" t="inlineStr">
        <is>
          <t>abundance,friendship,home</t>
        </is>
      </c>
      <c r="L177" s="22">
        <f>", "&amp;C177&amp;", "</f>
        <v/>
      </c>
    </row>
    <row r="178" ht="15" customHeight="1" s="18">
      <c r="A178" s="29" t="inlineStr">
        <is>
          <t>Magpie feather</t>
        </is>
      </c>
      <c r="B178" s="29" t="inlineStr">
        <is>
          <t>Animal gifts</t>
        </is>
      </c>
      <c r="C178" s="30" t="inlineStr">
        <is>
          <t>luck, opportunity, play</t>
        </is>
      </c>
      <c r="D178" s="31" t="inlineStr">
        <is>
          <t>Space</t>
        </is>
      </c>
      <c r="E178" s="31" t="inlineStr">
        <is>
          <t>Strong</t>
        </is>
      </c>
      <c r="F178" s="30" t="inlineStr">
        <is>
          <t>Snatches fortune and chances.</t>
        </is>
      </c>
      <c r="G178" s="29">
        <f>IF(OR(D178="—",D178="",K178=""),"",COUNTIF($J$2:$J$259,J178)-1)</f>
        <v/>
      </c>
      <c r="H178" s="31" t="n"/>
      <c r="I178" s="30" t="n"/>
      <c r="J178" s="22">
        <f>K178&amp;"|"&amp;D178&amp;"|"&amp;E178</f>
        <v/>
      </c>
      <c r="K178" s="22" t="inlineStr">
        <is>
          <t>luck,opportunity,play</t>
        </is>
      </c>
      <c r="L178" s="22">
        <f>", "&amp;C178&amp;", "</f>
        <v/>
      </c>
    </row>
    <row r="179" ht="15" customHeight="1" s="18">
      <c r="A179" s="29" t="inlineStr">
        <is>
          <t>Moth wing dust</t>
        </is>
      </c>
      <c r="B179" s="29" t="inlineStr">
        <is>
          <t>Animal gifts</t>
        </is>
      </c>
      <c r="C179" s="30" t="inlineStr">
        <is>
          <t>dreams, transformation, intuition</t>
        </is>
      </c>
      <c r="D179" s="31" t="inlineStr">
        <is>
          <t>Mind</t>
        </is>
      </c>
      <c r="E179" s="31" t="inlineStr">
        <is>
          <t>Strong</t>
        </is>
      </c>
      <c r="F179" s="30" t="inlineStr">
        <is>
          <t>Drawn to the moon. Uncanny nights and change.</t>
        </is>
      </c>
      <c r="G179" s="29">
        <f>IF(OR(D179="—",D179="",K179=""),"",COUNTIF($J$2:$J$259,J179)-1)</f>
        <v/>
      </c>
      <c r="H179" s="31" t="n"/>
      <c r="I179" s="30" t="n"/>
      <c r="J179" s="22">
        <f>K179&amp;"|"&amp;D179&amp;"|"&amp;E179</f>
        <v/>
      </c>
      <c r="K179" s="22" t="inlineStr">
        <is>
          <t>dreams,intuition,transformation</t>
        </is>
      </c>
      <c r="L179" s="22">
        <f>", "&amp;C179&amp;", "</f>
        <v/>
      </c>
    </row>
    <row r="180" ht="15" customHeight="1" s="18">
      <c r="A180" s="29" t="inlineStr">
        <is>
          <t>Owl feather</t>
        </is>
      </c>
      <c r="B180" s="29" t="inlineStr">
        <is>
          <t>Animal gifts</t>
        </is>
      </c>
      <c r="C180" s="30" t="inlineStr">
        <is>
          <t>intuition, dreams</t>
        </is>
      </c>
      <c r="D180" s="31" t="inlineStr">
        <is>
          <t>Mind</t>
        </is>
      </c>
      <c r="E180" s="31" t="inlineStr">
        <is>
          <t>Strong</t>
        </is>
      </c>
      <c r="F180" s="30" t="inlineStr">
        <is>
          <t>Wise night sight.</t>
        </is>
      </c>
      <c r="G180" s="29">
        <f>IF(OR(D180="—",D180="",K180=""),"",COUNTIF($J$2:$J$259,J180)-1)</f>
        <v/>
      </c>
      <c r="H180" s="31" t="n"/>
      <c r="I180" s="30" t="n"/>
      <c r="J180" s="22">
        <f>K180&amp;"|"&amp;D180&amp;"|"&amp;E180</f>
        <v/>
      </c>
      <c r="K180" s="22" t="inlineStr">
        <is>
          <t>dreams,intuition</t>
        </is>
      </c>
      <c r="L180" s="22">
        <f>", "&amp;C180&amp;", "</f>
        <v/>
      </c>
    </row>
    <row r="181" ht="15" customHeight="1" s="18">
      <c r="A181" s="29" t="inlineStr">
        <is>
          <t>Peacock feather</t>
        </is>
      </c>
      <c r="B181" s="29" t="inlineStr">
        <is>
          <t>Animal gifts</t>
        </is>
      </c>
      <c r="C181" s="30" t="inlineStr">
        <is>
          <t>beauty, confidence, protection</t>
        </is>
      </c>
      <c r="D181" s="31" t="inlineStr">
        <is>
          <t>Body</t>
        </is>
      </c>
      <c r="E181" s="31" t="inlineStr">
        <is>
          <t>Strong</t>
        </is>
      </c>
      <c r="F181" s="30" t="inlineStr">
        <is>
          <t>A dazzling display. Its eyes watch over you.</t>
        </is>
      </c>
      <c r="G181" s="29">
        <f>IF(OR(D181="—",D181="",K181=""),"",COUNTIF($J$2:$J$259,J181)-1)</f>
        <v/>
      </c>
      <c r="H181" s="31" t="n"/>
      <c r="I181" s="30" t="n"/>
      <c r="J181" s="22">
        <f>K181&amp;"|"&amp;D181&amp;"|"&amp;E181</f>
        <v/>
      </c>
      <c r="K181" s="22" t="inlineStr">
        <is>
          <t>beauty,confidence,protection</t>
        </is>
      </c>
      <c r="L181" s="22">
        <f>", "&amp;C181&amp;", "</f>
        <v/>
      </c>
    </row>
    <row r="182" ht="15" customHeight="1" s="18">
      <c r="A182" s="29" t="inlineStr">
        <is>
          <t>Raven feather</t>
        </is>
      </c>
      <c r="B182" s="29" t="inlineStr">
        <is>
          <t>Animal gifts</t>
        </is>
      </c>
      <c r="C182" s="30" t="inlineStr">
        <is>
          <t>intuition, transformation, protection</t>
        </is>
      </c>
      <c r="D182" s="31" t="inlineStr">
        <is>
          <t>Mind</t>
        </is>
      </c>
      <c r="E182" s="31" t="inlineStr">
        <is>
          <t>Strong</t>
        </is>
      </c>
      <c r="F182" s="30" t="inlineStr">
        <is>
          <t>Messenger of change and secrets.</t>
        </is>
      </c>
      <c r="G182" s="29">
        <f>IF(OR(D182="—",D182="",K182=""),"",COUNTIF($J$2:$J$259,J182)-1)</f>
        <v/>
      </c>
      <c r="H182" s="31" t="n"/>
      <c r="I182" s="30" t="n"/>
      <c r="J182" s="22">
        <f>K182&amp;"|"&amp;D182&amp;"|"&amp;E182</f>
        <v/>
      </c>
      <c r="K182" s="22" t="inlineStr">
        <is>
          <t>intuition,protection,transformation</t>
        </is>
      </c>
      <c r="L182" s="22">
        <f>", "&amp;C182&amp;", "</f>
        <v/>
      </c>
    </row>
    <row r="183" ht="15" customHeight="1" s="18">
      <c r="A183" s="29" t="inlineStr">
        <is>
          <t>Seashell</t>
        </is>
      </c>
      <c r="B183" s="29" t="inlineStr">
        <is>
          <t>Animal gifts</t>
        </is>
      </c>
      <c r="C183" s="30" t="inlineStr">
        <is>
          <t>calm, beauty, communication</t>
        </is>
      </c>
      <c r="D183" s="31" t="inlineStr">
        <is>
          <t>Mind</t>
        </is>
      </c>
      <c r="E183" s="31" t="inlineStr">
        <is>
          <t>Gentle</t>
        </is>
      </c>
      <c r="F183" s="30" t="inlineStr">
        <is>
          <t>Hold it to your ear before a hard conversation, and let the sea speak first.</t>
        </is>
      </c>
      <c r="G183" s="29">
        <f>IF(OR(D183="—",D183="",K183=""),"",COUNTIF($J$2:$J$259,J183)-1)</f>
        <v/>
      </c>
      <c r="H183" s="31" t="n"/>
      <c r="I183" s="30" t="n"/>
      <c r="J183" s="22">
        <f>K183&amp;"|"&amp;D183&amp;"|"&amp;E183</f>
        <v/>
      </c>
      <c r="K183" s="22" t="inlineStr">
        <is>
          <t>beauty,calm,communication</t>
        </is>
      </c>
      <c r="L183" s="22">
        <f>", "&amp;C183&amp;", "</f>
        <v/>
      </c>
    </row>
    <row r="184" ht="15" customHeight="1" s="18">
      <c r="A184" s="29" t="inlineStr">
        <is>
          <t>Shed cat whisker</t>
        </is>
      </c>
      <c r="B184" s="29" t="inlineStr">
        <is>
          <t>Animal gifts</t>
        </is>
      </c>
      <c r="C184" s="30" t="inlineStr">
        <is>
          <t>protection, intuition</t>
        </is>
      </c>
      <c r="D184" s="31" t="inlineStr">
        <is>
          <t>Space</t>
        </is>
      </c>
      <c r="E184" s="31" t="inlineStr">
        <is>
          <t>Gentle</t>
        </is>
      </c>
      <c r="F184" s="30" t="inlineStr">
        <is>
          <t>Senses what's near and protects quietly.</t>
        </is>
      </c>
      <c r="G184" s="29">
        <f>IF(OR(D184="—",D184="",K184=""),"",COUNTIF($J$2:$J$259,J184)-1)</f>
        <v/>
      </c>
      <c r="H184" s="31" t="n"/>
      <c r="I184" s="30" t="n"/>
      <c r="J184" s="22">
        <f>K184&amp;"|"&amp;D184&amp;"|"&amp;E184</f>
        <v/>
      </c>
      <c r="K184" s="22" t="inlineStr">
        <is>
          <t>intuition,protection</t>
        </is>
      </c>
      <c r="L184" s="22">
        <f>", "&amp;C184&amp;", "</f>
        <v/>
      </c>
    </row>
    <row r="185" ht="15" customHeight="1" s="18">
      <c r="A185" s="29" t="inlineStr">
        <is>
          <t>Shed snake skin</t>
        </is>
      </c>
      <c r="B185" s="29" t="inlineStr">
        <is>
          <t>Animal gifts</t>
        </is>
      </c>
      <c r="C185" s="30" t="inlineStr">
        <is>
          <t>transformation, release</t>
        </is>
      </c>
      <c r="D185" s="31" t="inlineStr">
        <is>
          <t>Body</t>
        </is>
      </c>
      <c r="E185" s="31" t="inlineStr">
        <is>
          <t>Strong</t>
        </is>
      </c>
      <c r="F185" s="30" t="inlineStr">
        <is>
          <t>Molting and renewal.</t>
        </is>
      </c>
      <c r="G185" s="29">
        <f>IF(OR(D185="—",D185="",K185=""),"",COUNTIF($J$2:$J$259,J185)-1)</f>
        <v/>
      </c>
      <c r="H185" s="31" t="n"/>
      <c r="I185" s="30" t="n"/>
      <c r="J185" s="22">
        <f>K185&amp;"|"&amp;D185&amp;"|"&amp;E185</f>
        <v/>
      </c>
      <c r="K185" s="22" t="inlineStr">
        <is>
          <t>release,transformation</t>
        </is>
      </c>
      <c r="L185" s="22">
        <f>", "&amp;C185&amp;", "</f>
        <v/>
      </c>
    </row>
    <row r="186" ht="15" customHeight="1" s="18">
      <c r="A186" s="29" t="inlineStr">
        <is>
          <t>Snail shell</t>
        </is>
      </c>
      <c r="B186" s="29" t="inlineStr">
        <is>
          <t>Animal gifts</t>
        </is>
      </c>
      <c r="C186" s="30" t="inlineStr">
        <is>
          <t>patience, protection, travel</t>
        </is>
      </c>
      <c r="D186" s="31" t="inlineStr">
        <is>
          <t>Space</t>
        </is>
      </c>
      <c r="E186" s="31" t="inlineStr">
        <is>
          <t>Gentle</t>
        </is>
      </c>
      <c r="F186" s="30" t="inlineStr">
        <is>
          <t>Slow, safe journeys.</t>
        </is>
      </c>
      <c r="G186" s="29">
        <f>IF(OR(D186="—",D186="",K186=""),"",COUNTIF($J$2:$J$259,J186)-1)</f>
        <v/>
      </c>
      <c r="H186" s="31" t="n"/>
      <c r="I186" s="30" t="n"/>
      <c r="J186" s="22">
        <f>K186&amp;"|"&amp;D186&amp;"|"&amp;E186</f>
        <v/>
      </c>
      <c r="K186" s="22" t="inlineStr">
        <is>
          <t>patience,protection,travel</t>
        </is>
      </c>
      <c r="L186" s="22">
        <f>", "&amp;C186&amp;", "</f>
        <v/>
      </c>
    </row>
    <row r="187" ht="15" customHeight="1" s="18">
      <c r="A187" s="29" t="inlineStr">
        <is>
          <t>Swan down</t>
        </is>
      </c>
      <c r="B187" s="29" t="inlineStr">
        <is>
          <t>Animal gifts</t>
        </is>
      </c>
      <c r="C187" s="30" t="inlineStr">
        <is>
          <t>beauty, love</t>
        </is>
      </c>
      <c r="D187" s="31" t="inlineStr">
        <is>
          <t>Body</t>
        </is>
      </c>
      <c r="E187" s="31" t="inlineStr">
        <is>
          <t>Gentle</t>
        </is>
      </c>
      <c r="F187" s="30" t="inlineStr">
        <is>
          <t>Soft grace, and two necks bent into a heart.</t>
        </is>
      </c>
      <c r="G187" s="29">
        <f>IF(OR(D187="—",D187="",K187=""),"",COUNTIF($J$2:$J$259,J187)-1)</f>
        <v/>
      </c>
      <c r="H187" s="31" t="n"/>
      <c r="I187" s="30" t="n"/>
      <c r="J187" s="22">
        <f>K187&amp;"|"&amp;D187&amp;"|"&amp;E187</f>
        <v/>
      </c>
      <c r="K187" s="22" t="inlineStr">
        <is>
          <t>beauty,love</t>
        </is>
      </c>
      <c r="L187" s="22">
        <f>", "&amp;C187&amp;", "</f>
        <v/>
      </c>
    </row>
    <row r="188" ht="15" customHeight="1" s="18">
      <c r="A188" s="29" t="inlineStr">
        <is>
          <t>White feather</t>
        </is>
      </c>
      <c r="B188" s="29" t="inlineStr">
        <is>
          <t>Animal gifts</t>
        </is>
      </c>
      <c r="C188" s="30" t="inlineStr">
        <is>
          <t>wonder, calm</t>
        </is>
      </c>
      <c r="D188" s="31" t="inlineStr">
        <is>
          <t>Mind</t>
        </is>
      </c>
      <c r="E188" s="31" t="inlineStr">
        <is>
          <t>Gentle</t>
        </is>
      </c>
      <c r="F188" s="30" t="inlineStr">
        <is>
          <t>Found on the path after a bad day, as if someone left it there for you.</t>
        </is>
      </c>
      <c r="G188" s="29">
        <f>IF(OR(D188="—",D188="",K188=""),"",COUNTIF($J$2:$J$259,J188)-1)</f>
        <v/>
      </c>
      <c r="H188" s="31" t="n"/>
      <c r="I188" s="30" t="n"/>
      <c r="J188" s="22">
        <f>K188&amp;"|"&amp;D188&amp;"|"&amp;E188</f>
        <v/>
      </c>
      <c r="K188" s="22" t="inlineStr">
        <is>
          <t>calm,wonder</t>
        </is>
      </c>
      <c r="L188" s="22">
        <f>", "&amp;C188&amp;", "</f>
        <v/>
      </c>
    </row>
    <row r="189" ht="15" customHeight="1" s="18">
      <c r="A189" s="29" t="inlineStr">
        <is>
          <t>Nest twig</t>
        </is>
      </c>
      <c r="B189" s="29" t="inlineStr">
        <is>
          <t>Animal gifts</t>
        </is>
      </c>
      <c r="C189" s="30" t="inlineStr">
        <is>
          <t>home, abundance, comfort</t>
        </is>
      </c>
      <c r="D189" s="31" t="inlineStr">
        <is>
          <t>Mind</t>
        </is>
      </c>
      <c r="E189" s="31" t="inlineStr">
        <is>
          <t>Gentle</t>
        </is>
      </c>
      <c r="F189" s="30" t="inlineStr">
        <is>
          <t>For the first night in a new room, when nowhere feels like yours yet.</t>
        </is>
      </c>
      <c r="G189" s="29">
        <f>IF(OR(D189="—",D189="",K189=""),"",COUNTIF($J$2:$J$259,J189)-1)</f>
        <v/>
      </c>
      <c r="H189" s="31" t="n"/>
      <c r="I189" s="30" t="n"/>
      <c r="J189" s="22">
        <f>K189&amp;"|"&amp;D189&amp;"|"&amp;E189</f>
        <v/>
      </c>
      <c r="K189" s="22" t="inlineStr">
        <is>
          <t>abundance,comfort,home</t>
        </is>
      </c>
      <c r="L189" s="22">
        <f>", "&amp;C189&amp;", "</f>
        <v/>
      </c>
    </row>
    <row r="190" ht="15" customHeight="1" s="18">
      <c r="A190" s="29" t="inlineStr">
        <is>
          <t>Brass button</t>
        </is>
      </c>
      <c r="B190" s="29" t="inlineStr">
        <is>
          <t>Buttons</t>
        </is>
      </c>
      <c r="C190" s="30" t="inlineStr">
        <is>
          <t>focus, success, protection</t>
        </is>
      </c>
      <c r="D190" s="31" t="inlineStr">
        <is>
          <t>Space</t>
        </is>
      </c>
      <c r="E190" s="31" t="inlineStr">
        <is>
          <t>Strong</t>
        </is>
      </c>
      <c r="F190" s="30" t="inlineStr">
        <is>
          <t>Polished duty. A uniform's button that stands guard.</t>
        </is>
      </c>
      <c r="G190" s="29">
        <f>IF(OR(D190="—",D190="",K190=""),"",COUNTIF($J$2:$J$259,J190)-1)</f>
        <v/>
      </c>
      <c r="H190" s="31" t="n"/>
      <c r="I190" s="30" t="n"/>
      <c r="J190" s="22">
        <f>K190&amp;"|"&amp;D190&amp;"|"&amp;E190</f>
        <v/>
      </c>
      <c r="K190" s="22" t="inlineStr">
        <is>
          <t>focus,protection,success</t>
        </is>
      </c>
      <c r="L190" s="22">
        <f>", "&amp;C190&amp;", "</f>
        <v/>
      </c>
    </row>
    <row r="191" ht="15" customHeight="1" s="18">
      <c r="A191" s="29" t="inlineStr">
        <is>
          <t>Bright buttons</t>
        </is>
      </c>
      <c r="B191" s="29" t="inlineStr">
        <is>
          <t>Buttons</t>
        </is>
      </c>
      <c r="C191" s="30" t="inlineStr">
        <is>
          <t>play, joy, creativity</t>
        </is>
      </c>
      <c r="D191" s="31" t="inlineStr">
        <is>
          <t>Mind</t>
        </is>
      </c>
      <c r="E191" s="31" t="inlineStr">
        <is>
          <t>Gentle</t>
        </is>
      </c>
      <c r="F191" s="30" t="inlineStr">
        <is>
          <t>Off a child's coat. Sewn on, they make grown-ups silly again.</t>
        </is>
      </c>
      <c r="G191" s="29">
        <f>IF(OR(D191="—",D191="",K191=""),"",COUNTIF($J$2:$J$259,J191)-1)</f>
        <v/>
      </c>
      <c r="H191" s="31" t="n"/>
      <c r="I191" s="30" t="n"/>
      <c r="J191" s="22">
        <f>K191&amp;"|"&amp;D191&amp;"|"&amp;E191</f>
        <v/>
      </c>
      <c r="K191" s="22" t="inlineStr">
        <is>
          <t>creativity,joy,play</t>
        </is>
      </c>
      <c r="L191" s="22">
        <f>", "&amp;C191&amp;", "</f>
        <v/>
      </c>
    </row>
    <row r="192" ht="15" customHeight="1" s="18">
      <c r="A192" s="29" t="inlineStr">
        <is>
          <t>Gold button</t>
        </is>
      </c>
      <c r="B192" s="29" t="inlineStr">
        <is>
          <t>Buttons</t>
        </is>
      </c>
      <c r="C192" s="30" t="inlineStr">
        <is>
          <t>success, abundance, opportunity</t>
        </is>
      </c>
      <c r="D192" s="31" t="inlineStr">
        <is>
          <t>Space</t>
        </is>
      </c>
      <c r="E192" s="31" t="inlineStr">
        <is>
          <t>Gentle</t>
        </is>
      </c>
      <c r="F192" s="30" t="inlineStr">
        <is>
          <t>A small fortune.</t>
        </is>
      </c>
      <c r="G192" s="29">
        <f>IF(OR(D192="—",D192="",K192=""),"",COUNTIF($J$2:$J$259,J192)-1)</f>
        <v/>
      </c>
      <c r="H192" s="31" t="n"/>
      <c r="I192" s="30" t="n"/>
      <c r="J192" s="22">
        <f>K192&amp;"|"&amp;D192&amp;"|"&amp;E192</f>
        <v/>
      </c>
      <c r="K192" s="22" t="inlineStr">
        <is>
          <t>abundance,opportunity,success</t>
        </is>
      </c>
      <c r="L192" s="22">
        <f>", "&amp;C192&amp;", "</f>
        <v/>
      </c>
    </row>
    <row r="193" ht="15" customHeight="1" s="18">
      <c r="A193" s="29" t="inlineStr">
        <is>
          <t>Heart-shaped button</t>
        </is>
      </c>
      <c r="B193" s="29" t="inlineStr">
        <is>
          <t>Buttons</t>
        </is>
      </c>
      <c r="C193" s="30" t="inlineStr">
        <is>
          <t>love, self-love</t>
        </is>
      </c>
      <c r="D193" s="31" t="inlineStr">
        <is>
          <t>Mind</t>
        </is>
      </c>
      <c r="E193" s="31" t="inlineStr">
        <is>
          <t>Gentle</t>
        </is>
      </c>
      <c r="F193" s="30" t="inlineStr">
        <is>
          <t>Sewn inside a sleeve, over the pulse, where only the wearer knows.</t>
        </is>
      </c>
      <c r="G193" s="29">
        <f>IF(OR(D193="—",D193="",K193=""),"",COUNTIF($J$2:$J$259,J193)-1)</f>
        <v/>
      </c>
      <c r="H193" s="31" t="n"/>
      <c r="I193" s="30" t="n"/>
      <c r="J193" s="22">
        <f>K193&amp;"|"&amp;D193&amp;"|"&amp;E193</f>
        <v/>
      </c>
      <c r="K193" s="22" t="inlineStr">
        <is>
          <t>love,self-love</t>
        </is>
      </c>
      <c r="L193" s="22">
        <f>", "&amp;C193&amp;", "</f>
        <v/>
      </c>
    </row>
    <row r="194" ht="15" customHeight="1" s="18">
      <c r="A194" s="29" t="inlineStr">
        <is>
          <t>Mismatched button</t>
        </is>
      </c>
      <c r="B194" s="29" t="inlineStr">
        <is>
          <t>Buttons</t>
        </is>
      </c>
      <c r="C194" s="30" t="inlineStr">
        <is>
          <t>creativity, self-love</t>
        </is>
      </c>
      <c r="D194" s="31" t="inlineStr">
        <is>
          <t>Mind</t>
        </is>
      </c>
      <c r="E194" s="31" t="inlineStr">
        <is>
          <t>Gentle</t>
        </is>
      </c>
      <c r="F194" s="30" t="inlineStr">
        <is>
          <t>For the one who never quite matches, and is better for it.</t>
        </is>
      </c>
      <c r="G194" s="29">
        <f>IF(OR(D194="—",D194="",K194=""),"",COUNTIF($J$2:$J$259,J194)-1)</f>
        <v/>
      </c>
      <c r="H194" s="31" t="n"/>
      <c r="I194" s="30" t="n"/>
      <c r="J194" s="22">
        <f>K194&amp;"|"&amp;D194&amp;"|"&amp;E194</f>
        <v/>
      </c>
      <c r="K194" s="22" t="inlineStr">
        <is>
          <t>creativity,self-love</t>
        </is>
      </c>
      <c r="L194" s="22">
        <f>", "&amp;C194&amp;", "</f>
        <v/>
      </c>
    </row>
    <row r="195" ht="15" customHeight="1" s="18">
      <c r="A195" s="29" t="inlineStr">
        <is>
          <t>Pearl buttons</t>
        </is>
      </c>
      <c r="B195" s="29" t="inlineStr">
        <is>
          <t>Buttons</t>
        </is>
      </c>
      <c r="C195" s="30" t="inlineStr">
        <is>
          <t>friendship</t>
        </is>
      </c>
      <c r="D195" s="31" t="inlineStr">
        <is>
          <t>Mind</t>
        </is>
      </c>
      <c r="E195" s="31" t="inlineStr">
        <is>
          <t>Gentle</t>
        </is>
      </c>
      <c r="F195" s="30" t="inlineStr">
        <is>
          <t>Off an old friend's cardigan. Keeps two people fond across the years.</t>
        </is>
      </c>
      <c r="G195" s="29">
        <f>IF(OR(D195="—",D195="",K195=""),"",COUNTIF($J$2:$J$259,J195)-1)</f>
        <v/>
      </c>
      <c r="H195" s="31" t="n"/>
      <c r="I195" s="30" t="n"/>
      <c r="J195" s="22">
        <f>K195&amp;"|"&amp;D195&amp;"|"&amp;E195</f>
        <v/>
      </c>
      <c r="K195" s="22" t="inlineStr">
        <is>
          <t>friendship</t>
        </is>
      </c>
      <c r="L195" s="22">
        <f>", "&amp;C195&amp;", "</f>
        <v/>
      </c>
    </row>
    <row r="196" ht="15" customHeight="1" s="18">
      <c r="A196" s="29" t="inlineStr">
        <is>
          <t>Square button</t>
        </is>
      </c>
      <c r="B196" s="29" t="inlineStr">
        <is>
          <t>Buttons</t>
        </is>
      </c>
      <c r="C196" s="30" t="inlineStr">
        <is>
          <t>play, luck</t>
        </is>
      </c>
      <c r="D196" s="31" t="inlineStr">
        <is>
          <t>Mind</t>
        </is>
      </c>
      <c r="E196" s="31" t="inlineStr">
        <is>
          <t>Gentle</t>
        </is>
      </c>
      <c r="F196" s="30" t="inlineStr">
        <is>
          <t>Lost from a board game and found again. Good for games of chance.</t>
        </is>
      </c>
      <c r="G196" s="29">
        <f>IF(OR(D196="—",D196="",K196=""),"",COUNTIF($J$2:$J$259,J196)-1)</f>
        <v/>
      </c>
      <c r="H196" s="31" t="n"/>
      <c r="I196" s="30" t="n"/>
      <c r="J196" s="22">
        <f>K196&amp;"|"&amp;D196&amp;"|"&amp;E196</f>
        <v/>
      </c>
      <c r="K196" s="22" t="inlineStr">
        <is>
          <t>luck,play</t>
        </is>
      </c>
      <c r="L196" s="22">
        <f>", "&amp;C196&amp;", "</f>
        <v/>
      </c>
    </row>
    <row r="197" ht="15" customHeight="1" s="18">
      <c r="A197" s="29" t="inlineStr">
        <is>
          <t>Star-shaped button</t>
        </is>
      </c>
      <c r="B197" s="29" t="inlineStr">
        <is>
          <t>Buttons</t>
        </is>
      </c>
      <c r="C197" s="30" t="inlineStr">
        <is>
          <t>wonder, luck, joy</t>
        </is>
      </c>
      <c r="D197" s="31" t="inlineStr">
        <is>
          <t>Mind</t>
        </is>
      </c>
      <c r="E197" s="31" t="inlineStr">
        <is>
          <t>Gentle</t>
        </is>
      </c>
      <c r="F197" s="30" t="inlineStr">
        <is>
          <t>Every child's first wish was made on one of these.</t>
        </is>
      </c>
      <c r="G197" s="29">
        <f>IF(OR(D197="—",D197="",K197=""),"",COUNTIF($J$2:$J$259,J197)-1)</f>
        <v/>
      </c>
      <c r="H197" s="31" t="n"/>
      <c r="I197" s="30" t="n"/>
      <c r="J197" s="22">
        <f>K197&amp;"|"&amp;D197&amp;"|"&amp;E197</f>
        <v/>
      </c>
      <c r="K197" s="22" t="inlineStr">
        <is>
          <t>joy,luck,wonder</t>
        </is>
      </c>
      <c r="L197" s="22">
        <f>", "&amp;C197&amp;", "</f>
        <v/>
      </c>
    </row>
    <row r="198" ht="15" customHeight="1" s="18">
      <c r="A198" s="29" t="inlineStr">
        <is>
          <t>Vintage button</t>
        </is>
      </c>
      <c r="B198" s="29" t="inlineStr">
        <is>
          <t>Buttons</t>
        </is>
      </c>
      <c r="C198" s="30" t="inlineStr">
        <is>
          <t>beauty, creativity</t>
        </is>
      </c>
      <c r="D198" s="31" t="inlineStr">
        <is>
          <t>Mind</t>
        </is>
      </c>
      <c r="E198" s="31" t="inlineStr">
        <is>
          <t>Gentle</t>
        </is>
      </c>
      <c r="F198" s="30" t="inlineStr">
        <is>
          <t>From a grandmother's tin. Makes an old dress feel new.</t>
        </is>
      </c>
      <c r="G198" s="29">
        <f>IF(OR(D198="—",D198="",K198=""),"",COUNTIF($J$2:$J$259,J198)-1)</f>
        <v/>
      </c>
      <c r="H198" s="31" t="n"/>
      <c r="I198" s="30" t="n"/>
      <c r="J198" s="22">
        <f>K198&amp;"|"&amp;D198&amp;"|"&amp;E198</f>
        <v/>
      </c>
      <c r="K198" s="22" t="inlineStr">
        <is>
          <t>beauty,creativity</t>
        </is>
      </c>
      <c r="L198" s="22">
        <f>", "&amp;C198&amp;", "</f>
        <v/>
      </c>
    </row>
    <row r="199" ht="23.25" customHeight="1" s="18">
      <c r="A199" s="29" t="inlineStr">
        <is>
          <t>Black thread</t>
        </is>
      </c>
      <c r="B199" s="29" t="inlineStr">
        <is>
          <t>Threads &amp; ribbons</t>
        </is>
      </c>
      <c r="C199" s="30" t="inlineStr">
        <is>
          <t>banishing, protection, endings</t>
        </is>
      </c>
      <c r="D199" s="31" t="inlineStr">
        <is>
          <t>Space</t>
        </is>
      </c>
      <c r="E199" s="31" t="inlineStr">
        <is>
          <t>Strong</t>
        </is>
      </c>
      <c r="F199" s="30" t="inlineStr">
        <is>
          <t>Wound tight round what must not come back.</t>
        </is>
      </c>
      <c r="G199" s="29">
        <f>IF(OR(D199="—",D199="",K199=""),"",COUNTIF($J$2:$J$259,J199)-1)</f>
        <v/>
      </c>
      <c r="H199" s="31" t="n"/>
      <c r="I199" s="30" t="inlineStr">
        <is>
          <t>Same meaning as Black ink. The spell type decides which medium.</t>
        </is>
      </c>
      <c r="J199" s="22">
        <f>K199&amp;"|"&amp;D199&amp;"|"&amp;E199</f>
        <v/>
      </c>
      <c r="K199" s="22" t="inlineStr">
        <is>
          <t>banishing,endings,protection</t>
        </is>
      </c>
      <c r="L199" s="22">
        <f>", "&amp;C199&amp;", "</f>
        <v/>
      </c>
    </row>
    <row r="200" ht="15" customHeight="1" s="18">
      <c r="A200" s="29" t="inlineStr">
        <is>
          <t>Blue thread</t>
        </is>
      </c>
      <c r="B200" s="29" t="inlineStr">
        <is>
          <t>Threads &amp; ribbons</t>
        </is>
      </c>
      <c r="C200" s="30" t="inlineStr">
        <is>
          <t>calm, truth, memory</t>
        </is>
      </c>
      <c r="D200" s="31" t="inlineStr">
        <is>
          <t>Mind</t>
        </is>
      </c>
      <c r="E200" s="31" t="inlineStr">
        <is>
          <t>Gentle</t>
        </is>
      </c>
      <c r="F200" s="30" t="inlineStr">
        <is>
          <t>Stitched into a diary's spine so it stays honest.</t>
        </is>
      </c>
      <c r="G200" s="29">
        <f>IF(OR(D200="—",D200="",K200=""),"",COUNTIF($J$2:$J$259,J200)-1)</f>
        <v/>
      </c>
      <c r="H200" s="31" t="n"/>
      <c r="I200" s="30" t="n"/>
      <c r="J200" s="22">
        <f>K200&amp;"|"&amp;D200&amp;"|"&amp;E200</f>
        <v/>
      </c>
      <c r="K200" s="22" t="inlineStr">
        <is>
          <t>calm,memory,truth</t>
        </is>
      </c>
      <c r="L200" s="22">
        <f>", "&amp;C200&amp;", "</f>
        <v/>
      </c>
    </row>
    <row r="201" ht="23.25" customHeight="1" s="18">
      <c r="A201" s="29" t="inlineStr">
        <is>
          <t>Gold thread</t>
        </is>
      </c>
      <c r="B201" s="29" t="inlineStr">
        <is>
          <t>Threads &amp; ribbons</t>
        </is>
      </c>
      <c r="C201" s="30" t="inlineStr">
        <is>
          <t>success, abundance, confidence, luck</t>
        </is>
      </c>
      <c r="D201" s="31" t="inlineStr">
        <is>
          <t>Space</t>
        </is>
      </c>
      <c r="E201" s="31" t="inlineStr">
        <is>
          <t>Strong</t>
        </is>
      </c>
      <c r="F201" s="30" t="inlineStr">
        <is>
          <t>Success, stitched in.</t>
        </is>
      </c>
      <c r="G201" s="29">
        <f>IF(OR(D201="—",D201="",K201=""),"",COUNTIF($J$2:$J$259,J201)-1)</f>
        <v/>
      </c>
      <c r="H201" s="31" t="n"/>
      <c r="I201" s="30" t="inlineStr">
        <is>
          <t>Same meaning as Gold ink, Gold paint. The spell type decides which medium.</t>
        </is>
      </c>
      <c r="J201" s="22">
        <f>K201&amp;"|"&amp;D201&amp;"|"&amp;E201</f>
        <v/>
      </c>
      <c r="K201" s="22" t="inlineStr">
        <is>
          <t>abundance,confidence,luck,success</t>
        </is>
      </c>
      <c r="L201" s="22">
        <f>", "&amp;C201&amp;", "</f>
        <v/>
      </c>
    </row>
    <row r="202" ht="15" customHeight="1" s="18">
      <c r="A202" s="29" t="inlineStr">
        <is>
          <t>Green thread</t>
        </is>
      </c>
      <c r="B202" s="29" t="inlineStr">
        <is>
          <t>Threads &amp; ribbons</t>
        </is>
      </c>
      <c r="C202" s="30" t="inlineStr">
        <is>
          <t>luck, abundance, growth</t>
        </is>
      </c>
      <c r="D202" s="31" t="inlineStr">
        <is>
          <t>Space</t>
        </is>
      </c>
      <c r="E202" s="31" t="inlineStr">
        <is>
          <t>Gentle</t>
        </is>
      </c>
      <c r="F202" s="30" t="inlineStr">
        <is>
          <t>Tied round a seed packet or a purse. Things come up.</t>
        </is>
      </c>
      <c r="G202" s="29">
        <f>IF(OR(D202="—",D202="",K202=""),"",COUNTIF($J$2:$J$259,J202)-1)</f>
        <v/>
      </c>
      <c r="H202" s="31" t="n"/>
      <c r="I202" s="30" t="n"/>
      <c r="J202" s="22">
        <f>K202&amp;"|"&amp;D202&amp;"|"&amp;E202</f>
        <v/>
      </c>
      <c r="K202" s="22" t="inlineStr">
        <is>
          <t>abundance,growth,luck</t>
        </is>
      </c>
      <c r="L202" s="22">
        <f>", "&amp;C202&amp;", "</f>
        <v/>
      </c>
    </row>
    <row r="203" ht="15" customHeight="1" s="18">
      <c r="A203" s="29" t="inlineStr">
        <is>
          <t>Grey thread</t>
        </is>
      </c>
      <c r="B203" s="29" t="inlineStr">
        <is>
          <t>Threads &amp; ribbons</t>
        </is>
      </c>
      <c r="C203" s="30" t="inlineStr">
        <is>
          <t>balance, release, endings</t>
        </is>
      </c>
      <c r="D203" s="31" t="inlineStr">
        <is>
          <t>Mind</t>
        </is>
      </c>
      <c r="E203" s="31" t="inlineStr">
        <is>
          <t>Gentle</t>
        </is>
      </c>
      <c r="F203" s="30" t="inlineStr">
        <is>
          <t>For closing a chapter without slamming the book.</t>
        </is>
      </c>
      <c r="G203" s="29">
        <f>IF(OR(D203="—",D203="",K203=""),"",COUNTIF($J$2:$J$259,J203)-1)</f>
        <v/>
      </c>
      <c r="H203" s="31" t="n"/>
      <c r="I203" s="30" t="n"/>
      <c r="J203" s="22">
        <f>K203&amp;"|"&amp;D203&amp;"|"&amp;E203</f>
        <v/>
      </c>
      <c r="K203" s="22" t="inlineStr">
        <is>
          <t>balance,endings,release</t>
        </is>
      </c>
      <c r="L203" s="22">
        <f>", "&amp;C203&amp;", "</f>
        <v/>
      </c>
    </row>
    <row r="204" ht="15" customHeight="1" s="18">
      <c r="A204" s="29" t="inlineStr">
        <is>
          <t>Orange thread</t>
        </is>
      </c>
      <c r="B204" s="29" t="inlineStr">
        <is>
          <t>Threads &amp; ribbons</t>
        </is>
      </c>
      <c r="C204" s="30" t="inlineStr">
        <is>
          <t>creativity, energy, joy</t>
        </is>
      </c>
      <c r="D204" s="31" t="inlineStr">
        <is>
          <t>Mind</t>
        </is>
      </c>
      <c r="E204" s="31" t="inlineStr">
        <is>
          <t>Strong</t>
        </is>
      </c>
      <c r="F204" s="30" t="inlineStr">
        <is>
          <t>A bright creative spark, stitched in.</t>
        </is>
      </c>
      <c r="G204" s="29">
        <f>IF(OR(D204="—",D204="",K204=""),"",COUNTIF($J$2:$J$259,J204)-1)</f>
        <v/>
      </c>
      <c r="H204" s="31" t="n"/>
      <c r="I204" s="30" t="n"/>
      <c r="J204" s="22">
        <f>K204&amp;"|"&amp;D204&amp;"|"&amp;E204</f>
        <v/>
      </c>
      <c r="K204" s="22" t="inlineStr">
        <is>
          <t>creativity,energy,joy</t>
        </is>
      </c>
      <c r="L204" s="22">
        <f>", "&amp;C204&amp;", "</f>
        <v/>
      </c>
    </row>
    <row r="205" ht="15" customHeight="1" s="18">
      <c r="A205" s="29" t="inlineStr">
        <is>
          <t>Pink thread</t>
        </is>
      </c>
      <c r="B205" s="29" t="inlineStr">
        <is>
          <t>Threads &amp; ribbons</t>
        </is>
      </c>
      <c r="C205" s="30" t="inlineStr">
        <is>
          <t>self-love, love, friendship</t>
        </is>
      </c>
      <c r="D205" s="31" t="inlineStr">
        <is>
          <t>Mind</t>
        </is>
      </c>
      <c r="E205" s="31" t="inlineStr">
        <is>
          <t>Gentle</t>
        </is>
      </c>
      <c r="F205" s="30" t="inlineStr">
        <is>
          <t>For bracelets swapped between friends, and kind notes to yourself.</t>
        </is>
      </c>
      <c r="G205" s="29">
        <f>IF(OR(D205="—",D205="",K205=""),"",COUNTIF($J$2:$J$259,J205)-1)</f>
        <v/>
      </c>
      <c r="H205" s="31" t="n"/>
      <c r="I205" s="30" t="n"/>
      <c r="J205" s="22">
        <f>K205&amp;"|"&amp;D205&amp;"|"&amp;E205</f>
        <v/>
      </c>
      <c r="K205" s="22" t="inlineStr">
        <is>
          <t>friendship,love,self-love</t>
        </is>
      </c>
      <c r="L205" s="22">
        <f>", "&amp;C205&amp;", "</f>
        <v/>
      </c>
    </row>
    <row r="206" ht="23.25" customHeight="1" s="18">
      <c r="A206" s="29" t="inlineStr">
        <is>
          <t>Purple thread</t>
        </is>
      </c>
      <c r="B206" s="29" t="inlineStr">
        <is>
          <t>Threads &amp; ribbons</t>
        </is>
      </c>
      <c r="C206" s="30" t="inlineStr">
        <is>
          <t>intuition, transformation, wonder</t>
        </is>
      </c>
      <c r="D206" s="31" t="inlineStr">
        <is>
          <t>Mind</t>
        </is>
      </c>
      <c r="E206" s="31" t="inlineStr">
        <is>
          <t>Strong</t>
        </is>
      </c>
      <c r="F206" s="30" t="inlineStr">
        <is>
          <t>Braided into a witch's ladder for a life about to change.</t>
        </is>
      </c>
      <c r="G206" s="29">
        <f>IF(OR(D206="—",D206="",K206=""),"",COUNTIF($J$2:$J$259,J206)-1)</f>
        <v/>
      </c>
      <c r="H206" s="31" t="n"/>
      <c r="I206" s="30" t="inlineStr">
        <is>
          <t>Same meaning as Violet ink. The spell type decides which medium.</t>
        </is>
      </c>
      <c r="J206" s="22">
        <f>K206&amp;"|"&amp;D206&amp;"|"&amp;E206</f>
        <v/>
      </c>
      <c r="K206" s="22" t="inlineStr">
        <is>
          <t>intuition,transformation,wonder</t>
        </is>
      </c>
      <c r="L206" s="22">
        <f>", "&amp;C206&amp;", "</f>
        <v/>
      </c>
    </row>
    <row r="207" ht="15" customHeight="1" s="18">
      <c r="A207" s="29" t="inlineStr">
        <is>
          <t>Rainbow threads</t>
        </is>
      </c>
      <c r="B207" s="29" t="inlineStr">
        <is>
          <t>Threads &amp; ribbons</t>
        </is>
      </c>
      <c r="C207" s="30" t="inlineStr">
        <is>
          <t>play, creativity, friendship</t>
        </is>
      </c>
      <c r="D207" s="31" t="inlineStr">
        <is>
          <t>Space</t>
        </is>
      </c>
      <c r="E207" s="31" t="inlineStr">
        <is>
          <t>Gentle</t>
        </is>
      </c>
      <c r="F207" s="30" t="inlineStr">
        <is>
          <t>Bracelet threads swapped at summer camp.</t>
        </is>
      </c>
      <c r="G207" s="29">
        <f>IF(OR(D207="—",D207="",K207=""),"",COUNTIF($J$2:$J$259,J207)-1)</f>
        <v/>
      </c>
      <c r="H207" s="31" t="n"/>
      <c r="I207" s="30" t="n"/>
      <c r="J207" s="22">
        <f>K207&amp;"|"&amp;D207&amp;"|"&amp;E207</f>
        <v/>
      </c>
      <c r="K207" s="22" t="inlineStr">
        <is>
          <t>creativity,friendship,play</t>
        </is>
      </c>
      <c r="L207" s="22">
        <f>", "&amp;C207&amp;", "</f>
        <v/>
      </c>
    </row>
    <row r="208" ht="23.25" customHeight="1" s="18">
      <c r="A208" s="29" t="inlineStr">
        <is>
          <t>Red thread</t>
        </is>
      </c>
      <c r="B208" s="29" t="inlineStr">
        <is>
          <t>Threads &amp; ribbons</t>
        </is>
      </c>
      <c r="C208" s="30" t="inlineStr">
        <is>
          <t>passion, courage, energy, love</t>
        </is>
      </c>
      <c r="D208" s="31" t="inlineStr">
        <is>
          <t>Body</t>
        </is>
      </c>
      <c r="E208" s="31" t="inlineStr">
        <is>
          <t>Strong</t>
        </is>
      </c>
      <c r="F208" s="30" t="inlineStr">
        <is>
          <t>Tied round the wrist before a dare.</t>
        </is>
      </c>
      <c r="G208" s="29">
        <f>IF(OR(D208="—",D208="",K208=""),"",COUNTIF($J$2:$J$259,J208)-1)</f>
        <v/>
      </c>
      <c r="H208" s="31" t="n"/>
      <c r="I208" s="30" t="inlineStr">
        <is>
          <t>Same meaning as Red ink, Red paint. The spell type decides which medium.</t>
        </is>
      </c>
      <c r="J208" s="22">
        <f>K208&amp;"|"&amp;D208&amp;"|"&amp;E208</f>
        <v/>
      </c>
      <c r="K208" s="22" t="inlineStr">
        <is>
          <t>courage,energy,love,passion</t>
        </is>
      </c>
      <c r="L208" s="22">
        <f>", "&amp;C208&amp;", "</f>
        <v/>
      </c>
    </row>
    <row r="209" ht="23.25" customHeight="1" s="18">
      <c r="A209" s="29" t="inlineStr">
        <is>
          <t>Silver thread</t>
        </is>
      </c>
      <c r="B209" s="29" t="inlineStr">
        <is>
          <t>Threads &amp; ribbons</t>
        </is>
      </c>
      <c r="C209" s="30" t="inlineStr">
        <is>
          <t>intuition, dreams, connection, calm</t>
        </is>
      </c>
      <c r="D209" s="31" t="inlineStr">
        <is>
          <t>Mind</t>
        </is>
      </c>
      <c r="E209" s="31" t="inlineStr">
        <is>
          <t>Gentle</t>
        </is>
      </c>
      <c r="F209" s="30" t="inlineStr">
        <is>
          <t>Stitch a dream into a pillowcase so it comes back.</t>
        </is>
      </c>
      <c r="G209" s="29">
        <f>IF(OR(D209="—",D209="",K209=""),"",COUNTIF($J$2:$J$259,J209)-1)</f>
        <v/>
      </c>
      <c r="H209" s="31" t="n"/>
      <c r="I209" s="30" t="inlineStr">
        <is>
          <t>Same meaning as Silver ink. The spell type decides which medium.</t>
        </is>
      </c>
      <c r="J209" s="22">
        <f>K209&amp;"|"&amp;D209&amp;"|"&amp;E209</f>
        <v/>
      </c>
      <c r="K209" s="22" t="inlineStr">
        <is>
          <t>calm,connection,dreams,intuition</t>
        </is>
      </c>
      <c r="L209" s="22">
        <f>", "&amp;C209&amp;", "</f>
        <v/>
      </c>
    </row>
    <row r="210" ht="23.25" customHeight="1" s="18">
      <c r="A210" s="29" t="inlineStr">
        <is>
          <t>White thread</t>
        </is>
      </c>
      <c r="B210" s="29" t="inlineStr">
        <is>
          <t>Threads &amp; ribbons</t>
        </is>
      </c>
      <c r="C210" s="30" t="inlineStr">
        <is>
          <t>cleansing, protection, calm, beginnings</t>
        </is>
      </c>
      <c r="D210" s="31" t="inlineStr">
        <is>
          <t>Space</t>
        </is>
      </c>
      <c r="E210" s="31" t="inlineStr">
        <is>
          <t>Gentle</t>
        </is>
      </c>
      <c r="F210" s="30" t="inlineStr">
        <is>
          <t>Clean and plain. Tied round a newborn's cot.</t>
        </is>
      </c>
      <c r="G210" s="29">
        <f>IF(OR(D210="—",D210="",K210=""),"",COUNTIF($J$2:$J$259,J210)-1)</f>
        <v/>
      </c>
      <c r="H210" s="31" t="n"/>
      <c r="I210" s="30" t="n"/>
      <c r="J210" s="22">
        <f>K210&amp;"|"&amp;D210&amp;"|"&amp;E210</f>
        <v/>
      </c>
      <c r="K210" s="22" t="inlineStr">
        <is>
          <t>beginnings,calm,cleansing,protection</t>
        </is>
      </c>
      <c r="L210" s="22">
        <f>", "&amp;C210&amp;", "</f>
        <v/>
      </c>
    </row>
    <row r="211" ht="15" customHeight="1" s="18">
      <c r="A211" s="29" t="inlineStr">
        <is>
          <t>Yellow thread</t>
        </is>
      </c>
      <c r="B211" s="29" t="inlineStr">
        <is>
          <t>Threads &amp; ribbons</t>
        </is>
      </c>
      <c r="C211" s="30" t="inlineStr">
        <is>
          <t>joy, communication, focus</t>
        </is>
      </c>
      <c r="D211" s="31" t="inlineStr">
        <is>
          <t>Mind</t>
        </is>
      </c>
      <c r="E211" s="31" t="inlineStr">
        <is>
          <t>Gentle</t>
        </is>
      </c>
      <c r="F211" s="30" t="inlineStr">
        <is>
          <t>Sewn into a speaker's collar. Bright, clear words.</t>
        </is>
      </c>
      <c r="G211" s="29">
        <f>IF(OR(D211="—",D211="",K211=""),"",COUNTIF($J$2:$J$259,J211)-1)</f>
        <v/>
      </c>
      <c r="H211" s="31" t="n"/>
      <c r="I211" s="30" t="n"/>
      <c r="J211" s="22">
        <f>K211&amp;"|"&amp;D211&amp;"|"&amp;E211</f>
        <v/>
      </c>
      <c r="K211" s="22" t="inlineStr">
        <is>
          <t>communication,focus,joy</t>
        </is>
      </c>
      <c r="L211" s="22">
        <f>", "&amp;C211&amp;", "</f>
        <v/>
      </c>
    </row>
    <row r="212" ht="15" customHeight="1" s="18">
      <c r="A212" s="29" t="inlineStr">
        <is>
          <t>Satin ribbon</t>
        </is>
      </c>
      <c r="B212" s="29" t="inlineStr">
        <is>
          <t>Threads &amp; ribbons</t>
        </is>
      </c>
      <c r="C212" s="30" t="inlineStr">
        <is>
          <t>beauty, joy, attraction</t>
        </is>
      </c>
      <c r="D212" s="31" t="inlineStr">
        <is>
          <t>Body</t>
        </is>
      </c>
      <c r="E212" s="31" t="inlineStr">
        <is>
          <t>Gentle</t>
        </is>
      </c>
      <c r="F212" s="30" t="inlineStr">
        <is>
          <t>Pretty bows that catch the eye.</t>
        </is>
      </c>
      <c r="G212" s="29">
        <f>IF(OR(D212="—",D212="",K212=""),"",COUNTIF($J$2:$J$259,J212)-1)</f>
        <v/>
      </c>
      <c r="H212" s="31" t="n"/>
      <c r="I212" s="30" t="n"/>
      <c r="J212" s="22">
        <f>K212&amp;"|"&amp;D212&amp;"|"&amp;E212</f>
        <v/>
      </c>
      <c r="K212" s="22" t="inlineStr">
        <is>
          <t>attraction,beauty,joy</t>
        </is>
      </c>
      <c r="L212" s="22">
        <f>", "&amp;C212&amp;", "</f>
        <v/>
      </c>
    </row>
    <row r="213" ht="15" customHeight="1" s="18">
      <c r="A213" s="29" t="inlineStr">
        <is>
          <t>Velvet ribbon (red)</t>
        </is>
      </c>
      <c r="B213" s="29" t="inlineStr">
        <is>
          <t>Threads &amp; ribbons</t>
        </is>
      </c>
      <c r="C213" s="30" t="inlineStr">
        <is>
          <t>love, attraction</t>
        </is>
      </c>
      <c r="D213" s="31" t="inlineStr">
        <is>
          <t>Mind</t>
        </is>
      </c>
      <c r="E213" s="31" t="inlineStr">
        <is>
          <t>Strong</t>
        </is>
      </c>
      <c r="F213" s="30" t="inlineStr">
        <is>
          <t>Deep, devoted affection.</t>
        </is>
      </c>
      <c r="G213" s="29">
        <f>IF(OR(D213="—",D213="",K213=""),"",COUNTIF($J$2:$J$259,J213)-1)</f>
        <v/>
      </c>
      <c r="H213" s="31" t="n"/>
      <c r="I213" s="30" t="n"/>
      <c r="J213" s="22">
        <f>K213&amp;"|"&amp;D213&amp;"|"&amp;E213</f>
        <v/>
      </c>
      <c r="K213" s="22" t="inlineStr">
        <is>
          <t>attraction,love</t>
        </is>
      </c>
      <c r="L213" s="22">
        <f>", "&amp;C213&amp;", "</f>
        <v/>
      </c>
    </row>
    <row r="214" ht="15" customHeight="1" s="18">
      <c r="A214" s="29" t="inlineStr">
        <is>
          <t>Spool of thread</t>
        </is>
      </c>
      <c r="B214" s="29" t="inlineStr">
        <is>
          <t>Threads &amp; ribbons</t>
        </is>
      </c>
      <c r="C214" s="30" t="inlineStr">
        <is>
          <t>creativity, connection, patience</t>
        </is>
      </c>
      <c r="D214" s="31" t="inlineStr">
        <is>
          <t>Space</t>
        </is>
      </c>
      <c r="E214" s="31" t="inlineStr">
        <is>
          <t>Gentle</t>
        </is>
      </c>
      <c r="F214" s="30" t="inlineStr">
        <is>
          <t>Ties people together, one slow stitch at a time.</t>
        </is>
      </c>
      <c r="G214" s="29">
        <f>IF(OR(D214="—",D214="",K214=""),"",COUNTIF($J$2:$J$259,J214)-1)</f>
        <v/>
      </c>
      <c r="H214" s="31" t="n"/>
      <c r="I214" s="30" t="n"/>
      <c r="J214" s="22">
        <f>K214&amp;"|"&amp;D214&amp;"|"&amp;E214</f>
        <v/>
      </c>
      <c r="K214" s="22" t="inlineStr">
        <is>
          <t>connection,creativity,patience</t>
        </is>
      </c>
      <c r="L214" s="22">
        <f>", "&amp;C214&amp;", "</f>
        <v/>
      </c>
    </row>
    <row r="215" ht="15" customHeight="1" s="18">
      <c r="A215" s="29" t="inlineStr">
        <is>
          <t>Fabric pouch</t>
        </is>
      </c>
      <c r="B215" s="29" t="inlineStr">
        <is>
          <t>Threads &amp; ribbons</t>
        </is>
      </c>
      <c r="C215" s="30" t="n"/>
      <c r="D215" s="31" t="inlineStr">
        <is>
          <t>—</t>
        </is>
      </c>
      <c r="E215" s="31" t="inlineStr">
        <is>
          <t>—</t>
        </is>
      </c>
      <c r="F215" s="30" t="inlineStr">
        <is>
          <t>Base for Sachet.</t>
        </is>
      </c>
      <c r="G215" s="29">
        <f>IF(OR(D215="—",D215="",K215=""),"",COUNTIF($J$2:$J$259,J215)-1)</f>
        <v/>
      </c>
      <c r="H215" s="31" t="n"/>
      <c r="I215" s="30" t="n"/>
      <c r="J215" s="22">
        <f>K215&amp;"|"&amp;D215&amp;"|"&amp;E215</f>
        <v/>
      </c>
      <c r="K215" s="22" t="n"/>
      <c r="L215" s="22">
        <f>", "&amp;C215&amp;", "</f>
        <v/>
      </c>
    </row>
    <row r="216" ht="15" customHeight="1" s="18">
      <c r="A216" s="29" t="inlineStr">
        <is>
          <t>Satin pouch (black)</t>
        </is>
      </c>
      <c r="B216" s="29" t="inlineStr">
        <is>
          <t>Threads &amp; ribbons</t>
        </is>
      </c>
      <c r="C216" s="30" t="n"/>
      <c r="D216" s="31" t="inlineStr">
        <is>
          <t>—</t>
        </is>
      </c>
      <c r="E216" s="31" t="inlineStr">
        <is>
          <t>—</t>
        </is>
      </c>
      <c r="F216" s="30" t="inlineStr">
        <is>
          <t>Base for Sachet.</t>
        </is>
      </c>
      <c r="G216" s="29">
        <f>IF(OR(D216="—",D216="",K216=""),"",COUNTIF($J$2:$J$259,J216)-1)</f>
        <v/>
      </c>
      <c r="H216" s="31" t="n"/>
      <c r="I216" s="30" t="n"/>
      <c r="J216" s="22">
        <f>K216&amp;"|"&amp;D216&amp;"|"&amp;E216</f>
        <v/>
      </c>
      <c r="K216" s="22" t="n"/>
      <c r="L216" s="22">
        <f>", "&amp;C216&amp;", "</f>
        <v/>
      </c>
    </row>
    <row r="217" ht="15" customHeight="1" s="18">
      <c r="A217" s="29" t="inlineStr">
        <is>
          <t>Muslin</t>
        </is>
      </c>
      <c r="B217" s="29" t="inlineStr">
        <is>
          <t>Threads &amp; ribbons</t>
        </is>
      </c>
      <c r="C217" s="30" t="n"/>
      <c r="D217" s="31" t="inlineStr">
        <is>
          <t>—</t>
        </is>
      </c>
      <c r="E217" s="31" t="inlineStr">
        <is>
          <t>—</t>
        </is>
      </c>
      <c r="F217" s="30" t="inlineStr">
        <is>
          <t>Base for Poppet.</t>
        </is>
      </c>
      <c r="G217" s="29">
        <f>IF(OR(D217="—",D217="",K217=""),"",COUNTIF($J$2:$J$259,J217)-1)</f>
        <v/>
      </c>
      <c r="H217" s="31" t="n"/>
      <c r="I217" s="30" t="n"/>
      <c r="J217" s="22">
        <f>K217&amp;"|"&amp;D217&amp;"|"&amp;E217</f>
        <v/>
      </c>
      <c r="K217" s="22" t="n"/>
      <c r="L217" s="22">
        <f>", "&amp;C217&amp;", "</f>
        <v/>
      </c>
    </row>
    <row r="218" ht="15" customHeight="1" s="18">
      <c r="A218" s="29" t="inlineStr">
        <is>
          <t>Patchwork scraps</t>
        </is>
      </c>
      <c r="B218" s="29" t="inlineStr">
        <is>
          <t>Threads &amp; ribbons</t>
        </is>
      </c>
      <c r="C218" s="30" t="inlineStr">
        <is>
          <t>play, creativity, joy</t>
        </is>
      </c>
      <c r="D218" s="31" t="inlineStr">
        <is>
          <t>Space</t>
        </is>
      </c>
      <c r="E218" s="31" t="inlineStr">
        <is>
          <t>Gentle</t>
        </is>
      </c>
      <c r="F218" s="30" t="inlineStr">
        <is>
          <t>Pieces sewn together into something cheerful for a home.</t>
        </is>
      </c>
      <c r="G218" s="29">
        <f>IF(OR(D218="—",D218="",K218=""),"",COUNTIF($J$2:$J$259,J218)-1)</f>
        <v/>
      </c>
      <c r="H218" s="31" t="n"/>
      <c r="I218" s="30" t="n"/>
      <c r="J218" s="22">
        <f>K218&amp;"|"&amp;D218&amp;"|"&amp;E218</f>
        <v/>
      </c>
      <c r="K218" s="22" t="inlineStr">
        <is>
          <t>creativity,joy,play</t>
        </is>
      </c>
      <c r="L218" s="22">
        <f>", "&amp;C218&amp;", "</f>
        <v/>
      </c>
    </row>
    <row r="219" ht="23.25" customHeight="1" s="18">
      <c r="A219" s="29" t="inlineStr">
        <is>
          <t>Ash branch</t>
        </is>
      </c>
      <c r="B219" s="29" t="inlineStr">
        <is>
          <t>Wood &amp; branches</t>
        </is>
      </c>
      <c r="C219" s="30" t="inlineStr">
        <is>
          <t>intuition</t>
        </is>
      </c>
      <c r="D219" s="31" t="inlineStr">
        <is>
          <t>Mind</t>
        </is>
      </c>
      <c r="E219" s="31" t="inlineStr">
        <is>
          <t>Strong</t>
        </is>
      </c>
      <c r="F219" s="30" t="inlineStr">
        <is>
          <t>Wand wood of sight.</t>
        </is>
      </c>
      <c r="G219" s="29">
        <f>IF(OR(D219="—",D219="",K219=""),"",COUNTIF($J$2:$J$259,J219)-1)</f>
        <v/>
      </c>
      <c r="H219" s="31" t="n"/>
      <c r="I219" s="30" t="inlineStr">
        <is>
          <t>Same meaning as Ash wood. The spell type decides which medium.</t>
        </is>
      </c>
      <c r="J219" s="22">
        <f>K219&amp;"|"&amp;D219&amp;"|"&amp;E219</f>
        <v/>
      </c>
      <c r="K219" s="22" t="inlineStr">
        <is>
          <t>intuition</t>
        </is>
      </c>
      <c r="L219" s="22">
        <f>", "&amp;C219&amp;", "</f>
        <v/>
      </c>
    </row>
    <row r="220" ht="23.25" customHeight="1" s="18">
      <c r="A220" s="29" t="inlineStr">
        <is>
          <t>Ash wood</t>
        </is>
      </c>
      <c r="B220" s="29" t="inlineStr">
        <is>
          <t>Wood &amp; branches</t>
        </is>
      </c>
      <c r="C220" s="30" t="inlineStr">
        <is>
          <t>intuition</t>
        </is>
      </c>
      <c r="D220" s="31" t="inlineStr">
        <is>
          <t>Mind</t>
        </is>
      </c>
      <c r="E220" s="31" t="inlineStr">
        <is>
          <t>Strong</t>
        </is>
      </c>
      <c r="F220" s="30" t="inlineStr">
        <is>
          <t>Carving wood of sight.</t>
        </is>
      </c>
      <c r="G220" s="29">
        <f>IF(OR(D220="—",D220="",K220=""),"",COUNTIF($J$2:$J$259,J220)-1)</f>
        <v/>
      </c>
      <c r="H220" s="31" t="n"/>
      <c r="I220" s="30" t="inlineStr">
        <is>
          <t>Same meaning as Ash branch. The spell type decides which medium.</t>
        </is>
      </c>
      <c r="J220" s="22">
        <f>K220&amp;"|"&amp;D220&amp;"|"&amp;E220</f>
        <v/>
      </c>
      <c r="K220" s="22" t="inlineStr">
        <is>
          <t>intuition</t>
        </is>
      </c>
      <c r="L220" s="22">
        <f>", "&amp;C220&amp;", "</f>
        <v/>
      </c>
    </row>
    <row r="221" ht="23.25" customHeight="1" s="18">
      <c r="A221" s="29" t="inlineStr">
        <is>
          <t>Birch branch</t>
        </is>
      </c>
      <c r="B221" s="29" t="inlineStr">
        <is>
          <t>Wood &amp; branches</t>
        </is>
      </c>
      <c r="C221" s="30" t="inlineStr">
        <is>
          <t>beginnings</t>
        </is>
      </c>
      <c r="D221" s="31" t="inlineStr">
        <is>
          <t>Mind</t>
        </is>
      </c>
      <c r="E221" s="31" t="inlineStr">
        <is>
          <t>Gentle</t>
        </is>
      </c>
      <c r="F221" s="30" t="inlineStr">
        <is>
          <t>Wand wood for someone starting over.</t>
        </is>
      </c>
      <c r="G221" s="29">
        <f>IF(OR(D221="—",D221="",K221=""),"",COUNTIF($J$2:$J$259,J221)-1)</f>
        <v/>
      </c>
      <c r="H221" s="31" t="n"/>
      <c r="I221" s="30" t="inlineStr">
        <is>
          <t>Same meaning as Birch wood. The spell type decides which medium.</t>
        </is>
      </c>
      <c r="J221" s="22">
        <f>K221&amp;"|"&amp;D221&amp;"|"&amp;E221</f>
        <v/>
      </c>
      <c r="K221" s="22" t="inlineStr">
        <is>
          <t>beginnings</t>
        </is>
      </c>
      <c r="L221" s="22">
        <f>", "&amp;C221&amp;", "</f>
        <v/>
      </c>
    </row>
    <row r="222" ht="23.25" customHeight="1" s="18">
      <c r="A222" s="29" t="inlineStr">
        <is>
          <t>Birch wood</t>
        </is>
      </c>
      <c r="B222" s="29" t="inlineStr">
        <is>
          <t>Wood &amp; branches</t>
        </is>
      </c>
      <c r="C222" s="30" t="inlineStr">
        <is>
          <t>beginnings</t>
        </is>
      </c>
      <c r="D222" s="31" t="inlineStr">
        <is>
          <t>Mind</t>
        </is>
      </c>
      <c r="E222" s="31" t="inlineStr">
        <is>
          <t>Gentle</t>
        </is>
      </c>
      <c r="F222" s="30" t="inlineStr">
        <is>
          <t>Carving wood for someone starting over.</t>
        </is>
      </c>
      <c r="G222" s="29">
        <f>IF(OR(D222="—",D222="",K222=""),"",COUNTIF($J$2:$J$259,J222)-1)</f>
        <v/>
      </c>
      <c r="H222" s="31" t="n"/>
      <c r="I222" s="30" t="inlineStr">
        <is>
          <t>Same meaning as Birch branch. The spell type decides which medium.</t>
        </is>
      </c>
      <c r="J222" s="22">
        <f>K222&amp;"|"&amp;D222&amp;"|"&amp;E222</f>
        <v/>
      </c>
      <c r="K222" s="22" t="inlineStr">
        <is>
          <t>beginnings</t>
        </is>
      </c>
      <c r="L222" s="22">
        <f>", "&amp;C222&amp;", "</f>
        <v/>
      </c>
    </row>
    <row r="223" ht="15" customHeight="1" s="18">
      <c r="A223" s="29" t="inlineStr">
        <is>
          <t>Blackthorn branch</t>
        </is>
      </c>
      <c r="B223" s="29" t="inlineStr">
        <is>
          <t>Wood &amp; branches</t>
        </is>
      </c>
      <c r="C223" s="30" t="inlineStr">
        <is>
          <t>courage</t>
        </is>
      </c>
      <c r="D223" s="31" t="inlineStr">
        <is>
          <t>Space</t>
        </is>
      </c>
      <c r="E223" s="31" t="inlineStr">
        <is>
          <t>Strong</t>
        </is>
      </c>
      <c r="F223" s="30" t="inlineStr">
        <is>
          <t>A thorny staff. Nerve to stand your ground.</t>
        </is>
      </c>
      <c r="G223" s="29">
        <f>IF(OR(D223="—",D223="",K223=""),"",COUNTIF($J$2:$J$259,J223)-1)</f>
        <v/>
      </c>
      <c r="H223" s="31" t="n"/>
      <c r="I223" s="30" t="n"/>
      <c r="J223" s="22">
        <f>K223&amp;"|"&amp;D223&amp;"|"&amp;E223</f>
        <v/>
      </c>
      <c r="K223" s="22" t="inlineStr">
        <is>
          <t>courage</t>
        </is>
      </c>
      <c r="L223" s="22">
        <f>", "&amp;C223&amp;", "</f>
        <v/>
      </c>
    </row>
    <row r="224" ht="15" customHeight="1" s="18">
      <c r="A224" s="29" t="inlineStr">
        <is>
          <t>Hazel branch</t>
        </is>
      </c>
      <c r="B224" s="29" t="inlineStr">
        <is>
          <t>Wood &amp; branches</t>
        </is>
      </c>
      <c r="C224" s="30" t="inlineStr">
        <is>
          <t>memory, creativity, intuition</t>
        </is>
      </c>
      <c r="D224" s="31" t="inlineStr">
        <is>
          <t>Mind</t>
        </is>
      </c>
      <c r="E224" s="31" t="inlineStr">
        <is>
          <t>Strong</t>
        </is>
      </c>
      <c r="F224" s="30" t="inlineStr">
        <is>
          <t>Wood of wisdom and inspiration.</t>
        </is>
      </c>
      <c r="G224" s="29">
        <f>IF(OR(D224="—",D224="",K224=""),"",COUNTIF($J$2:$J$259,J224)-1)</f>
        <v/>
      </c>
      <c r="H224" s="31" t="n"/>
      <c r="I224" s="30" t="n"/>
      <c r="J224" s="22">
        <f>K224&amp;"|"&amp;D224&amp;"|"&amp;E224</f>
        <v/>
      </c>
      <c r="K224" s="22" t="inlineStr">
        <is>
          <t>creativity,intuition,memory</t>
        </is>
      </c>
      <c r="L224" s="22">
        <f>", "&amp;C224&amp;", "</f>
        <v/>
      </c>
    </row>
    <row r="225" ht="15" customHeight="1" s="18">
      <c r="A225" s="29" t="inlineStr">
        <is>
          <t>Oak wood</t>
        </is>
      </c>
      <c r="B225" s="29" t="inlineStr">
        <is>
          <t>Wood &amp; branches</t>
        </is>
      </c>
      <c r="C225" s="30" t="inlineStr">
        <is>
          <t>courage, grounding, protection</t>
        </is>
      </c>
      <c r="D225" s="31" t="inlineStr">
        <is>
          <t>Space</t>
        </is>
      </c>
      <c r="E225" s="31" t="inlineStr">
        <is>
          <t>Strong</t>
        </is>
      </c>
      <c r="F225" s="30" t="inlineStr">
        <is>
          <t>Steadfast and rooted. The wood that stands guard.</t>
        </is>
      </c>
      <c r="G225" s="29">
        <f>IF(OR(D225="—",D225="",K225=""),"",COUNTIF($J$2:$J$259,J225)-1)</f>
        <v/>
      </c>
      <c r="H225" s="31" t="n"/>
      <c r="I225" s="30" t="n"/>
      <c r="J225" s="22">
        <f>K225&amp;"|"&amp;D225&amp;"|"&amp;E225</f>
        <v/>
      </c>
      <c r="K225" s="22" t="inlineStr">
        <is>
          <t>courage,grounding,protection</t>
        </is>
      </c>
      <c r="L225" s="22">
        <f>", "&amp;C225&amp;", "</f>
        <v/>
      </c>
    </row>
    <row r="226" ht="15" customHeight="1" s="18">
      <c r="A226" s="29" t="inlineStr">
        <is>
          <t>Rowan branch</t>
        </is>
      </c>
      <c r="B226" s="29" t="inlineStr">
        <is>
          <t>Wood &amp; branches</t>
        </is>
      </c>
      <c r="C226" s="30" t="inlineStr">
        <is>
          <t>protection, boundaries</t>
        </is>
      </c>
      <c r="D226" s="31" t="inlineStr">
        <is>
          <t>Space</t>
        </is>
      </c>
      <c r="E226" s="31" t="inlineStr">
        <is>
          <t>Gentle</t>
        </is>
      </c>
      <c r="F226" s="30" t="inlineStr">
        <is>
          <t>Hung over the door. Old, steady guard.</t>
        </is>
      </c>
      <c r="G226" s="29">
        <f>IF(OR(D226="—",D226="",K226=""),"",COUNTIF($J$2:$J$259,J226)-1)</f>
        <v/>
      </c>
      <c r="H226" s="31" t="n"/>
      <c r="I226" s="30" t="n"/>
      <c r="J226" s="22">
        <f>K226&amp;"|"&amp;D226&amp;"|"&amp;E226</f>
        <v/>
      </c>
      <c r="K226" s="22" t="inlineStr">
        <is>
          <t>boundaries,protection</t>
        </is>
      </c>
      <c r="L226" s="22">
        <f>", "&amp;C226&amp;", "</f>
        <v/>
      </c>
    </row>
    <row r="227" ht="15" customHeight="1" s="18">
      <c r="A227" s="29" t="inlineStr">
        <is>
          <t>Twig</t>
        </is>
      </c>
      <c r="B227" s="29" t="inlineStr">
        <is>
          <t>Wood &amp; branches</t>
        </is>
      </c>
      <c r="C227" s="30" t="inlineStr">
        <is>
          <t>play, opportunity, travel</t>
        </is>
      </c>
      <c r="D227" s="31" t="inlineStr">
        <is>
          <t>Space</t>
        </is>
      </c>
      <c r="E227" s="31" t="inlineStr">
        <is>
          <t>Gentle</t>
        </is>
      </c>
      <c r="F227" s="30" t="inlineStr">
        <is>
          <t>Wandering games and small chances.</t>
        </is>
      </c>
      <c r="G227" s="29">
        <f>IF(OR(D227="—",D227="",K227=""),"",COUNTIF($J$2:$J$259,J227)-1)</f>
        <v/>
      </c>
      <c r="H227" s="31" t="n"/>
      <c r="I227" s="30" t="n"/>
      <c r="J227" s="22">
        <f>K227&amp;"|"&amp;D227&amp;"|"&amp;E227</f>
        <v/>
      </c>
      <c r="K227" s="22" t="inlineStr">
        <is>
          <t>opportunity,play,travel</t>
        </is>
      </c>
      <c r="L227" s="22">
        <f>", "&amp;C227&amp;", "</f>
        <v/>
      </c>
    </row>
    <row r="228" ht="15" customHeight="1" s="18">
      <c r="A228" s="29" t="inlineStr">
        <is>
          <t>Willow branch</t>
        </is>
      </c>
      <c r="B228" s="29" t="inlineStr">
        <is>
          <t>Wood &amp; branches</t>
        </is>
      </c>
      <c r="C228" s="30" t="inlineStr">
        <is>
          <t>intuition</t>
        </is>
      </c>
      <c r="D228" s="31" t="inlineStr">
        <is>
          <t>Mind</t>
        </is>
      </c>
      <c r="E228" s="31" t="inlineStr">
        <is>
          <t>Gentle</t>
        </is>
      </c>
      <c r="F228" s="30" t="inlineStr">
        <is>
          <t>Wand wood that bends and listens.</t>
        </is>
      </c>
      <c r="G228" s="29">
        <f>IF(OR(D228="—",D228="",K228=""),"",COUNTIF($J$2:$J$259,J228)-1)</f>
        <v/>
      </c>
      <c r="H228" s="31" t="n"/>
      <c r="I228" s="30" t="n"/>
      <c r="J228" s="22">
        <f>K228&amp;"|"&amp;D228&amp;"|"&amp;E228</f>
        <v/>
      </c>
      <c r="K228" s="22" t="inlineStr">
        <is>
          <t>intuition</t>
        </is>
      </c>
      <c r="L228" s="22">
        <f>", "&amp;C228&amp;", "</f>
        <v/>
      </c>
    </row>
    <row r="229" ht="15" customHeight="1" s="18">
      <c r="A229" s="29" t="inlineStr">
        <is>
          <t>Willow wood</t>
        </is>
      </c>
      <c r="B229" s="29" t="inlineStr">
        <is>
          <t>Wood &amp; branches</t>
        </is>
      </c>
      <c r="C229" s="30" t="inlineStr">
        <is>
          <t>release</t>
        </is>
      </c>
      <c r="D229" s="31" t="inlineStr">
        <is>
          <t>Mind</t>
        </is>
      </c>
      <c r="E229" s="31" t="inlineStr">
        <is>
          <t>Gentle</t>
        </is>
      </c>
      <c r="F229" s="30" t="inlineStr">
        <is>
          <t>Carving wood that bends and lets go.</t>
        </is>
      </c>
      <c r="G229" s="29">
        <f>IF(OR(D229="—",D229="",K229=""),"",COUNTIF($J$2:$J$259,J229)-1)</f>
        <v/>
      </c>
      <c r="H229" s="31" t="n"/>
      <c r="I229" s="30" t="n"/>
      <c r="J229" s="22">
        <f>K229&amp;"|"&amp;D229&amp;"|"&amp;E229</f>
        <v/>
      </c>
      <c r="K229" s="22" t="inlineStr">
        <is>
          <t>release</t>
        </is>
      </c>
      <c r="L229" s="22">
        <f>", "&amp;C229&amp;", "</f>
        <v/>
      </c>
    </row>
    <row r="230" ht="15" customHeight="1" s="18">
      <c r="A230" s="29" t="inlineStr">
        <is>
          <t>Wooden disc</t>
        </is>
      </c>
      <c r="B230" s="29" t="inlineStr">
        <is>
          <t>Wood &amp; branches</t>
        </is>
      </c>
      <c r="C230" s="30" t="n"/>
      <c r="D230" s="31" t="inlineStr">
        <is>
          <t>—</t>
        </is>
      </c>
      <c r="E230" s="31" t="inlineStr">
        <is>
          <t>—</t>
        </is>
      </c>
      <c r="F230" s="30" t="inlineStr">
        <is>
          <t>Base for Talisman.</t>
        </is>
      </c>
      <c r="G230" s="29">
        <f>IF(OR(D230="—",D230="",K230=""),"",COUNTIF($J$2:$J$259,J230)-1)</f>
        <v/>
      </c>
      <c r="H230" s="31" t="n"/>
      <c r="I230" s="30" t="n"/>
      <c r="J230" s="22">
        <f>K230&amp;"|"&amp;D230&amp;"|"&amp;E230</f>
        <v/>
      </c>
      <c r="K230" s="22" t="n"/>
      <c r="L230" s="22">
        <f>", "&amp;C230&amp;", "</f>
        <v/>
      </c>
    </row>
    <row r="231" ht="15" customHeight="1" s="18">
      <c r="A231" s="29" t="inlineStr">
        <is>
          <t>Acorn</t>
        </is>
      </c>
      <c r="B231" s="29" t="inlineStr">
        <is>
          <t>Wood &amp; branches</t>
        </is>
      </c>
      <c r="C231" s="30" t="inlineStr">
        <is>
          <t>luck</t>
        </is>
      </c>
      <c r="D231" s="31" t="inlineStr">
        <is>
          <t>Space</t>
        </is>
      </c>
      <c r="E231" s="31" t="inlineStr">
        <is>
          <t>Gentle</t>
        </is>
      </c>
      <c r="F231" s="30" t="inlineStr">
        <is>
          <t>A little fortune that grows.</t>
        </is>
      </c>
      <c r="G231" s="29">
        <f>IF(OR(D231="—",D231="",K231=""),"",COUNTIF($J$2:$J$259,J231)-1)</f>
        <v/>
      </c>
      <c r="H231" s="31" t="n"/>
      <c r="I231" s="30" t="n"/>
      <c r="J231" s="22">
        <f>K231&amp;"|"&amp;D231&amp;"|"&amp;E231</f>
        <v/>
      </c>
      <c r="K231" s="22" t="inlineStr">
        <is>
          <t>luck</t>
        </is>
      </c>
      <c r="L231" s="22">
        <f>", "&amp;C231&amp;", "</f>
        <v/>
      </c>
    </row>
    <row r="232" ht="15" customHeight="1" s="18">
      <c r="A232" s="29" t="inlineStr">
        <is>
          <t>Clamshell compact</t>
        </is>
      </c>
      <c r="B232" s="29" t="inlineStr">
        <is>
          <t>Findings &amp; tools</t>
        </is>
      </c>
      <c r="C232" s="30" t="n"/>
      <c r="D232" s="31" t="inlineStr">
        <is>
          <t>—</t>
        </is>
      </c>
      <c r="E232" s="31" t="inlineStr">
        <is>
          <t>—</t>
        </is>
      </c>
      <c r="F232" s="30" t="inlineStr">
        <is>
          <t>Base for Hand Mirror.</t>
        </is>
      </c>
      <c r="G232" s="29">
        <f>IF(OR(D232="—",D232="",K232=""),"",COUNTIF($J$2:$J$259,J232)-1)</f>
        <v/>
      </c>
      <c r="H232" s="31" t="n"/>
      <c r="I232" s="30" t="n"/>
      <c r="J232" s="22">
        <f>K232&amp;"|"&amp;D232&amp;"|"&amp;E232</f>
        <v/>
      </c>
      <c r="K232" s="22" t="n"/>
      <c r="L232" s="22">
        <f>", "&amp;C232&amp;", "</f>
        <v/>
      </c>
    </row>
    <row r="233" ht="15" customHeight="1" s="18">
      <c r="A233" s="29" t="inlineStr">
        <is>
          <t>Clamshell compact (dark glass)</t>
        </is>
      </c>
      <c r="B233" s="29" t="inlineStr">
        <is>
          <t>Findings &amp; tools</t>
        </is>
      </c>
      <c r="C233" s="30" t="n"/>
      <c r="D233" s="31" t="inlineStr">
        <is>
          <t>—</t>
        </is>
      </c>
      <c r="E233" s="31" t="inlineStr">
        <is>
          <t>—</t>
        </is>
      </c>
      <c r="F233" s="30" t="inlineStr">
        <is>
          <t>Base for Hand Mirror.</t>
        </is>
      </c>
      <c r="G233" s="29">
        <f>IF(OR(D233="—",D233="",K233=""),"",COUNTIF($J$2:$J$259,J233)-1)</f>
        <v/>
      </c>
      <c r="H233" s="31" t="n"/>
      <c r="I233" s="30" t="n"/>
      <c r="J233" s="22">
        <f>K233&amp;"|"&amp;D233&amp;"|"&amp;E233</f>
        <v/>
      </c>
      <c r="K233" s="22" t="n"/>
      <c r="L233" s="22">
        <f>", "&amp;C233&amp;", "</f>
        <v/>
      </c>
    </row>
    <row r="234" ht="15" customHeight="1" s="18">
      <c r="A234" s="29" t="inlineStr">
        <is>
          <t>Clay</t>
        </is>
      </c>
      <c r="B234" s="29" t="inlineStr">
        <is>
          <t>Findings &amp; tools</t>
        </is>
      </c>
      <c r="C234" s="30" t="n"/>
      <c r="D234" s="31" t="inlineStr">
        <is>
          <t>—</t>
        </is>
      </c>
      <c r="E234" s="31" t="inlineStr">
        <is>
          <t>—</t>
        </is>
      </c>
      <c r="F234" s="30" t="inlineStr">
        <is>
          <t>Base for Rune.</t>
        </is>
      </c>
      <c r="G234" s="29">
        <f>IF(OR(D234="—",D234="",K234=""),"",COUNTIF($J$2:$J$259,J234)-1)</f>
        <v/>
      </c>
      <c r="H234" s="31" t="n"/>
      <c r="I234" s="30" t="n"/>
      <c r="J234" s="22">
        <f>K234&amp;"|"&amp;D234&amp;"|"&amp;E234</f>
        <v/>
      </c>
      <c r="K234" s="22" t="n"/>
      <c r="L234" s="22">
        <f>", "&amp;C234&amp;", "</f>
        <v/>
      </c>
    </row>
    <row r="235" ht="15" customHeight="1" s="18">
      <c r="A235" s="29" t="inlineStr">
        <is>
          <t>Coin</t>
        </is>
      </c>
      <c r="B235" s="29" t="inlineStr">
        <is>
          <t>Findings &amp; tools</t>
        </is>
      </c>
      <c r="C235" s="30" t="inlineStr">
        <is>
          <t>luck, abundance</t>
        </is>
      </c>
      <c r="D235" s="31" t="inlineStr">
        <is>
          <t>Space</t>
        </is>
      </c>
      <c r="E235" s="31" t="inlineStr">
        <is>
          <t>Strong</t>
        </is>
      </c>
      <c r="F235" s="30" t="inlineStr">
        <is>
          <t>Hard fortune you can hold.</t>
        </is>
      </c>
      <c r="G235" s="29">
        <f>IF(OR(D235="—",D235="",K235=""),"",COUNTIF($J$2:$J$259,J235)-1)</f>
        <v/>
      </c>
      <c r="H235" s="31" t="n"/>
      <c r="I235" s="30" t="n"/>
      <c r="J235" s="22">
        <f>K235&amp;"|"&amp;D235&amp;"|"&amp;E235</f>
        <v/>
      </c>
      <c r="K235" s="22" t="inlineStr">
        <is>
          <t>abundance,luck</t>
        </is>
      </c>
      <c r="L235" s="22">
        <f>", "&amp;C235&amp;", "</f>
        <v/>
      </c>
    </row>
    <row r="236" ht="15" customHeight="1" s="18">
      <c r="A236" s="29" t="inlineStr">
        <is>
          <t>Copper disc</t>
        </is>
      </c>
      <c r="B236" s="29" t="inlineStr">
        <is>
          <t>Findings &amp; tools</t>
        </is>
      </c>
      <c r="C236" s="30" t="n"/>
      <c r="D236" s="31" t="inlineStr">
        <is>
          <t>—</t>
        </is>
      </c>
      <c r="E236" s="31" t="inlineStr">
        <is>
          <t>—</t>
        </is>
      </c>
      <c r="F236" s="30" t="inlineStr">
        <is>
          <t>Base for Talisman.</t>
        </is>
      </c>
      <c r="G236" s="29">
        <f>IF(OR(D236="—",D236="",K236=""),"",COUNTIF($J$2:$J$259,J236)-1)</f>
        <v/>
      </c>
      <c r="H236" s="31" t="n"/>
      <c r="I236" s="30" t="n"/>
      <c r="J236" s="22">
        <f>K236&amp;"|"&amp;D236&amp;"|"&amp;E236</f>
        <v/>
      </c>
      <c r="K236" s="22" t="n"/>
      <c r="L236" s="22">
        <f>", "&amp;C236&amp;", "</f>
        <v/>
      </c>
    </row>
    <row r="237" ht="15" customHeight="1" s="18">
      <c r="A237" s="29" t="inlineStr">
        <is>
          <t>Glass bead</t>
        </is>
      </c>
      <c r="B237" s="29" t="inlineStr">
        <is>
          <t>Findings &amp; tools</t>
        </is>
      </c>
      <c r="C237" s="30" t="inlineStr">
        <is>
          <t>protection, play, wonder</t>
        </is>
      </c>
      <c r="D237" s="31" t="inlineStr">
        <is>
          <t>Space</t>
        </is>
      </c>
      <c r="E237" s="31" t="inlineStr">
        <is>
          <t>Gentle</t>
        </is>
      </c>
      <c r="F237" s="30" t="inlineStr">
        <is>
          <t>A little eye bead that watches.</t>
        </is>
      </c>
      <c r="G237" s="29">
        <f>IF(OR(D237="—",D237="",K237=""),"",COUNTIF($J$2:$J$259,J237)-1)</f>
        <v/>
      </c>
      <c r="H237" s="31" t="n"/>
      <c r="I237" s="30" t="n"/>
      <c r="J237" s="22">
        <f>K237&amp;"|"&amp;D237&amp;"|"&amp;E237</f>
        <v/>
      </c>
      <c r="K237" s="22" t="inlineStr">
        <is>
          <t>play,protection,wonder</t>
        </is>
      </c>
      <c r="L237" s="22">
        <f>", "&amp;C237&amp;", "</f>
        <v/>
      </c>
    </row>
    <row r="238" ht="15" customHeight="1" s="18">
      <c r="A238" s="29" t="inlineStr">
        <is>
          <t>Glass vial</t>
        </is>
      </c>
      <c r="B238" s="29" t="inlineStr">
        <is>
          <t>Findings &amp; tools</t>
        </is>
      </c>
      <c r="C238" s="30" t="n"/>
      <c r="D238" s="31" t="inlineStr">
        <is>
          <t>—</t>
        </is>
      </c>
      <c r="E238" s="31" t="inlineStr">
        <is>
          <t>—</t>
        </is>
      </c>
      <c r="F238" s="30" t="inlineStr">
        <is>
          <t>Base for Spell Bottle.</t>
        </is>
      </c>
      <c r="G238" s="29">
        <f>IF(OR(D238="—",D238="",K238=""),"",COUNTIF($J$2:$J$259,J238)-1)</f>
        <v/>
      </c>
      <c r="H238" s="31" t="n"/>
      <c r="I238" s="30" t="n"/>
      <c r="J238" s="22">
        <f>K238&amp;"|"&amp;D238&amp;"|"&amp;E238</f>
        <v/>
      </c>
      <c r="K238" s="22" t="n"/>
      <c r="L238" s="22">
        <f>", "&amp;C238&amp;", "</f>
        <v/>
      </c>
    </row>
    <row r="239" ht="15" customHeight="1" s="18">
      <c r="A239" s="29" t="inlineStr">
        <is>
          <t>Iron filings</t>
        </is>
      </c>
      <c r="B239" s="29" t="inlineStr">
        <is>
          <t>Findings &amp; tools</t>
        </is>
      </c>
      <c r="C239" s="30" t="inlineStr">
        <is>
          <t>protection, grounding</t>
        </is>
      </c>
      <c r="D239" s="31" t="inlineStr">
        <is>
          <t>Space</t>
        </is>
      </c>
      <c r="E239" s="31" t="inlineStr">
        <is>
          <t>Strong</t>
        </is>
      </c>
      <c r="F239" s="30" t="inlineStr">
        <is>
          <t>Heavy iron dust that keeps feet on the floor.</t>
        </is>
      </c>
      <c r="G239" s="29">
        <f>IF(OR(D239="—",D239="",K239=""),"",COUNTIF($J$2:$J$259,J239)-1)</f>
        <v/>
      </c>
      <c r="H239" s="31" t="n"/>
      <c r="I239" s="30" t="n"/>
      <c r="J239" s="22">
        <f>K239&amp;"|"&amp;D239&amp;"|"&amp;E239</f>
        <v/>
      </c>
      <c r="K239" s="22" t="inlineStr">
        <is>
          <t>grounding,protection</t>
        </is>
      </c>
      <c r="L239" s="22">
        <f>", "&amp;C239&amp;", "</f>
        <v/>
      </c>
    </row>
    <row r="240" ht="15" customHeight="1" s="18">
      <c r="A240" s="29" t="inlineStr">
        <is>
          <t>Iron nail</t>
        </is>
      </c>
      <c r="B240" s="29" t="inlineStr">
        <is>
          <t>Findings &amp; tools</t>
        </is>
      </c>
      <c r="C240" s="30" t="inlineStr">
        <is>
          <t>protection</t>
        </is>
      </c>
      <c r="D240" s="31" t="inlineStr">
        <is>
          <t>Space</t>
        </is>
      </c>
      <c r="E240" s="31" t="inlineStr">
        <is>
          <t>Strong</t>
        </is>
      </c>
      <c r="F240" s="30" t="inlineStr">
        <is>
          <t>Driven into the doorframe.</t>
        </is>
      </c>
      <c r="G240" s="29">
        <f>IF(OR(D240="—",D240="",K240=""),"",COUNTIF($J$2:$J$259,J240)-1)</f>
        <v/>
      </c>
      <c r="H240" s="31" t="n"/>
      <c r="I240" s="30" t="n"/>
      <c r="J240" s="22">
        <f>K240&amp;"|"&amp;D240&amp;"|"&amp;E240</f>
        <v/>
      </c>
      <c r="K240" s="22" t="inlineStr">
        <is>
          <t>protection</t>
        </is>
      </c>
      <c r="L240" s="22">
        <f>", "&amp;C240&amp;", "</f>
        <v/>
      </c>
    </row>
    <row r="241" ht="15" customHeight="1" s="18">
      <c r="A241" s="29" t="inlineStr">
        <is>
          <t>Iron pin</t>
        </is>
      </c>
      <c r="B241" s="29" t="inlineStr">
        <is>
          <t>Findings &amp; tools</t>
        </is>
      </c>
      <c r="C241" s="30" t="inlineStr">
        <is>
          <t>boundaries</t>
        </is>
      </c>
      <c r="D241" s="31" t="inlineStr">
        <is>
          <t>Mind</t>
        </is>
      </c>
      <c r="E241" s="31" t="inlineStr">
        <is>
          <t>Strong</t>
        </is>
      </c>
      <c r="F241" s="30" t="inlineStr">
        <is>
          <t>Pinned to a collar. Thus far, and no further.</t>
        </is>
      </c>
      <c r="G241" s="29">
        <f>IF(OR(D241="—",D241="",K241=""),"",COUNTIF($J$2:$J$259,J241)-1)</f>
        <v/>
      </c>
      <c r="H241" s="31" t="n"/>
      <c r="I241" s="30" t="n"/>
      <c r="J241" s="22">
        <f>K241&amp;"|"&amp;D241&amp;"|"&amp;E241</f>
        <v/>
      </c>
      <c r="K241" s="22" t="inlineStr">
        <is>
          <t>boundaries</t>
        </is>
      </c>
      <c r="L241" s="22">
        <f>", "&amp;C241&amp;", "</f>
        <v/>
      </c>
    </row>
    <row r="242" ht="15" customHeight="1" s="18">
      <c r="A242" s="29" t="inlineStr">
        <is>
          <t>Locket</t>
        </is>
      </c>
      <c r="B242" s="29" t="inlineStr">
        <is>
          <t>Findings &amp; tools</t>
        </is>
      </c>
      <c r="C242" s="30" t="inlineStr">
        <is>
          <t>memory, self-love</t>
        </is>
      </c>
      <c r="D242" s="31" t="inlineStr">
        <is>
          <t>Mind</t>
        </is>
      </c>
      <c r="E242" s="31" t="inlineStr">
        <is>
          <t>Gentle</t>
        </is>
      </c>
      <c r="F242" s="30" t="inlineStr">
        <is>
          <t>Keeps a face close, and reminds you that you were loved.</t>
        </is>
      </c>
      <c r="G242" s="29">
        <f>IF(OR(D242="—",D242="",K242=""),"",COUNTIF($J$2:$J$259,J242)-1)</f>
        <v/>
      </c>
      <c r="H242" s="31" t="n"/>
      <c r="I242" s="30" t="n"/>
      <c r="J242" s="22">
        <f>K242&amp;"|"&amp;D242&amp;"|"&amp;E242</f>
        <v/>
      </c>
      <c r="K242" s="22" t="inlineStr">
        <is>
          <t>memory,self-love</t>
        </is>
      </c>
      <c r="L242" s="22">
        <f>", "&amp;C242&amp;", "</f>
        <v/>
      </c>
    </row>
    <row r="243" ht="15" customHeight="1" s="18">
      <c r="A243" s="29" t="inlineStr">
        <is>
          <t>Paintbrush bristle</t>
        </is>
      </c>
      <c r="B243" s="29" t="inlineStr">
        <is>
          <t>Findings &amp; tools</t>
        </is>
      </c>
      <c r="C243" s="30" t="inlineStr">
        <is>
          <t>creativity</t>
        </is>
      </c>
      <c r="D243" s="31" t="inlineStr">
        <is>
          <t>Body</t>
        </is>
      </c>
      <c r="E243" s="31" t="inlineStr">
        <is>
          <t>Gentle</t>
        </is>
      </c>
      <c r="F243" s="30" t="inlineStr">
        <is>
          <t>Makes the hand eager to make things.</t>
        </is>
      </c>
      <c r="G243" s="29">
        <f>IF(OR(D243="—",D243="",K243=""),"",COUNTIF($J$2:$J$259,J243)-1)</f>
        <v/>
      </c>
      <c r="H243" s="31" t="n"/>
      <c r="I243" s="30" t="n"/>
      <c r="J243" s="22">
        <f>K243&amp;"|"&amp;D243&amp;"|"&amp;E243</f>
        <v/>
      </c>
      <c r="K243" s="22" t="inlineStr">
        <is>
          <t>creativity</t>
        </is>
      </c>
      <c r="L243" s="22">
        <f>", "&amp;C243&amp;", "</f>
        <v/>
      </c>
    </row>
    <row r="244" ht="15" customHeight="1" s="18">
      <c r="A244" s="29" t="inlineStr">
        <is>
          <t>Paper</t>
        </is>
      </c>
      <c r="B244" s="29" t="inlineStr">
        <is>
          <t>Findings &amp; tools</t>
        </is>
      </c>
      <c r="C244" s="30" t="n"/>
      <c r="D244" s="31" t="inlineStr">
        <is>
          <t>—</t>
        </is>
      </c>
      <c r="E244" s="31" t="inlineStr">
        <is>
          <t>—</t>
        </is>
      </c>
      <c r="F244" s="30" t="inlineStr">
        <is>
          <t>Works as a base for any spell type.</t>
        </is>
      </c>
      <c r="G244" s="29">
        <f>IF(OR(D244="—",D244="",K244=""),"",COUNTIF($J$2:$J$259,J244)-1)</f>
        <v/>
      </c>
      <c r="H244" s="31" t="n"/>
      <c r="I244" s="30" t="n"/>
      <c r="J244" s="22">
        <f>K244&amp;"|"&amp;D244&amp;"|"&amp;E244</f>
        <v/>
      </c>
      <c r="K244" s="22" t="n"/>
      <c r="L244" s="22">
        <f>", "&amp;C244&amp;", "</f>
        <v/>
      </c>
    </row>
    <row r="245" ht="23.25" customHeight="1" s="18">
      <c r="A245" s="29" t="inlineStr">
        <is>
          <t>Quill</t>
        </is>
      </c>
      <c r="B245" s="29" t="inlineStr">
        <is>
          <t>Findings &amp; tools</t>
        </is>
      </c>
      <c r="C245" s="30" t="inlineStr">
        <is>
          <t>creativity</t>
        </is>
      </c>
      <c r="D245" s="31" t="inlineStr">
        <is>
          <t>Mind</t>
        </is>
      </c>
      <c r="E245" s="31" t="inlineStr">
        <is>
          <t>Gentle</t>
        </is>
      </c>
      <c r="F245" s="30" t="inlineStr">
        <is>
          <t>For the writer stuck on the first line.</t>
        </is>
      </c>
      <c r="G245" s="29">
        <f>IF(OR(D245="—",D245="",K245=""),"",COUNTIF($J$2:$J$259,J245)-1)</f>
        <v/>
      </c>
      <c r="H245" s="31" t="n"/>
      <c r="I245" s="30" t="n"/>
      <c r="J245" s="22">
        <f>K245&amp;"|"&amp;D245&amp;"|"&amp;E245</f>
        <v/>
      </c>
      <c r="K245" s="22" t="inlineStr">
        <is>
          <t>creativity</t>
        </is>
      </c>
      <c r="L245" s="22">
        <f>", "&amp;C245&amp;", "</f>
        <v/>
      </c>
    </row>
    <row r="246" ht="15" customHeight="1" s="18">
      <c r="A246" s="29" t="inlineStr">
        <is>
          <t>Silver bead</t>
        </is>
      </c>
      <c r="B246" s="29" t="inlineStr">
        <is>
          <t>Findings &amp; tools</t>
        </is>
      </c>
      <c r="C246" s="30" t="inlineStr">
        <is>
          <t>intuition, calm, communication</t>
        </is>
      </c>
      <c r="D246" s="31" t="inlineStr">
        <is>
          <t>Mind</t>
        </is>
      </c>
      <c r="E246" s="31" t="inlineStr">
        <is>
          <t>Gentle</t>
        </is>
      </c>
      <c r="F246" s="30" t="inlineStr">
        <is>
          <t>Strung on a bracelet, it nudges you to listen before you speak.</t>
        </is>
      </c>
      <c r="G246" s="29">
        <f>IF(OR(D246="—",D246="",K246=""),"",COUNTIF($J$2:$J$259,J246)-1)</f>
        <v/>
      </c>
      <c r="H246" s="31" t="n"/>
      <c r="I246" s="30" t="n"/>
      <c r="J246" s="22">
        <f>K246&amp;"|"&amp;D246&amp;"|"&amp;E246</f>
        <v/>
      </c>
      <c r="K246" s="22" t="inlineStr">
        <is>
          <t>calm,communication,intuition</t>
        </is>
      </c>
      <c r="L246" s="22">
        <f>", "&amp;C246&amp;", "</f>
        <v/>
      </c>
    </row>
    <row r="247" ht="15" customHeight="1" s="18">
      <c r="A247" s="29" t="inlineStr">
        <is>
          <t>Small key</t>
        </is>
      </c>
      <c r="B247" s="29" t="inlineStr">
        <is>
          <t>Findings &amp; tools</t>
        </is>
      </c>
      <c r="C247" s="30" t="inlineStr">
        <is>
          <t>opportunity, protection, beginnings, release</t>
        </is>
      </c>
      <c r="D247" s="31" t="inlineStr">
        <is>
          <t>Space</t>
        </is>
      </c>
      <c r="E247" s="31" t="inlineStr">
        <is>
          <t>Strong</t>
        </is>
      </c>
      <c r="F247" s="30" t="inlineStr">
        <is>
          <t>Opens and locks.</t>
        </is>
      </c>
      <c r="G247" s="29">
        <f>IF(OR(D247="—",D247="",K247=""),"",COUNTIF($J$2:$J$259,J247)-1)</f>
        <v/>
      </c>
      <c r="H247" s="31" t="n"/>
      <c r="I247" s="30" t="n"/>
      <c r="J247" s="22">
        <f>K247&amp;"|"&amp;D247&amp;"|"&amp;E247</f>
        <v/>
      </c>
      <c r="K247" s="22" t="inlineStr">
        <is>
          <t>beginnings,opportunity,protection,release</t>
        </is>
      </c>
      <c r="L247" s="22">
        <f>", "&amp;C247&amp;", "</f>
        <v/>
      </c>
    </row>
    <row r="248" ht="23.25" customHeight="1" s="18">
      <c r="A248" s="29" t="inlineStr">
        <is>
          <t>Teacup charm</t>
        </is>
      </c>
      <c r="B248" s="29" t="inlineStr">
        <is>
          <t>Findings &amp; tools</t>
        </is>
      </c>
      <c r="C248" s="30" t="inlineStr">
        <is>
          <t>comfort, calm, travel</t>
        </is>
      </c>
      <c r="D248" s="31" t="inlineStr">
        <is>
          <t>Mind</t>
        </is>
      </c>
      <c r="E248" s="31" t="inlineStr">
        <is>
          <t>Gentle</t>
        </is>
      </c>
      <c r="F248" s="30" t="inlineStr">
        <is>
          <t>For someone far from home. Tastes like their own kitchen.</t>
        </is>
      </c>
      <c r="G248" s="29">
        <f>IF(OR(D248="—",D248="",K248=""),"",COUNTIF($J$2:$J$259,J248)-1)</f>
        <v/>
      </c>
      <c r="H248" s="31" t="n"/>
      <c r="I248" s="30" t="n"/>
      <c r="J248" s="22">
        <f>K248&amp;"|"&amp;D248&amp;"|"&amp;E248</f>
        <v/>
      </c>
      <c r="K248" s="22" t="inlineStr">
        <is>
          <t>calm,comfort,travel</t>
        </is>
      </c>
      <c r="L248" s="22">
        <f>", "&amp;C248&amp;", "</f>
        <v/>
      </c>
    </row>
    <row r="249" ht="15" customHeight="1" s="18">
      <c r="A249" s="29" t="inlineStr">
        <is>
          <t>Tiny bell</t>
        </is>
      </c>
      <c r="B249" s="29" t="inlineStr">
        <is>
          <t>Findings &amp; tools</t>
        </is>
      </c>
      <c r="C249" s="30" t="inlineStr">
        <is>
          <t>joy, beginnings</t>
        </is>
      </c>
      <c r="D249" s="31" t="inlineStr">
        <is>
          <t>Space</t>
        </is>
      </c>
      <c r="E249" s="31" t="inlineStr">
        <is>
          <t>Gentle</t>
        </is>
      </c>
      <c r="F249" s="30" t="inlineStr">
        <is>
          <t>Rings in the first day of anything.</t>
        </is>
      </c>
      <c r="G249" s="29">
        <f>IF(OR(D249="—",D249="",K249=""),"",COUNTIF($J$2:$J$259,J249)-1)</f>
        <v/>
      </c>
      <c r="H249" s="31" t="n"/>
      <c r="I249" s="30" t="n"/>
      <c r="J249" s="22">
        <f>K249&amp;"|"&amp;D249&amp;"|"&amp;E249</f>
        <v/>
      </c>
      <c r="K249" s="22" t="inlineStr">
        <is>
          <t>beginnings,joy</t>
        </is>
      </c>
      <c r="L249" s="22">
        <f>", "&amp;C249&amp;", "</f>
        <v/>
      </c>
    </row>
    <row r="250" ht="15" customHeight="1" s="18">
      <c r="A250" s="29" t="inlineStr">
        <is>
          <t>Wax seal</t>
        </is>
      </c>
      <c r="B250" s="29" t="inlineStr">
        <is>
          <t>Findings &amp; tools</t>
        </is>
      </c>
      <c r="C250" s="30" t="inlineStr">
        <is>
          <t>protection, endings</t>
        </is>
      </c>
      <c r="D250" s="31" t="inlineStr">
        <is>
          <t>Space</t>
        </is>
      </c>
      <c r="E250" s="31" t="inlineStr">
        <is>
          <t>Strong</t>
        </is>
      </c>
      <c r="F250" s="30" t="inlineStr">
        <is>
          <t>Seals and ends.</t>
        </is>
      </c>
      <c r="G250" s="29">
        <f>IF(OR(D250="—",D250="",K250=""),"",COUNTIF($J$2:$J$259,J250)-1)</f>
        <v/>
      </c>
      <c r="H250" s="31" t="n"/>
      <c r="I250" s="30" t="n"/>
      <c r="J250" s="22">
        <f>K250&amp;"|"&amp;D250&amp;"|"&amp;E250</f>
        <v/>
      </c>
      <c r="K250" s="22" t="inlineStr">
        <is>
          <t>endings,protection</t>
        </is>
      </c>
      <c r="L250" s="22">
        <f>", "&amp;C250&amp;", "</f>
        <v/>
      </c>
    </row>
    <row r="251" ht="15" customHeight="1" s="18">
      <c r="A251" s="29" t="inlineStr">
        <is>
          <t>Wooden die</t>
        </is>
      </c>
      <c r="B251" s="29" t="inlineStr">
        <is>
          <t>Findings &amp; tools</t>
        </is>
      </c>
      <c r="C251" s="30" t="inlineStr">
        <is>
          <t>luck, play</t>
        </is>
      </c>
      <c r="D251" s="31" t="inlineStr">
        <is>
          <t>Space</t>
        </is>
      </c>
      <c r="E251" s="31" t="inlineStr">
        <is>
          <t>Strong</t>
        </is>
      </c>
      <c r="F251" s="30" t="inlineStr">
        <is>
          <t>A roll of chance. Bold fortune.</t>
        </is>
      </c>
      <c r="G251" s="29">
        <f>IF(OR(D251="—",D251="",K251=""),"",COUNTIF($J$2:$J$259,J251)-1)</f>
        <v/>
      </c>
      <c r="H251" s="31" t="n"/>
      <c r="I251" s="30" t="n"/>
      <c r="J251" s="22">
        <f>K251&amp;"|"&amp;D251&amp;"|"&amp;E251</f>
        <v/>
      </c>
      <c r="K251" s="22" t="inlineStr">
        <is>
          <t>luck,play</t>
        </is>
      </c>
      <c r="L251" s="22">
        <f>", "&amp;C251&amp;", "</f>
        <v/>
      </c>
    </row>
    <row r="252" ht="15" customHeight="1" s="18">
      <c r="A252" s="29" t="inlineStr">
        <is>
          <t>Black ink</t>
        </is>
      </c>
      <c r="B252" s="29" t="inlineStr">
        <is>
          <t>Inks &amp; paints</t>
        </is>
      </c>
      <c r="C252" s="30" t="inlineStr">
        <is>
          <t>banishing, protection, endings</t>
        </is>
      </c>
      <c r="D252" s="31" t="inlineStr">
        <is>
          <t>Space</t>
        </is>
      </c>
      <c r="E252" s="31" t="inlineStr">
        <is>
          <t>Strong</t>
        </is>
      </c>
      <c r="F252" s="30" t="inlineStr">
        <is>
          <t>Write a name in it, then burn the page.</t>
        </is>
      </c>
      <c r="G252" s="29">
        <f>IF(OR(D252="—",D252="",K252=""),"",COUNTIF($J$2:$J$259,J252)-1)</f>
        <v/>
      </c>
      <c r="H252" s="31" t="n"/>
      <c r="I252" s="30" t="inlineStr">
        <is>
          <t>Same meaning as Black thread. The spell type decides which medium.</t>
        </is>
      </c>
      <c r="J252" s="22">
        <f>K252&amp;"|"&amp;D252&amp;"|"&amp;E252</f>
        <v/>
      </c>
      <c r="K252" s="22" t="inlineStr">
        <is>
          <t>banishing,endings,protection</t>
        </is>
      </c>
      <c r="L252" s="22">
        <f>", "&amp;C252&amp;", "</f>
        <v/>
      </c>
    </row>
    <row r="253" ht="23.25" customHeight="1" s="18">
      <c r="A253" s="29" t="inlineStr">
        <is>
          <t>Gold ink</t>
        </is>
      </c>
      <c r="B253" s="29" t="inlineStr">
        <is>
          <t>Inks &amp; paints</t>
        </is>
      </c>
      <c r="C253" s="30" t="inlineStr">
        <is>
          <t>success, abundance, confidence, luck</t>
        </is>
      </c>
      <c r="D253" s="31" t="inlineStr">
        <is>
          <t>Space</t>
        </is>
      </c>
      <c r="E253" s="31" t="inlineStr">
        <is>
          <t>Strong</t>
        </is>
      </c>
      <c r="F253" s="30" t="inlineStr">
        <is>
          <t>Success, written down.</t>
        </is>
      </c>
      <c r="G253" s="29">
        <f>IF(OR(D253="—",D253="",K253=""),"",COUNTIF($J$2:$J$259,J253)-1)</f>
        <v/>
      </c>
      <c r="H253" s="31" t="n"/>
      <c r="I253" s="30" t="inlineStr">
        <is>
          <t>Same meaning as Gold thread, Gold paint. The spell type decides which medium.</t>
        </is>
      </c>
      <c r="J253" s="22">
        <f>K253&amp;"|"&amp;D253&amp;"|"&amp;E253</f>
        <v/>
      </c>
      <c r="K253" s="22" t="inlineStr">
        <is>
          <t>abundance,confidence,luck,success</t>
        </is>
      </c>
      <c r="L253" s="22">
        <f>", "&amp;C253&amp;", "</f>
        <v/>
      </c>
    </row>
    <row r="254" ht="23.25" customHeight="1" s="18">
      <c r="A254" s="29" t="inlineStr">
        <is>
          <t>Ink</t>
        </is>
      </c>
      <c r="B254" s="29" t="inlineStr">
        <is>
          <t>Inks &amp; paints</t>
        </is>
      </c>
      <c r="C254" s="30" t="n"/>
      <c r="D254" s="31" t="inlineStr">
        <is>
          <t>—</t>
        </is>
      </c>
      <c r="E254" s="31" t="inlineStr">
        <is>
          <t>—</t>
        </is>
      </c>
      <c r="F254" s="30" t="inlineStr">
        <is>
          <t>Works as a base for any spell type.</t>
        </is>
      </c>
      <c r="G254" s="29">
        <f>IF(OR(D254="—",D254="",K254=""),"",COUNTIF($J$2:$J$259,J254)-1)</f>
        <v/>
      </c>
      <c r="H254" s="31" t="n"/>
      <c r="I254" s="30" t="n"/>
      <c r="J254" s="22">
        <f>K254&amp;"|"&amp;D254&amp;"|"&amp;E254</f>
        <v/>
      </c>
      <c r="K254" s="22" t="n"/>
      <c r="L254" s="22">
        <f>", "&amp;C254&amp;", "</f>
        <v/>
      </c>
    </row>
    <row r="255" ht="15" customHeight="1" s="18">
      <c r="A255" s="29" t="inlineStr">
        <is>
          <t>Red ink</t>
        </is>
      </c>
      <c r="B255" s="29" t="inlineStr">
        <is>
          <t>Inks &amp; paints</t>
        </is>
      </c>
      <c r="C255" s="30" t="inlineStr">
        <is>
          <t>passion, courage, energy, love</t>
        </is>
      </c>
      <c r="D255" s="31" t="inlineStr">
        <is>
          <t>Body</t>
        </is>
      </c>
      <c r="E255" s="31" t="inlineStr">
        <is>
          <t>Strong</t>
        </is>
      </c>
      <c r="F255" s="30" t="inlineStr">
        <is>
          <t>For a letter that means every word and burns a little.</t>
        </is>
      </c>
      <c r="G255" s="29">
        <f>IF(OR(D255="—",D255="",K255=""),"",COUNTIF($J$2:$J$259,J255)-1)</f>
        <v/>
      </c>
      <c r="H255" s="31" t="n"/>
      <c r="I255" s="30" t="inlineStr">
        <is>
          <t>Same meaning as Red thread, Red paint. The spell type decides which medium.</t>
        </is>
      </c>
      <c r="J255" s="22">
        <f>K255&amp;"|"&amp;D255&amp;"|"&amp;E255</f>
        <v/>
      </c>
      <c r="K255" s="22" t="inlineStr">
        <is>
          <t>courage,energy,love,passion</t>
        </is>
      </c>
      <c r="L255" s="22">
        <f>", "&amp;C255&amp;", "</f>
        <v/>
      </c>
    </row>
    <row r="256" ht="23.25" customHeight="1" s="18">
      <c r="A256" s="29" t="inlineStr">
        <is>
          <t>Silver ink</t>
        </is>
      </c>
      <c r="B256" s="29" t="inlineStr">
        <is>
          <t>Inks &amp; paints</t>
        </is>
      </c>
      <c r="C256" s="30" t="inlineStr">
        <is>
          <t>intuition, dreams, connection, calm</t>
        </is>
      </c>
      <c r="D256" s="31" t="inlineStr">
        <is>
          <t>Mind</t>
        </is>
      </c>
      <c r="E256" s="31" t="inlineStr">
        <is>
          <t>Gentle</t>
        </is>
      </c>
      <c r="F256" s="30" t="inlineStr">
        <is>
          <t>Write a dream down in it before it fades.</t>
        </is>
      </c>
      <c r="G256" s="29">
        <f>IF(OR(D256="—",D256="",K256=""),"",COUNTIF($J$2:$J$259,J256)-1)</f>
        <v/>
      </c>
      <c r="H256" s="31" t="n"/>
      <c r="I256" s="30" t="inlineStr">
        <is>
          <t>Same meaning as Silver thread. The spell type decides which medium.</t>
        </is>
      </c>
      <c r="J256" s="22">
        <f>K256&amp;"|"&amp;D256&amp;"|"&amp;E256</f>
        <v/>
      </c>
      <c r="K256" s="22" t="inlineStr">
        <is>
          <t>calm,connection,dreams,intuition</t>
        </is>
      </c>
      <c r="L256" s="22">
        <f>", "&amp;C256&amp;", "</f>
        <v/>
      </c>
    </row>
    <row r="257" ht="23.25" customHeight="1" s="18">
      <c r="A257" s="29" t="inlineStr">
        <is>
          <t>Violet ink</t>
        </is>
      </c>
      <c r="B257" s="29" t="inlineStr">
        <is>
          <t>Inks &amp; paints</t>
        </is>
      </c>
      <c r="C257" s="30" t="inlineStr">
        <is>
          <t>intuition, transformation, wonder</t>
        </is>
      </c>
      <c r="D257" s="31" t="inlineStr">
        <is>
          <t>Mind</t>
        </is>
      </c>
      <c r="E257" s="31" t="inlineStr">
        <is>
          <t>Strong</t>
        </is>
      </c>
      <c r="F257" s="30" t="inlineStr">
        <is>
          <t>For a letter to the person you're becoming.</t>
        </is>
      </c>
      <c r="G257" s="29">
        <f>IF(OR(D257="—",D257="",K257=""),"",COUNTIF($J$2:$J$259,J257)-1)</f>
        <v/>
      </c>
      <c r="H257" s="31" t="n"/>
      <c r="I257" s="30" t="inlineStr">
        <is>
          <t>Same meaning as Purple thread. The spell type decides which medium.</t>
        </is>
      </c>
      <c r="J257" s="22">
        <f>K257&amp;"|"&amp;D257&amp;"|"&amp;E257</f>
        <v/>
      </c>
      <c r="K257" s="22" t="inlineStr">
        <is>
          <t>intuition,transformation,wonder</t>
        </is>
      </c>
      <c r="L257" s="22">
        <f>", "&amp;C257&amp;", "</f>
        <v/>
      </c>
    </row>
    <row r="258" ht="23.25" customHeight="1" s="18">
      <c r="A258" s="29" t="inlineStr">
        <is>
          <t>Gold paint</t>
        </is>
      </c>
      <c r="B258" s="29" t="inlineStr">
        <is>
          <t>Inks &amp; paints</t>
        </is>
      </c>
      <c r="C258" s="30" t="inlineStr">
        <is>
          <t>success, abundance, confidence, luck</t>
        </is>
      </c>
      <c r="D258" s="31" t="inlineStr">
        <is>
          <t>Space</t>
        </is>
      </c>
      <c r="E258" s="31" t="inlineStr">
        <is>
          <t>Strong</t>
        </is>
      </c>
      <c r="F258" s="30" t="inlineStr">
        <is>
          <t>Success, painted on.</t>
        </is>
      </c>
      <c r="G258" s="29">
        <f>IF(OR(D258="—",D258="",K258=""),"",COUNTIF($J$2:$J$259,J258)-1)</f>
        <v/>
      </c>
      <c r="H258" s="31" t="n"/>
      <c r="I258" s="30" t="inlineStr">
        <is>
          <t>Same meaning as Gold thread, Gold ink. The spell type decides which medium.</t>
        </is>
      </c>
      <c r="J258" s="22">
        <f>K258&amp;"|"&amp;D258&amp;"|"&amp;E258</f>
        <v/>
      </c>
      <c r="K258" s="22" t="inlineStr">
        <is>
          <t>abundance,confidence,luck,success</t>
        </is>
      </c>
      <c r="L258" s="22">
        <f>", "&amp;C258&amp;", "</f>
        <v/>
      </c>
    </row>
    <row r="259" ht="23.25" customHeight="1" s="18">
      <c r="A259" s="29" t="inlineStr">
        <is>
          <t>Red paint</t>
        </is>
      </c>
      <c r="B259" s="29" t="inlineStr">
        <is>
          <t>Inks &amp; paints</t>
        </is>
      </c>
      <c r="C259" s="30" t="inlineStr">
        <is>
          <t>passion, courage, energy, love</t>
        </is>
      </c>
      <c r="D259" s="31" t="inlineStr">
        <is>
          <t>Body</t>
        </is>
      </c>
      <c r="E259" s="31" t="inlineStr">
        <is>
          <t>Strong</t>
        </is>
      </c>
      <c r="F259" s="30" t="inlineStr">
        <is>
          <t>Bold strokes on a door or a drum.</t>
        </is>
      </c>
      <c r="G259" s="29">
        <f>IF(OR(D259="—",D259="",K259=""),"",COUNTIF($J$2:$J$259,J259)-1)</f>
        <v/>
      </c>
      <c r="H259" s="31" t="n"/>
      <c r="I259" s="30" t="inlineStr">
        <is>
          <t>Same meaning as Red thread, Red ink. The spell type decides which medium.</t>
        </is>
      </c>
      <c r="J259" s="22">
        <f>K259&amp;"|"&amp;D259&amp;"|"&amp;E259</f>
        <v/>
      </c>
      <c r="K259" s="22" t="inlineStr">
        <is>
          <t>courage,energy,love,passion</t>
        </is>
      </c>
      <c r="L259" s="22">
        <f>", "&amp;C259&amp;", "</f>
        <v/>
      </c>
    </row>
    <row r="260" ht="23.25" customHeight="1" s="18"/>
    <row r="261" ht="23.25" customHeight="1" s="18"/>
  </sheetData>
  <autoFilter ref="A1:I259"/>
  <dataValidations count="3">
    <dataValidation sqref="D2:D259" showDropDown="0" showInputMessage="0" showErrorMessage="0" allowBlank="1" type="list" errorStyle="stop" operator="between">
      <formula1>"Body,Mind,Space,—"</formula1>
      <formula2>0</formula2>
    </dataValidation>
    <dataValidation sqref="E2:E259" showDropDown="0" showInputMessage="0" showErrorMessage="0" allowBlank="1" type="list" errorStyle="stop" operator="between">
      <formula1>"Gentle,Strong,—"</formula1>
      <formula2>0</formula2>
    </dataValidation>
    <dataValidation sqref="H2:H259" showDropDown="0" showInputMessage="0" showErrorMessage="0" allowBlank="1" type="list" errorStyle="stop" operator="between">
      <formula1>"Review,OK"</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M2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 customWidth="1" style="17" min="1" max="1"/>
    <col width="18" customWidth="1" style="17" min="2" max="2"/>
    <col width="52" customWidth="1" style="17" min="3" max="3"/>
    <col width="15" customWidth="1" style="17" min="4" max="4"/>
    <col width="13" customWidth="1" style="17" min="5" max="5"/>
    <col width="8" customWidth="1" style="17" min="6" max="6"/>
    <col width="9" customWidth="1" style="17" min="7" max="7"/>
    <col width="16" customWidth="1" style="17" min="8" max="8"/>
    <col width="40" customWidth="1" style="17" min="9" max="9"/>
    <col width="10" customWidth="1" style="17" min="10" max="10"/>
    <col width="9" customWidth="1" style="17" min="11" max="11"/>
    <col width="10" customWidth="1" style="17" min="12" max="12"/>
    <col width="40" customWidth="1" style="17" min="13" max="13"/>
  </cols>
  <sheetData>
    <row r="1" ht="15" customHeight="1" s="18">
      <c r="A1" s="21" t="inlineStr">
        <is>
          <t>#</t>
        </is>
      </c>
      <c r="B1" s="21" t="inlineStr">
        <is>
          <t>Asker</t>
        </is>
      </c>
      <c r="C1" s="21" t="inlineStr">
        <is>
          <t>Question</t>
        </is>
      </c>
      <c r="D1" s="21" t="inlineStr">
        <is>
          <t>Asks for</t>
        </is>
      </c>
      <c r="E1" s="21" t="inlineStr">
        <is>
          <t>Keyword</t>
        </is>
      </c>
      <c r="F1" s="21" t="inlineStr">
        <is>
          <t>Target</t>
        </is>
      </c>
      <c r="G1" s="21" t="inlineStr">
        <is>
          <t>Strength</t>
        </is>
      </c>
      <c r="H1" s="21" t="inlineStr">
        <is>
          <t>Perfect answer</t>
        </is>
      </c>
      <c r="I1" s="21" t="inlineStr">
        <is>
          <t>Clue words</t>
        </is>
      </c>
      <c r="J1" s="21" t="inlineStr">
        <is>
          <t>Perfect matches</t>
        </is>
      </c>
      <c r="K1" s="21" t="inlineStr">
        <is>
          <t>Answer fits?</t>
        </is>
      </c>
      <c r="L1" s="21" t="inlineStr">
        <is>
          <t>Good answers (#)</t>
        </is>
      </c>
      <c r="M1" s="21" t="inlineStr">
        <is>
          <t>Good answers (names)</t>
        </is>
      </c>
    </row>
    <row r="2" ht="23.25" customHeight="1" s="18">
      <c r="A2" s="29" t="n">
        <v>1</v>
      </c>
      <c r="B2" s="31" t="inlineStr">
        <is>
          <t>Rosalind</t>
        </is>
      </c>
      <c r="C2" s="32" t="inlineStr">
        <is>
          <t>My youngest scraped a hand on the garden wall. Which herb helps it heal? Nothing that stings.</t>
        </is>
      </c>
      <c r="D2" s="31" t="inlineStr">
        <is>
          <t>Herbs &amp; flowers</t>
        </is>
      </c>
      <c r="E2" s="31" t="inlineStr">
        <is>
          <t>healing</t>
        </is>
      </c>
      <c r="F2" s="31" t="inlineStr">
        <is>
          <t>Body</t>
        </is>
      </c>
      <c r="G2" s="31" t="inlineStr">
        <is>
          <t>Gentle</t>
        </is>
      </c>
      <c r="H2" s="31" t="inlineStr">
        <is>
          <t>Calendula</t>
        </is>
      </c>
      <c r="I2" s="32" t="inlineStr">
        <is>
          <t>"heal" = healing; a hand = Body; "nothing that stings" = Gentle</t>
        </is>
      </c>
      <c r="J2" s="29">
        <f>COUNTIFS('Ingredient Feel'!$L$2:$L$259,"*, "&amp;E2&amp;", *",'Ingredient Feel'!$B$2:$B$259,D2,'Ingredient Feel'!$D$2:$D$259,F2,'Ingredient Feel'!$E$2:$E$259,G2)</f>
        <v/>
      </c>
      <c r="K2" s="29">
        <f>IF(COUNTIFS('Ingredient Feel'!$A$2:$A$259,H2,'Ingredient Feel'!$L$2:$L$259,"*, "&amp;E2&amp;", *",'Ingredient Feel'!$D$2:$D$259,F2,'Ingredient Feel'!$E$2:$E$259,G2)=1,"Yes","No")</f>
        <v/>
      </c>
      <c r="L2" s="29">
        <f>COUNTIFS('Ingredient Feel'!$L$2:$L$259,"*, "&amp;E2&amp;", *",'Ingredient Feel'!$B$2:$B$259,D2)-J2</f>
        <v/>
      </c>
      <c r="M2" s="30" t="inlineStr">
        <is>
          <t>Angelica root, Chamomile, Dandelion root, Eucalyptus, Lemon balm, Nettle, Rose, Seaweed</t>
        </is>
      </c>
    </row>
    <row r="3" ht="23.25" customHeight="1" s="18">
      <c r="A3" s="29" t="n">
        <v>2</v>
      </c>
      <c r="B3" s="31" t="inlineStr">
        <is>
          <t>Parent with children</t>
        </is>
      </c>
      <c r="C3" s="32" t="inlineStr">
        <is>
          <t>My husband hasn't slept properly in a week. Is there a herb that will actually knock him out?</t>
        </is>
      </c>
      <c r="D3" s="31" t="inlineStr">
        <is>
          <t>Herbs &amp; flowers</t>
        </is>
      </c>
      <c r="E3" s="31" t="inlineStr">
        <is>
          <t>sleep</t>
        </is>
      </c>
      <c r="F3" s="31" t="inlineStr">
        <is>
          <t>Body</t>
        </is>
      </c>
      <c r="G3" s="31" t="inlineStr">
        <is>
          <t>Strong</t>
        </is>
      </c>
      <c r="H3" s="31" t="inlineStr">
        <is>
          <t>Valerian</t>
        </is>
      </c>
      <c r="I3" s="32" t="inlineStr">
        <is>
          <t>"slept" = sleep; tired body; "knock him out" = Strong</t>
        </is>
      </c>
      <c r="J3" s="29">
        <f>COUNTIFS('Ingredient Feel'!$L$2:$L$259,"*, "&amp;E3&amp;", *",'Ingredient Feel'!$B$2:$B$259,D3,'Ingredient Feel'!$D$2:$D$259,F3,'Ingredient Feel'!$E$2:$E$259,G3)</f>
        <v/>
      </c>
      <c r="K3" s="29">
        <f>IF(COUNTIFS('Ingredient Feel'!$A$2:$A$259,H3,'Ingredient Feel'!$L$2:$L$259,"*, "&amp;E3&amp;", *",'Ingredient Feel'!$D$2:$D$259,F3,'Ingredient Feel'!$E$2:$E$259,G3)=1,"Yes","No")</f>
        <v/>
      </c>
      <c r="L3" s="29">
        <f>COUNTIFS('Ingredient Feel'!$L$2:$L$259,"*, "&amp;E3&amp;", *",'Ingredient Feel'!$B$2:$B$259,D3)-J3</f>
        <v/>
      </c>
      <c r="M3" s="30" t="inlineStr">
        <is>
          <t>Chamomile, Hops, Lavender</t>
        </is>
      </c>
    </row>
    <row r="4" ht="23.25" customHeight="1" s="18">
      <c r="A4" s="29" t="n">
        <v>3</v>
      </c>
      <c r="B4" s="31" t="inlineStr">
        <is>
          <t>Walk-in</t>
        </is>
      </c>
      <c r="C4" s="32" t="inlineStr">
        <is>
          <t>I've just woken from a long nap and feel like cotton wool. Something to freshen me up, but not too sharp?</t>
        </is>
      </c>
      <c r="D4" s="31" t="inlineStr">
        <is>
          <t>Herbs &amp; flowers</t>
        </is>
      </c>
      <c r="E4" s="31" t="inlineStr">
        <is>
          <t>energy</t>
        </is>
      </c>
      <c r="F4" s="31" t="inlineStr">
        <is>
          <t>Body</t>
        </is>
      </c>
      <c r="G4" s="31" t="inlineStr">
        <is>
          <t>Gentle</t>
        </is>
      </c>
      <c r="H4" s="31" t="inlineStr">
        <is>
          <t>Mint</t>
        </is>
      </c>
      <c r="I4" s="32" t="inlineStr">
        <is>
          <t>"freshen me up" = energy; groggy body; "not too sharp" = Gentle</t>
        </is>
      </c>
      <c r="J4" s="29">
        <f>COUNTIFS('Ingredient Feel'!$L$2:$L$259,"*, "&amp;E4&amp;", *",'Ingredient Feel'!$B$2:$B$259,D4,'Ingredient Feel'!$D$2:$D$259,F4,'Ingredient Feel'!$E$2:$E$259,G4)</f>
        <v/>
      </c>
      <c r="K4" s="29">
        <f>IF(COUNTIFS('Ingredient Feel'!$A$2:$A$259,H4,'Ingredient Feel'!$L$2:$L$259,"*, "&amp;E4&amp;", *",'Ingredient Feel'!$D$2:$D$259,F4,'Ingredient Feel'!$E$2:$E$259,G4)=1,"Yes","No")</f>
        <v/>
      </c>
      <c r="L4" s="29">
        <f>COUNTIFS('Ingredient Feel'!$L$2:$L$259,"*, "&amp;E4&amp;", *",'Ingredient Feel'!$B$2:$B$259,D4)-J4</f>
        <v/>
      </c>
      <c r="M4" s="30" t="inlineStr">
        <is>
          <t>Lemongrass, Peppermint, Black tea</t>
        </is>
      </c>
    </row>
    <row r="5" ht="23.25" customHeight="1" s="18">
      <c r="A5" s="29" t="n">
        <v>4</v>
      </c>
      <c r="B5" s="31" t="inlineStr">
        <is>
          <t>Noor</t>
        </is>
      </c>
      <c r="C5" s="32" t="inlineStr">
        <is>
          <t>I've got a presentation in an hour and my head is mush. What wakes up the brain, fast?</t>
        </is>
      </c>
      <c r="D5" s="31" t="inlineStr">
        <is>
          <t>Herbs &amp; flowers</t>
        </is>
      </c>
      <c r="E5" s="31" t="inlineStr">
        <is>
          <t>energy</t>
        </is>
      </c>
      <c r="F5" s="31" t="inlineStr">
        <is>
          <t>Mind</t>
        </is>
      </c>
      <c r="G5" s="31" t="inlineStr">
        <is>
          <t>Strong</t>
        </is>
      </c>
      <c r="H5" s="31" t="inlineStr">
        <is>
          <t>Peppermint</t>
        </is>
      </c>
      <c r="I5" s="32" t="inlineStr">
        <is>
          <t>"wakes up" = energy; "the brain" = Mind; "fast" = Strong</t>
        </is>
      </c>
      <c r="J5" s="29">
        <f>COUNTIFS('Ingredient Feel'!$L$2:$L$259,"*, "&amp;E5&amp;", *",'Ingredient Feel'!$B$2:$B$259,D5,'Ingredient Feel'!$D$2:$D$259,F5,'Ingredient Feel'!$E$2:$E$259,G5)</f>
        <v/>
      </c>
      <c r="K5" s="29">
        <f>IF(COUNTIFS('Ingredient Feel'!$A$2:$A$259,H5,'Ingredient Feel'!$L$2:$L$259,"*, "&amp;E5&amp;", *",'Ingredient Feel'!$D$2:$D$259,F5,'Ingredient Feel'!$E$2:$E$259,G5)=1,"Yes","No")</f>
        <v/>
      </c>
      <c r="L5" s="29">
        <f>COUNTIFS('Ingredient Feel'!$L$2:$L$259,"*, "&amp;E5&amp;", *",'Ingredient Feel'!$B$2:$B$259,D5)-J5</f>
        <v/>
      </c>
      <c r="M5" s="30" t="inlineStr">
        <is>
          <t>Lemongrass, Mint, Black tea</t>
        </is>
      </c>
    </row>
    <row r="6" ht="23.25" customHeight="1" s="18">
      <c r="A6" s="29" t="n">
        <v>5</v>
      </c>
      <c r="B6" s="31" t="inlineStr">
        <is>
          <t>Walk-in</t>
        </is>
      </c>
      <c r="C6" s="32" t="inlineStr">
        <is>
          <t>I want to go really deep when I meditate. Which flower quiets the mind all the way down?</t>
        </is>
      </c>
      <c r="D6" s="31" t="inlineStr">
        <is>
          <t>Herbs &amp; flowers</t>
        </is>
      </c>
      <c r="E6" s="31" t="inlineStr">
        <is>
          <t>calm</t>
        </is>
      </c>
      <c r="F6" s="31" t="inlineStr">
        <is>
          <t>Mind</t>
        </is>
      </c>
      <c r="G6" s="31" t="inlineStr">
        <is>
          <t>Strong</t>
        </is>
      </c>
      <c r="H6" s="31" t="inlineStr">
        <is>
          <t>Lotus</t>
        </is>
      </c>
      <c r="I6" s="32" t="inlineStr">
        <is>
          <t>"quiets" = calm; "the mind" = Mind; "really deep, all the way" = Strong</t>
        </is>
      </c>
      <c r="J6" s="29">
        <f>COUNTIFS('Ingredient Feel'!$L$2:$L$259,"*, "&amp;E6&amp;", *",'Ingredient Feel'!$B$2:$B$259,D6,'Ingredient Feel'!$D$2:$D$259,F6,'Ingredient Feel'!$E$2:$E$259,G6)</f>
        <v/>
      </c>
      <c r="K6" s="29">
        <f>IF(COUNTIFS('Ingredient Feel'!$A$2:$A$259,H6,'Ingredient Feel'!$L$2:$L$259,"*, "&amp;E6&amp;", *",'Ingredient Feel'!$D$2:$D$259,F6,'Ingredient Feel'!$E$2:$E$259,G6)=1,"Yes","No")</f>
        <v/>
      </c>
      <c r="L6" s="29">
        <f>COUNTIFS('Ingredient Feel'!$L$2:$L$259,"*, "&amp;E6&amp;", *",'Ingredient Feel'!$B$2:$B$259,D6)-J6</f>
        <v/>
      </c>
      <c r="M6" s="30" t="inlineStr">
        <is>
          <t>Chamomile, Cornflower, Hops, Lavender, Lemon balm, Mint, Valerian, White lily</t>
        </is>
      </c>
    </row>
    <row r="7" ht="23.25" customHeight="1" s="18">
      <c r="A7" s="29" t="n">
        <v>6</v>
      </c>
      <c r="B7" s="31" t="inlineStr">
        <is>
          <t>Walk-in</t>
        </is>
      </c>
      <c r="C7" s="32" t="inlineStr">
        <is>
          <t>Our old dog died last week. Is there a herb that helps you let go, gently?</t>
        </is>
      </c>
      <c r="D7" s="31" t="inlineStr">
        <is>
          <t>Herbs &amp; flowers</t>
        </is>
      </c>
      <c r="E7" s="31" t="inlineStr">
        <is>
          <t>release</t>
        </is>
      </c>
      <c r="F7" s="31" t="inlineStr">
        <is>
          <t>Mind</t>
        </is>
      </c>
      <c r="G7" s="31" t="inlineStr">
        <is>
          <t>Gentle</t>
        </is>
      </c>
      <c r="H7" s="31" t="inlineStr">
        <is>
          <t>Cypress</t>
        </is>
      </c>
      <c r="I7" s="32" t="inlineStr">
        <is>
          <t>"let go" = release; grief = Mind; "gently" = Gentle</t>
        </is>
      </c>
      <c r="J7" s="29">
        <f>COUNTIFS('Ingredient Feel'!$L$2:$L$259,"*, "&amp;E7&amp;", *",'Ingredient Feel'!$B$2:$B$259,D7,'Ingredient Feel'!$D$2:$D$259,F7,'Ingredient Feel'!$E$2:$E$259,G7)</f>
        <v/>
      </c>
      <c r="K7" s="29">
        <f>IF(COUNTIFS('Ingredient Feel'!$A$2:$A$259,H7,'Ingredient Feel'!$L$2:$L$259,"*, "&amp;E7&amp;", *",'Ingredient Feel'!$D$2:$D$259,F7,'Ingredient Feel'!$E$2:$E$259,G7)=1,"Yes","No")</f>
        <v/>
      </c>
      <c r="L7" s="29">
        <f>COUNTIFS('Ingredient Feel'!$L$2:$L$259,"*, "&amp;E7&amp;", *",'Ingredient Feel'!$B$2:$B$259,D7)-J7</f>
        <v/>
      </c>
      <c r="M7" s="30" t="inlineStr">
        <is>
          <t>Angelica root, Bay leaf, Dandelion root, Eucalyptus, Rose thorns, Seaweed, Willow bark</t>
        </is>
      </c>
    </row>
    <row r="8" ht="23.25" customHeight="1" s="18">
      <c r="A8" s="29" t="n">
        <v>7</v>
      </c>
      <c r="B8" s="31" t="inlineStr">
        <is>
          <t>Walk-in</t>
        </is>
      </c>
      <c r="C8" s="32" t="inlineStr">
        <is>
          <t>This cold has my chest completely blocked. What clears it out?</t>
        </is>
      </c>
      <c r="D8" s="31" t="inlineStr">
        <is>
          <t>Herbs &amp; flowers</t>
        </is>
      </c>
      <c r="E8" s="31" t="inlineStr">
        <is>
          <t>cleansing</t>
        </is>
      </c>
      <c r="F8" s="31" t="inlineStr">
        <is>
          <t>Body</t>
        </is>
      </c>
      <c r="G8" s="31" t="inlineStr">
        <is>
          <t>Strong</t>
        </is>
      </c>
      <c r="H8" s="31" t="inlineStr">
        <is>
          <t>Eucalyptus</t>
        </is>
      </c>
      <c r="I8" s="32" t="inlineStr">
        <is>
          <t>"clears it out" = cleansing; chest = Body; "completely blocked" = Strong</t>
        </is>
      </c>
      <c r="J8" s="29">
        <f>COUNTIFS('Ingredient Feel'!$L$2:$L$259,"*, "&amp;E8&amp;", *",'Ingredient Feel'!$B$2:$B$259,D8,'Ingredient Feel'!$D$2:$D$259,F8,'Ingredient Feel'!$E$2:$E$259,G8)</f>
        <v/>
      </c>
      <c r="K8" s="29">
        <f>IF(COUNTIFS('Ingredient Feel'!$A$2:$A$259,H8,'Ingredient Feel'!$L$2:$L$259,"*, "&amp;E8&amp;", *",'Ingredient Feel'!$D$2:$D$259,F8,'Ingredient Feel'!$E$2:$E$259,G8)=1,"Yes","No")</f>
        <v/>
      </c>
      <c r="L8" s="29">
        <f>COUNTIFS('Ingredient Feel'!$L$2:$L$259,"*, "&amp;E8&amp;", *",'Ingredient Feel'!$B$2:$B$259,D8)-J8</f>
        <v/>
      </c>
      <c r="M8" s="30" t="inlineStr">
        <is>
          <t>Dandelion root, Garden sage, Lavender, Mint, Rosemary, Cedar, Juniper</t>
        </is>
      </c>
    </row>
    <row r="9" ht="23.25" customHeight="1" s="18">
      <c r="A9" s="29" t="n">
        <v>8</v>
      </c>
      <c r="B9" s="31" t="inlineStr">
        <is>
          <t>Edmund</t>
        </is>
      </c>
      <c r="C9" s="32" t="inlineStr">
        <is>
          <t>My brother keeps forgetting names. Something properly strong for the memory?</t>
        </is>
      </c>
      <c r="D9" s="31" t="inlineStr">
        <is>
          <t>Herbs &amp; flowers</t>
        </is>
      </c>
      <c r="E9" s="31" t="inlineStr">
        <is>
          <t>memory</t>
        </is>
      </c>
      <c r="F9" s="31" t="inlineStr">
        <is>
          <t>Mind</t>
        </is>
      </c>
      <c r="G9" s="31" t="inlineStr">
        <is>
          <t>Strong</t>
        </is>
      </c>
      <c r="H9" s="31" t="inlineStr">
        <is>
          <t>Rosemary</t>
        </is>
      </c>
      <c r="I9" s="32" t="inlineStr">
        <is>
          <t>"memory" = memory; names = Mind; "properly strong" = Strong</t>
        </is>
      </c>
      <c r="J9" s="29">
        <f>COUNTIFS('Ingredient Feel'!$L$2:$L$259,"*, "&amp;E9&amp;", *",'Ingredient Feel'!$B$2:$B$259,D9,'Ingredient Feel'!$D$2:$D$259,F9,'Ingredient Feel'!$E$2:$E$259,G9)</f>
        <v/>
      </c>
      <c r="K9" s="29">
        <f>IF(COUNTIFS('Ingredient Feel'!$A$2:$A$259,H9,'Ingredient Feel'!$L$2:$L$259,"*, "&amp;E9&amp;", *",'Ingredient Feel'!$D$2:$D$259,F9,'Ingredient Feel'!$E$2:$E$259,G9)=1,"Yes","No")</f>
        <v/>
      </c>
      <c r="L9" s="29">
        <f>COUNTIFS('Ingredient Feel'!$L$2:$L$259,"*, "&amp;E9&amp;", *",'Ingredient Feel'!$B$2:$B$259,D9)-J9</f>
        <v/>
      </c>
      <c r="M9" s="30" t="inlineStr">
        <is>
          <t>Lilac, Pressed moon petals</t>
        </is>
      </c>
    </row>
    <row r="10" ht="23.25" customHeight="1" s="18">
      <c r="A10" s="29" t="n">
        <v>9</v>
      </c>
      <c r="B10" s="31" t="inlineStr">
        <is>
          <t>Couple</t>
        </is>
      </c>
      <c r="C10" s="32" t="inlineStr">
        <is>
          <t>I'm writing a love letter. Which herb makes the words impossible to resist?</t>
        </is>
      </c>
      <c r="D10" s="31" t="inlineStr">
        <is>
          <t>Herbs &amp; flowers</t>
        </is>
      </c>
      <c r="E10" s="31" t="inlineStr">
        <is>
          <t>love</t>
        </is>
      </c>
      <c r="F10" s="31" t="inlineStr">
        <is>
          <t>Mind</t>
        </is>
      </c>
      <c r="G10" s="31" t="inlineStr">
        <is>
          <t>Strong</t>
        </is>
      </c>
      <c r="H10" s="31" t="inlineStr">
        <is>
          <t>Orris root</t>
        </is>
      </c>
      <c r="I10" s="32" t="inlineStr">
        <is>
          <t>"love letter" = love; words = Mind; "impossible to resist" = Strong</t>
        </is>
      </c>
      <c r="J10" s="29">
        <f>COUNTIFS('Ingredient Feel'!$L$2:$L$259,"*, "&amp;E10&amp;", *",'Ingredient Feel'!$B$2:$B$259,D10,'Ingredient Feel'!$D$2:$D$259,F10,'Ingredient Feel'!$E$2:$E$259,G10)</f>
        <v/>
      </c>
      <c r="K10" s="29">
        <f>IF(COUNTIFS('Ingredient Feel'!$A$2:$A$259,H10,'Ingredient Feel'!$L$2:$L$259,"*, "&amp;E10&amp;", *",'Ingredient Feel'!$D$2:$D$259,F10,'Ingredient Feel'!$E$2:$E$259,G10)=1,"Yes","No")</f>
        <v/>
      </c>
      <c r="L10" s="29">
        <f>COUNTIFS('Ingredient Feel'!$L$2:$L$259,"*, "&amp;E10&amp;", *",'Ingredient Feel'!$B$2:$B$259,D10)-J10</f>
        <v/>
      </c>
      <c r="M10" s="30" t="inlineStr">
        <is>
          <t>Hibiscus, Lavender, Rose petals, Rosebud</t>
        </is>
      </c>
    </row>
    <row r="11" ht="23.25" customHeight="1" s="18">
      <c r="A11" s="29" t="n">
        <v>10</v>
      </c>
      <c r="B11" s="31" t="inlineStr">
        <is>
          <t>Couple</t>
        </is>
      </c>
      <c r="C11" s="32" t="inlineStr">
        <is>
          <t>We've been married twenty years. Something to bring the heat back?</t>
        </is>
      </c>
      <c r="D11" s="31" t="inlineStr">
        <is>
          <t>Herbs &amp; flowers</t>
        </is>
      </c>
      <c r="E11" s="31" t="inlineStr">
        <is>
          <t>love</t>
        </is>
      </c>
      <c r="F11" s="31" t="inlineStr">
        <is>
          <t>Body</t>
        </is>
      </c>
      <c r="G11" s="31" t="inlineStr">
        <is>
          <t>Strong</t>
        </is>
      </c>
      <c r="H11" s="31" t="inlineStr">
        <is>
          <t>Hibiscus</t>
        </is>
      </c>
      <c r="I11" s="32" t="inlineStr">
        <is>
          <t>romance = love; "heat" = Body; "bring the heat back" = Strong</t>
        </is>
      </c>
      <c r="J11" s="29">
        <f>COUNTIFS('Ingredient Feel'!$L$2:$L$259,"*, "&amp;E11&amp;", *",'Ingredient Feel'!$B$2:$B$259,D11,'Ingredient Feel'!$D$2:$D$259,F11,'Ingredient Feel'!$E$2:$E$259,G11)</f>
        <v/>
      </c>
      <c r="K11" s="29">
        <f>IF(COUNTIFS('Ingredient Feel'!$A$2:$A$259,H11,'Ingredient Feel'!$L$2:$L$259,"*, "&amp;E11&amp;", *",'Ingredient Feel'!$D$2:$D$259,F11,'Ingredient Feel'!$E$2:$E$259,G11)=1,"Yes","No")</f>
        <v/>
      </c>
      <c r="L11" s="29">
        <f>COUNTIFS('Ingredient Feel'!$L$2:$L$259,"*, "&amp;E11&amp;", *",'Ingredient Feel'!$B$2:$B$259,D11)-J11</f>
        <v/>
      </c>
      <c r="M11" s="30" t="inlineStr">
        <is>
          <t>Lavender, Orris root, Rose petals, Rosebud</t>
        </is>
      </c>
    </row>
    <row r="12" ht="23.25" customHeight="1" s="18">
      <c r="A12" s="29" t="n">
        <v>11</v>
      </c>
      <c r="B12" s="31" t="inlineStr">
        <is>
          <t>Walk-in</t>
        </is>
      </c>
      <c r="C12" s="32" t="inlineStr">
        <is>
          <t>My son is backpacking for a month. A gentle herb to keep him safe on the road?</t>
        </is>
      </c>
      <c r="D12" s="31" t="inlineStr">
        <is>
          <t>Herbs &amp; flowers</t>
        </is>
      </c>
      <c r="E12" s="31" t="inlineStr">
        <is>
          <t>protection</t>
        </is>
      </c>
      <c r="F12" s="31" t="inlineStr">
        <is>
          <t>Space</t>
        </is>
      </c>
      <c r="G12" s="31" t="inlineStr">
        <is>
          <t>Gentle</t>
        </is>
      </c>
      <c r="H12" s="31" t="inlineStr">
        <is>
          <t>Comfrey leaf</t>
        </is>
      </c>
      <c r="I12" s="32" t="inlineStr">
        <is>
          <t>"keep him safe" = protection; "on the road" = Space; "gentle" = Gentle</t>
        </is>
      </c>
      <c r="J12" s="29">
        <f>COUNTIFS('Ingredient Feel'!$L$2:$L$259,"*, "&amp;E12&amp;", *",'Ingredient Feel'!$B$2:$B$259,D12,'Ingredient Feel'!$D$2:$D$259,F12,'Ingredient Feel'!$E$2:$E$259,G12)</f>
        <v/>
      </c>
      <c r="K12" s="29">
        <f>IF(COUNTIFS('Ingredient Feel'!$A$2:$A$259,H12,'Ingredient Feel'!$L$2:$L$259,"*, "&amp;E12&amp;", *",'Ingredient Feel'!$D$2:$D$259,F12,'Ingredient Feel'!$E$2:$E$259,G12)=1,"Yes","No")</f>
        <v/>
      </c>
      <c r="L12" s="29">
        <f>COUNTIFS('Ingredient Feel'!$L$2:$L$259,"*, "&amp;E12&amp;", *",'Ingredient Feel'!$B$2:$B$259,D12)-J12</f>
        <v/>
      </c>
      <c r="M12" s="30" t="inlineStr">
        <is>
          <t>Angelica root, Bay leaf, Garden sage, Mugwort, Rosemary, Rue, Cedar, Juniper</t>
        </is>
      </c>
    </row>
    <row r="13" ht="23.25" customHeight="1" s="18">
      <c r="A13" s="29" t="n">
        <v>12</v>
      </c>
      <c r="B13" s="31" t="inlineStr">
        <is>
          <t>Walk-in</t>
        </is>
      </c>
      <c r="C13" s="32" t="inlineStr">
        <is>
          <t>Since Gran was ill the whole house feels sick. What drives that out?</t>
        </is>
      </c>
      <c r="D13" s="31" t="inlineStr">
        <is>
          <t>Herbs &amp; flowers</t>
        </is>
      </c>
      <c r="E13" s="31" t="inlineStr">
        <is>
          <t>healing</t>
        </is>
      </c>
      <c r="F13" s="31" t="inlineStr">
        <is>
          <t>Space</t>
        </is>
      </c>
      <c r="G13" s="31" t="inlineStr">
        <is>
          <t>Strong</t>
        </is>
      </c>
      <c r="H13" s="31" t="inlineStr">
        <is>
          <t>Angelica root</t>
        </is>
      </c>
      <c r="I13" s="32" t="inlineStr">
        <is>
          <t>"feels sick" = healing; "the whole house" = Space; "drives that out" = Strong</t>
        </is>
      </c>
      <c r="J13" s="29">
        <f>COUNTIFS('Ingredient Feel'!$L$2:$L$259,"*, "&amp;E13&amp;", *",'Ingredient Feel'!$B$2:$B$259,D13,'Ingredient Feel'!$D$2:$D$259,F13,'Ingredient Feel'!$E$2:$E$259,G13)</f>
        <v/>
      </c>
      <c r="K13" s="29">
        <f>IF(COUNTIFS('Ingredient Feel'!$A$2:$A$259,H13,'Ingredient Feel'!$L$2:$L$259,"*, "&amp;E13&amp;", *",'Ingredient Feel'!$D$2:$D$259,F13,'Ingredient Feel'!$E$2:$E$259,G13)=1,"Yes","No")</f>
        <v/>
      </c>
      <c r="L13" s="29">
        <f>COUNTIFS('Ingredient Feel'!$L$2:$L$259,"*, "&amp;E13&amp;", *",'Ingredient Feel'!$B$2:$B$259,D13)-J13</f>
        <v/>
      </c>
      <c r="M13" s="30" t="inlineStr">
        <is>
          <t>Calendula, Chamomile, Dandelion root, Eucalyptus, Lemon balm, Nettle, Rose, Seaweed</t>
        </is>
      </c>
    </row>
    <row r="14" ht="23.25" customHeight="1" s="18">
      <c r="A14" s="29" t="n">
        <v>13</v>
      </c>
      <c r="B14" s="31" t="inlineStr">
        <is>
          <t>Walk-in</t>
        </is>
      </c>
      <c r="C14" s="32" t="inlineStr">
        <is>
          <t>I've made a new friend at work. A little flower to say so, nothing too much?</t>
        </is>
      </c>
      <c r="D14" s="31" t="inlineStr">
        <is>
          <t>Herbs &amp; flowers</t>
        </is>
      </c>
      <c r="E14" s="31" t="inlineStr">
        <is>
          <t>friendship</t>
        </is>
      </c>
      <c r="F14" s="31" t="inlineStr">
        <is>
          <t>Mind</t>
        </is>
      </c>
      <c r="G14" s="31" t="inlineStr">
        <is>
          <t>Gentle</t>
        </is>
      </c>
      <c r="H14" s="31" t="inlineStr">
        <is>
          <t>Daisy</t>
        </is>
      </c>
      <c r="I14" s="32" t="inlineStr">
        <is>
          <t>"friend" = friendship; a feeling to share = Mind; "nothing too much" = Gentle</t>
        </is>
      </c>
      <c r="J14" s="29">
        <f>COUNTIFS('Ingredient Feel'!$L$2:$L$259,"*, "&amp;E14&amp;", *",'Ingredient Feel'!$B$2:$B$259,D14,'Ingredient Feel'!$D$2:$D$259,F14,'Ingredient Feel'!$E$2:$E$259,G14)</f>
        <v/>
      </c>
      <c r="K14" s="29">
        <f>IF(COUNTIFS('Ingredient Feel'!$A$2:$A$259,H14,'Ingredient Feel'!$L$2:$L$259,"*, "&amp;E14&amp;", *",'Ingredient Feel'!$D$2:$D$259,F14,'Ingredient Feel'!$E$2:$E$259,G14)=1,"Yes","No")</f>
        <v/>
      </c>
      <c r="L14" s="29">
        <f>COUNTIFS('Ingredient Feel'!$L$2:$L$259,"*, "&amp;E14&amp;", *",'Ingredient Feel'!$B$2:$B$259,D14)-J14</f>
        <v/>
      </c>
      <c r="M14" s="30" t="inlineStr">
        <is>
          <t>Clover, Sweet pea</t>
        </is>
      </c>
    </row>
    <row r="15" ht="23.25" customHeight="1" s="18">
      <c r="A15" s="29" t="n">
        <v>14</v>
      </c>
      <c r="B15" s="31" t="inlineStr">
        <is>
          <t>Walk-in</t>
        </is>
      </c>
      <c r="C15" s="32" t="inlineStr">
        <is>
          <t>Our neighbours fed us for a week when the baby came. What herb says thank you to a whole household?</t>
        </is>
      </c>
      <c r="D15" s="31" t="inlineStr">
        <is>
          <t>Herbs &amp; flowers</t>
        </is>
      </c>
      <c r="E15" s="31" t="inlineStr">
        <is>
          <t>gratitude</t>
        </is>
      </c>
      <c r="F15" s="31" t="inlineStr">
        <is>
          <t>Space</t>
        </is>
      </c>
      <c r="G15" s="31" t="inlineStr">
        <is>
          <t>Gentle</t>
        </is>
      </c>
      <c r="H15" s="31" t="inlineStr">
        <is>
          <t>Wheat</t>
        </is>
      </c>
      <c r="I15" s="32" t="inlineStr">
        <is>
          <t>"thank you" = gratitude; "a whole household" = Space; a soft gift = Gentle</t>
        </is>
      </c>
      <c r="J15" s="29">
        <f>COUNTIFS('Ingredient Feel'!$L$2:$L$259,"*, "&amp;E15&amp;", *",'Ingredient Feel'!$B$2:$B$259,D15,'Ingredient Feel'!$D$2:$D$259,F15,'Ingredient Feel'!$E$2:$E$259,G15)</f>
        <v/>
      </c>
      <c r="K15" s="29">
        <f>IF(COUNTIFS('Ingredient Feel'!$A$2:$A$259,H15,'Ingredient Feel'!$L$2:$L$259,"*, "&amp;E15&amp;", *",'Ingredient Feel'!$D$2:$D$259,F15,'Ingredient Feel'!$E$2:$E$259,G15)=1,"Yes","No")</f>
        <v/>
      </c>
      <c r="L15" s="29">
        <f>COUNTIFS('Ingredient Feel'!$L$2:$L$259,"*, "&amp;E15&amp;", *",'Ingredient Feel'!$B$2:$B$259,D15)-J15</f>
        <v/>
      </c>
      <c r="M15" s="30" t="inlineStr">
        <is>
          <t>Pressed moon petals, Autumn leaf</t>
        </is>
      </c>
    </row>
    <row r="16" ht="23.25" customHeight="1" s="18">
      <c r="A16" s="29" t="n">
        <v>15</v>
      </c>
      <c r="B16" s="31" t="inlineStr">
        <is>
          <t>Walk-in</t>
        </is>
      </c>
      <c r="C16" s="32" t="inlineStr">
        <is>
          <t>We've just bought a house. Which herb guards a home best? I want it strong.</t>
        </is>
      </c>
      <c r="D16" s="31" t="inlineStr">
        <is>
          <t>Herbs &amp; flowers</t>
        </is>
      </c>
      <c r="E16" s="31" t="inlineStr">
        <is>
          <t>home</t>
        </is>
      </c>
      <c r="F16" s="31" t="inlineStr">
        <is>
          <t>Space</t>
        </is>
      </c>
      <c r="G16" s="31" t="inlineStr">
        <is>
          <t>Strong</t>
        </is>
      </c>
      <c r="H16" s="31" t="inlineStr">
        <is>
          <t>Cedar</t>
        </is>
      </c>
      <c r="I16" s="32" t="inlineStr">
        <is>
          <t>"a home" = home; the house itself = Space; "strong" = Strong</t>
        </is>
      </c>
      <c r="J16" s="29">
        <f>COUNTIFS('Ingredient Feel'!$L$2:$L$259,"*, "&amp;E16&amp;", *",'Ingredient Feel'!$B$2:$B$259,D16,'Ingredient Feel'!$D$2:$D$259,F16,'Ingredient Feel'!$E$2:$E$259,G16)</f>
        <v/>
      </c>
      <c r="K16" s="29">
        <f>IF(COUNTIFS('Ingredient Feel'!$A$2:$A$259,H16,'Ingredient Feel'!$L$2:$L$259,"*, "&amp;E16&amp;", *",'Ingredient Feel'!$D$2:$D$259,F16,'Ingredient Feel'!$E$2:$E$259,G16)=1,"Yes","No")</f>
        <v/>
      </c>
      <c r="L16" s="29">
        <f>COUNTIFS('Ingredient Feel'!$L$2:$L$259,"*, "&amp;E16&amp;", *",'Ingredient Feel'!$B$2:$B$259,D16)-J16</f>
        <v/>
      </c>
      <c r="M16" s="30" t="inlineStr">
        <is>
          <t>Wheat, Cedar chips</t>
        </is>
      </c>
    </row>
    <row r="17" ht="23.25" customHeight="1" s="18">
      <c r="A17" s="29" t="n">
        <v>16</v>
      </c>
      <c r="B17" s="31" t="inlineStr">
        <is>
          <t>Sam</t>
        </is>
      </c>
      <c r="C17" s="32" t="inlineStr">
        <is>
          <t>I want wild, vivid dreams. The stronger the better.</t>
        </is>
      </c>
      <c r="D17" s="31" t="inlineStr">
        <is>
          <t>Herbs &amp; flowers</t>
        </is>
      </c>
      <c r="E17" s="31" t="inlineStr">
        <is>
          <t>dreams</t>
        </is>
      </c>
      <c r="F17" s="31" t="inlineStr">
        <is>
          <t>Mind</t>
        </is>
      </c>
      <c r="G17" s="31" t="inlineStr">
        <is>
          <t>Strong</t>
        </is>
      </c>
      <c r="H17" s="31" t="inlineStr">
        <is>
          <t>Mugwort</t>
        </is>
      </c>
      <c r="I17" s="32" t="inlineStr">
        <is>
          <t>"dreams" = dreams; dreams = Mind; "the stronger the better" = Strong</t>
        </is>
      </c>
      <c r="J17" s="29">
        <f>COUNTIFS('Ingredient Feel'!$L$2:$L$259,"*, "&amp;E17&amp;", *",'Ingredient Feel'!$B$2:$B$259,D17,'Ingredient Feel'!$D$2:$D$259,F17,'Ingredient Feel'!$E$2:$E$259,G17)</f>
        <v/>
      </c>
      <c r="K17" s="29">
        <f>IF(COUNTIFS('Ingredient Feel'!$A$2:$A$259,H17,'Ingredient Feel'!$L$2:$L$259,"*, "&amp;E17&amp;", *",'Ingredient Feel'!$D$2:$D$259,F17,'Ingredient Feel'!$E$2:$E$259,G17)=1,"Yes","No")</f>
        <v/>
      </c>
      <c r="L17" s="29">
        <f>COUNTIFS('Ingredient Feel'!$L$2:$L$259,"*, "&amp;E17&amp;", *",'Ingredient Feel'!$B$2:$B$259,D17)-J17</f>
        <v/>
      </c>
      <c r="M17" s="30" t="inlineStr">
        <is>
          <t>Jasmine, Violet</t>
        </is>
      </c>
    </row>
    <row r="18" ht="23.25" customHeight="1" s="18">
      <c r="A18" s="29" t="n">
        <v>17</v>
      </c>
      <c r="B18" s="31" t="inlineStr">
        <is>
          <t>Parent with children</t>
        </is>
      </c>
      <c r="C18" s="32" t="inlineStr">
        <is>
          <t>My little boy starts school tomorrow and he's so shy. A mild flower for a bit of confidence?</t>
        </is>
      </c>
      <c r="D18" s="31" t="inlineStr">
        <is>
          <t>Herbs &amp; flowers</t>
        </is>
      </c>
      <c r="E18" s="31" t="inlineStr">
        <is>
          <t>confidence</t>
        </is>
      </c>
      <c r="F18" s="31" t="inlineStr">
        <is>
          <t>Mind</t>
        </is>
      </c>
      <c r="G18" s="31" t="inlineStr">
        <is>
          <t>Gentle</t>
        </is>
      </c>
      <c r="H18" s="31" t="inlineStr">
        <is>
          <t>Sunflower petals</t>
        </is>
      </c>
      <c r="I18" s="32" t="inlineStr">
        <is>
          <t>"confidence" = confidence; shyness = Mind; "mild", a child = Gentle</t>
        </is>
      </c>
      <c r="J18" s="29">
        <f>COUNTIFS('Ingredient Feel'!$L$2:$L$259,"*, "&amp;E18&amp;", *",'Ingredient Feel'!$B$2:$B$259,D18,'Ingredient Feel'!$D$2:$D$259,F18,'Ingredient Feel'!$E$2:$E$259,G18)</f>
        <v/>
      </c>
      <c r="K18" s="29">
        <f>IF(COUNTIFS('Ingredient Feel'!$A$2:$A$259,H18,'Ingredient Feel'!$L$2:$L$259,"*, "&amp;E18&amp;", *",'Ingredient Feel'!$D$2:$D$259,F18,'Ingredient Feel'!$E$2:$E$259,G18)=1,"Yes","No")</f>
        <v/>
      </c>
      <c r="L18" s="29">
        <f>COUNTIFS('Ingredient Feel'!$L$2:$L$259,"*, "&amp;E18&amp;", *",'Ingredient Feel'!$B$2:$B$259,D18)-J18</f>
        <v/>
      </c>
      <c r="M18" s="30" t="inlineStr">
        <is>
          <t>Calendula, Licorice root, Thyme</t>
        </is>
      </c>
    </row>
    <row r="19" ht="23.25" customHeight="1" s="18">
      <c r="A19" s="29" t="n">
        <v>18</v>
      </c>
      <c r="B19" s="31" t="inlineStr">
        <is>
          <t>Walk-in</t>
        </is>
      </c>
      <c r="C19" s="32" t="inlineStr">
        <is>
          <t>I have to have a hard talk with my sister. A herb to keep my words calm and kind?</t>
        </is>
      </c>
      <c r="D19" s="31" t="inlineStr">
        <is>
          <t>Herbs &amp; flowers</t>
        </is>
      </c>
      <c r="E19" s="31" t="inlineStr">
        <is>
          <t>communication</t>
        </is>
      </c>
      <c r="F19" s="31" t="inlineStr">
        <is>
          <t>Mind</t>
        </is>
      </c>
      <c r="G19" s="31" t="inlineStr">
        <is>
          <t>Gentle</t>
        </is>
      </c>
      <c r="H19" s="31" t="inlineStr">
        <is>
          <t>Lemon balm</t>
        </is>
      </c>
      <c r="I19" s="32" t="inlineStr">
        <is>
          <t>"words" = communication; feelings = Mind; "calm and kind" = Gentle</t>
        </is>
      </c>
      <c r="J19" s="29">
        <f>COUNTIFS('Ingredient Feel'!$L$2:$L$259,"*, "&amp;E19&amp;", *",'Ingredient Feel'!$B$2:$B$259,D19,'Ingredient Feel'!$D$2:$D$259,F19,'Ingredient Feel'!$E$2:$E$259,G19)</f>
        <v/>
      </c>
      <c r="K19" s="29">
        <f>IF(COUNTIFS('Ingredient Feel'!$A$2:$A$259,H19,'Ingredient Feel'!$L$2:$L$259,"*, "&amp;E19&amp;", *",'Ingredient Feel'!$D$2:$D$259,F19,'Ingredient Feel'!$E$2:$E$259,G19)=1,"Yes","No")</f>
        <v/>
      </c>
      <c r="L19" s="29">
        <f>COUNTIFS('Ingredient Feel'!$L$2:$L$259,"*, "&amp;E19&amp;", *",'Ingredient Feel'!$B$2:$B$259,D19)-J19</f>
        <v/>
      </c>
      <c r="M19" s="30" t="inlineStr">
        <is>
          <t>Licorice root, Orris root, Peppermint</t>
        </is>
      </c>
    </row>
    <row r="20" ht="23.25" customHeight="1" s="18">
      <c r="A20" s="29" t="n">
        <v>19</v>
      </c>
      <c r="B20" s="31" t="inlineStr">
        <is>
          <t>Student</t>
        </is>
      </c>
      <c r="C20" s="32" t="inlineStr">
        <is>
          <t>My driving test is on Friday and I'm terrified. Which stone gives courage?</t>
        </is>
      </c>
      <c r="D20" s="31" t="inlineStr">
        <is>
          <t>Crystals</t>
        </is>
      </c>
      <c r="E20" s="31" t="inlineStr">
        <is>
          <t>courage</t>
        </is>
      </c>
      <c r="F20" s="31" t="inlineStr">
        <is>
          <t>Mind</t>
        </is>
      </c>
      <c r="G20" s="31" t="inlineStr">
        <is>
          <t>Strong</t>
        </is>
      </c>
      <c r="H20" s="31" t="inlineStr">
        <is>
          <t>Tiger's eye</t>
        </is>
      </c>
      <c r="I20" s="32" t="inlineStr">
        <is>
          <t>"courage" = courage; fear = Mind; "terrified" calls for Strong</t>
        </is>
      </c>
      <c r="J20" s="29">
        <f>COUNTIFS('Ingredient Feel'!$L$2:$L$259,"*, "&amp;E20&amp;", *",'Ingredient Feel'!$B$2:$B$259,D20,'Ingredient Feel'!$D$2:$D$259,F20,'Ingredient Feel'!$E$2:$E$259,G20)</f>
        <v/>
      </c>
      <c r="K20" s="29">
        <f>IF(COUNTIFS('Ingredient Feel'!$A$2:$A$259,H20,'Ingredient Feel'!$L$2:$L$259,"*, "&amp;E20&amp;", *",'Ingredient Feel'!$D$2:$D$259,F20,'Ingredient Feel'!$E$2:$E$259,G20)=1,"Yes","No")</f>
        <v/>
      </c>
      <c r="L20" s="29">
        <f>COUNTIFS('Ingredient Feel'!$L$2:$L$259,"*, "&amp;E20&amp;", *",'Ingredient Feel'!$B$2:$B$259,D20)-J20</f>
        <v/>
      </c>
      <c r="M20" s="30" t="inlineStr">
        <is>
          <t>Carnelian, Garnet</t>
        </is>
      </c>
    </row>
    <row r="21" ht="23.25" customHeight="1" s="18">
      <c r="A21" s="29" t="n">
        <v>20</v>
      </c>
      <c r="B21" s="31" t="inlineStr">
        <is>
          <t>Walk-in</t>
        </is>
      </c>
      <c r="C21" s="32" t="inlineStr">
        <is>
          <t>I feel dizzy and floaty all the time, like my feet don't touch the ground. A heavy stone?</t>
        </is>
      </c>
      <c r="D21" s="31" t="inlineStr">
        <is>
          <t>Crystals</t>
        </is>
      </c>
      <c r="E21" s="31" t="inlineStr">
        <is>
          <t>grounding</t>
        </is>
      </c>
      <c r="F21" s="31" t="inlineStr">
        <is>
          <t>Body</t>
        </is>
      </c>
      <c r="G21" s="31" t="inlineStr">
        <is>
          <t>Strong</t>
        </is>
      </c>
      <c r="H21" s="31" t="inlineStr">
        <is>
          <t>Hematite</t>
        </is>
      </c>
      <c r="I21" s="32" t="inlineStr">
        <is>
          <t>"feet don't touch the ground" = grounding; dizzy = Body; "heavy" = Strong</t>
        </is>
      </c>
      <c r="J21" s="29">
        <f>COUNTIFS('Ingredient Feel'!$L$2:$L$259,"*, "&amp;E21&amp;", *",'Ingredient Feel'!$B$2:$B$259,D21,'Ingredient Feel'!$D$2:$D$259,F21,'Ingredient Feel'!$E$2:$E$259,G21)</f>
        <v/>
      </c>
      <c r="K21" s="29">
        <f>IF(COUNTIFS('Ingredient Feel'!$A$2:$A$259,H21,'Ingredient Feel'!$L$2:$L$259,"*, "&amp;E21&amp;", *",'Ingredient Feel'!$D$2:$D$259,F21,'Ingredient Feel'!$E$2:$E$259,G21)=1,"Yes","No")</f>
        <v/>
      </c>
      <c r="L21" s="29">
        <f>COUNTIFS('Ingredient Feel'!$L$2:$L$259,"*, "&amp;E21&amp;", *",'Ingredient Feel'!$B$2:$B$259,D21)-J21</f>
        <v/>
      </c>
      <c r="M21" s="30" t="inlineStr">
        <is>
          <t>Smoky quartz, River stone</t>
        </is>
      </c>
    </row>
    <row r="22" ht="23.25" customHeight="1" s="18">
      <c r="A22" s="29" t="n">
        <v>21</v>
      </c>
      <c r="B22" s="31" t="inlineStr">
        <is>
          <t>Walk-in</t>
        </is>
      </c>
      <c r="C22" s="32" t="inlineStr">
        <is>
          <t>I rush everything. Is there a stone that keeps you steady and patient, nothing heavy?</t>
        </is>
      </c>
      <c r="D22" s="31" t="inlineStr">
        <is>
          <t>Crystals</t>
        </is>
      </c>
      <c r="E22" s="31" t="inlineStr">
        <is>
          <t>grounding</t>
        </is>
      </c>
      <c r="F22" s="31" t="inlineStr">
        <is>
          <t>Mind</t>
        </is>
      </c>
      <c r="G22" s="31" t="inlineStr">
        <is>
          <t>Gentle</t>
        </is>
      </c>
      <c r="H22" s="31" t="inlineStr">
        <is>
          <t>River stone</t>
        </is>
      </c>
      <c r="I22" s="32" t="inlineStr">
        <is>
          <t>"steady" = grounding; patience = Mind; "nothing heavy" = Gentle</t>
        </is>
      </c>
      <c r="J22" s="29">
        <f>COUNTIFS('Ingredient Feel'!$L$2:$L$259,"*, "&amp;E22&amp;", *",'Ingredient Feel'!$B$2:$B$259,D22,'Ingredient Feel'!$D$2:$D$259,F22,'Ingredient Feel'!$E$2:$E$259,G22)</f>
        <v/>
      </c>
      <c r="K22" s="29">
        <f>IF(COUNTIFS('Ingredient Feel'!$A$2:$A$259,H22,'Ingredient Feel'!$L$2:$L$259,"*, "&amp;E22&amp;", *",'Ingredient Feel'!$D$2:$D$259,F22,'Ingredient Feel'!$E$2:$E$259,G22)=1,"Yes","No")</f>
        <v/>
      </c>
      <c r="L22" s="29">
        <f>COUNTIFS('Ingredient Feel'!$L$2:$L$259,"*, "&amp;E22&amp;", *",'Ingredient Feel'!$B$2:$B$259,D22)-J22</f>
        <v/>
      </c>
      <c r="M22" s="30" t="inlineStr">
        <is>
          <t>Hematite, Smoky quartz</t>
        </is>
      </c>
    </row>
    <row r="23" ht="23.25" customHeight="1" s="18">
      <c r="A23" s="29" t="n">
        <v>22</v>
      </c>
      <c r="B23" s="31" t="inlineStr">
        <is>
          <t>Ivy</t>
        </is>
      </c>
      <c r="C23" s="32" t="inlineStr">
        <is>
          <t>I want to like what I see in the mirror. Something soft, not a big transformation.</t>
        </is>
      </c>
      <c r="D23" s="31" t="inlineStr">
        <is>
          <t>Crystals</t>
        </is>
      </c>
      <c r="E23" s="31" t="inlineStr">
        <is>
          <t>self-love</t>
        </is>
      </c>
      <c r="F23" s="31" t="inlineStr">
        <is>
          <t>Body</t>
        </is>
      </c>
      <c r="G23" s="31" t="inlineStr">
        <is>
          <t>Gentle</t>
        </is>
      </c>
      <c r="H23" s="31" t="inlineStr">
        <is>
          <t>Pearl</t>
        </is>
      </c>
      <c r="I23" s="32" t="inlineStr">
        <is>
          <t>liking yourself = self-love; the mirror = Body; "soft" = Gentle</t>
        </is>
      </c>
      <c r="J23" s="29">
        <f>COUNTIFS('Ingredient Feel'!$L$2:$L$259,"*, "&amp;E23&amp;", *",'Ingredient Feel'!$B$2:$B$259,D23,'Ingredient Feel'!$D$2:$D$259,F23,'Ingredient Feel'!$E$2:$E$259,G23)</f>
        <v/>
      </c>
      <c r="K23" s="29">
        <f>IF(COUNTIFS('Ingredient Feel'!$A$2:$A$259,H23,'Ingredient Feel'!$L$2:$L$259,"*, "&amp;E23&amp;", *",'Ingredient Feel'!$D$2:$D$259,F23,'Ingredient Feel'!$E$2:$E$259,G23)=1,"Yes","No")</f>
        <v/>
      </c>
      <c r="L23" s="29">
        <f>COUNTIFS('Ingredient Feel'!$L$2:$L$259,"*, "&amp;E23&amp;", *",'Ingredient Feel'!$B$2:$B$259,D23)-J23</f>
        <v/>
      </c>
      <c r="M23" s="30" t="inlineStr">
        <is>
          <t>Moonstone, Rhodonite, Rose quartz</t>
        </is>
      </c>
    </row>
    <row r="24" ht="23.25" customHeight="1" s="18">
      <c r="A24" s="29" t="n">
        <v>23</v>
      </c>
      <c r="B24" s="31" t="inlineStr">
        <is>
          <t>Walk-in</t>
        </is>
      </c>
      <c r="C24" s="32" t="inlineStr">
        <is>
          <t>After the break-up I can't stand myself. I need something strong.</t>
        </is>
      </c>
      <c r="D24" s="31" t="inlineStr">
        <is>
          <t>Crystals</t>
        </is>
      </c>
      <c r="E24" s="31" t="inlineStr">
        <is>
          <t>self-love</t>
        </is>
      </c>
      <c r="F24" s="31" t="inlineStr">
        <is>
          <t>Mind</t>
        </is>
      </c>
      <c r="G24" s="31" t="inlineStr">
        <is>
          <t>Strong</t>
        </is>
      </c>
      <c r="H24" s="31" t="inlineStr">
        <is>
          <t>Rhodonite</t>
        </is>
      </c>
      <c r="I24" s="32" t="inlineStr">
        <is>
          <t>"can't stand myself" = self-love; heartbreak = Mind; "strong" = Strong</t>
        </is>
      </c>
      <c r="J24" s="29">
        <f>COUNTIFS('Ingredient Feel'!$L$2:$L$259,"*, "&amp;E24&amp;", *",'Ingredient Feel'!$B$2:$B$259,D24,'Ingredient Feel'!$D$2:$D$259,F24,'Ingredient Feel'!$E$2:$E$259,G24)</f>
        <v/>
      </c>
      <c r="K24" s="29">
        <f>IF(COUNTIFS('Ingredient Feel'!$A$2:$A$259,H24,'Ingredient Feel'!$L$2:$L$259,"*, "&amp;E24&amp;", *",'Ingredient Feel'!$D$2:$D$259,F24,'Ingredient Feel'!$E$2:$E$259,G24)=1,"Yes","No")</f>
        <v/>
      </c>
      <c r="L24" s="29">
        <f>COUNTIFS('Ingredient Feel'!$L$2:$L$259,"*, "&amp;E24&amp;", *",'Ingredient Feel'!$B$2:$B$259,D24)-J24</f>
        <v/>
      </c>
      <c r="M24" s="30" t="inlineStr">
        <is>
          <t>Moonstone, Pearl, Rose quartz</t>
        </is>
      </c>
    </row>
    <row r="25" ht="23.25" customHeight="1" s="18">
      <c r="A25" s="29" t="n">
        <v>24</v>
      </c>
      <c r="B25" s="31" t="inlineStr">
        <is>
          <t>Walk-in</t>
        </is>
      </c>
      <c r="C25" s="32" t="inlineStr">
        <is>
          <t>I'm a witness in court next week and I must say it all clearly. Which stone?</t>
        </is>
      </c>
      <c r="D25" s="31" t="inlineStr">
        <is>
          <t>Crystals</t>
        </is>
      </c>
      <c r="E25" s="31" t="inlineStr">
        <is>
          <t>communication</t>
        </is>
      </c>
      <c r="F25" s="31" t="inlineStr">
        <is>
          <t>Mind</t>
        </is>
      </c>
      <c r="G25" s="31" t="inlineStr">
        <is>
          <t>Strong</t>
        </is>
      </c>
      <c r="H25" s="31" t="inlineStr">
        <is>
          <t>Lapis lazuli</t>
        </is>
      </c>
      <c r="I25" s="32" t="inlineStr">
        <is>
          <t>"say it clearly" = communication; truth-telling = Mind; high stakes = Strong</t>
        </is>
      </c>
      <c r="J25" s="29">
        <f>COUNTIFS('Ingredient Feel'!$L$2:$L$259,"*, "&amp;E25&amp;", *",'Ingredient Feel'!$B$2:$B$259,D25,'Ingredient Feel'!$D$2:$D$259,F25,'Ingredient Feel'!$E$2:$E$259,G25)</f>
        <v/>
      </c>
      <c r="K25" s="29">
        <f>IF(COUNTIFS('Ingredient Feel'!$A$2:$A$259,H25,'Ingredient Feel'!$L$2:$L$259,"*, "&amp;E25&amp;", *",'Ingredient Feel'!$D$2:$D$259,F25,'Ingredient Feel'!$E$2:$E$259,G25)=1,"Yes","No")</f>
        <v/>
      </c>
      <c r="L25" s="29">
        <f>COUNTIFS('Ingredient Feel'!$L$2:$L$259,"*, "&amp;E25&amp;", *",'Ingredient Feel'!$B$2:$B$259,D25)-J25</f>
        <v/>
      </c>
      <c r="M25" s="30" t="inlineStr">
        <is>
          <t>Amazonite, Aquamarine, Blue lace agate</t>
        </is>
      </c>
    </row>
    <row r="26" ht="23.25" customHeight="1" s="18">
      <c r="A26" s="29" t="n">
        <v>25</v>
      </c>
      <c r="B26" s="31" t="inlineStr">
        <is>
          <t>Walk-in</t>
        </is>
      </c>
      <c r="C26" s="32" t="inlineStr">
        <is>
          <t>Since the argument our flat feels so tense. A stone to calm the room down, gently?</t>
        </is>
      </c>
      <c r="D26" s="31" t="inlineStr">
        <is>
          <t>Crystals</t>
        </is>
      </c>
      <c r="E26" s="31" t="inlineStr">
        <is>
          <t>calm</t>
        </is>
      </c>
      <c r="F26" s="31" t="inlineStr">
        <is>
          <t>Space</t>
        </is>
      </c>
      <c r="G26" s="31" t="inlineStr">
        <is>
          <t>Gentle</t>
        </is>
      </c>
      <c r="H26" s="31" t="inlineStr">
        <is>
          <t>Selenite</t>
        </is>
      </c>
      <c r="I26" s="32" t="inlineStr">
        <is>
          <t>"calm" = calm; "the room" = Space; "gently" = Gentle</t>
        </is>
      </c>
      <c r="J26" s="29">
        <f>COUNTIFS('Ingredient Feel'!$L$2:$L$259,"*, "&amp;E26&amp;", *",'Ingredient Feel'!$B$2:$B$259,D26,'Ingredient Feel'!$D$2:$D$259,F26,'Ingredient Feel'!$E$2:$E$259,G26)</f>
        <v/>
      </c>
      <c r="K26" s="29">
        <f>IF(COUNTIFS('Ingredient Feel'!$A$2:$A$259,H26,'Ingredient Feel'!$L$2:$L$259,"*, "&amp;E26&amp;", *",'Ingredient Feel'!$D$2:$D$259,F26,'Ingredient Feel'!$E$2:$E$259,G26)=1,"Yes","No")</f>
        <v/>
      </c>
      <c r="L26" s="29">
        <f>COUNTIFS('Ingredient Feel'!$L$2:$L$259,"*, "&amp;E26&amp;", *",'Ingredient Feel'!$B$2:$B$259,D26)-J26</f>
        <v/>
      </c>
      <c r="M26" s="30" t="inlineStr">
        <is>
          <t>Amazonite, Amethyst, Aquamarine, Blue lace agate, Howlite, Pearl, River stone</t>
        </is>
      </c>
    </row>
    <row r="27" ht="23.25" customHeight="1" s="18">
      <c r="A27" s="29" t="n">
        <v>26</v>
      </c>
      <c r="B27" s="31" t="inlineStr">
        <is>
          <t>Walk-in</t>
        </is>
      </c>
      <c r="C27" s="32" t="inlineStr">
        <is>
          <t>My late uncle's house is full of heavy, old feelings. What takes all that away?</t>
        </is>
      </c>
      <c r="D27" s="31" t="inlineStr">
        <is>
          <t>Crystals</t>
        </is>
      </c>
      <c r="E27" s="31" t="inlineStr">
        <is>
          <t>release</t>
        </is>
      </c>
      <c r="F27" s="31" t="inlineStr">
        <is>
          <t>Space</t>
        </is>
      </c>
      <c r="G27" s="31" t="inlineStr">
        <is>
          <t>Strong</t>
        </is>
      </c>
      <c r="H27" s="31" t="inlineStr">
        <is>
          <t>Smoky quartz</t>
        </is>
      </c>
      <c r="I27" s="32" t="inlineStr">
        <is>
          <t>"takes away" = release; the house = Space; "heavy", "all that" = Strong</t>
        </is>
      </c>
      <c r="J27" s="29">
        <f>COUNTIFS('Ingredient Feel'!$L$2:$L$259,"*, "&amp;E27&amp;", *",'Ingredient Feel'!$B$2:$B$259,D27,'Ingredient Feel'!$D$2:$D$259,F27,'Ingredient Feel'!$E$2:$E$259,G27)</f>
        <v/>
      </c>
      <c r="K27" s="29">
        <f>IF(COUNTIFS('Ingredient Feel'!$A$2:$A$259,H27,'Ingredient Feel'!$L$2:$L$259,"*, "&amp;E27&amp;", *",'Ingredient Feel'!$D$2:$D$259,F27,'Ingredient Feel'!$E$2:$E$259,G27)=1,"Yes","No")</f>
        <v/>
      </c>
      <c r="L27" s="29">
        <f>COUNTIFS('Ingredient Feel'!$L$2:$L$259,"*, "&amp;E27&amp;", *",'Ingredient Feel'!$B$2:$B$259,D27)-J27</f>
        <v/>
      </c>
      <c r="M27" s="30" t="inlineStr">
        <is>
          <t>Aquamarine, Obsidian, Rhodonite</t>
        </is>
      </c>
    </row>
    <row r="28" ht="23.25" customHeight="1" s="18">
      <c r="A28" s="29" t="n">
        <v>27</v>
      </c>
      <c r="B28" s="31" t="inlineStr">
        <is>
          <t>Parent with children</t>
        </is>
      </c>
      <c r="C28" s="32" t="inlineStr">
        <is>
          <t>My daughter's homework is chaos. A gentle stone to help her think in order?</t>
        </is>
      </c>
      <c r="D28" s="31" t="inlineStr">
        <is>
          <t>Crystals</t>
        </is>
      </c>
      <c r="E28" s="31" t="inlineStr">
        <is>
          <t>focus</t>
        </is>
      </c>
      <c r="F28" s="31" t="inlineStr">
        <is>
          <t>Mind</t>
        </is>
      </c>
      <c r="G28" s="31" t="inlineStr">
        <is>
          <t>Gentle</t>
        </is>
      </c>
      <c r="H28" s="31" t="inlineStr">
        <is>
          <t>Fluorite</t>
        </is>
      </c>
      <c r="I28" s="32" t="inlineStr">
        <is>
          <t>"think in order" = focus; thinking = Mind; "gentle", a child = Gentle</t>
        </is>
      </c>
      <c r="J28" s="29">
        <f>COUNTIFS('Ingredient Feel'!$L$2:$L$259,"*, "&amp;E28&amp;", *",'Ingredient Feel'!$B$2:$B$259,D28,'Ingredient Feel'!$D$2:$D$259,F28,'Ingredient Feel'!$E$2:$E$259,G28)</f>
        <v/>
      </c>
      <c r="K28" s="29">
        <f>IF(COUNTIFS('Ingredient Feel'!$A$2:$A$259,H28,'Ingredient Feel'!$L$2:$L$259,"*, "&amp;E28&amp;", *",'Ingredient Feel'!$D$2:$D$259,F28,'Ingredient Feel'!$E$2:$E$259,G28)=1,"Yes","No")</f>
        <v/>
      </c>
      <c r="L28" s="29">
        <f>COUNTIFS('Ingredient Feel'!$L$2:$L$259,"*, "&amp;E28&amp;", *",'Ingredient Feel'!$B$2:$B$259,D28)-J28</f>
        <v/>
      </c>
      <c r="M28" s="30" t="inlineStr">
        <is>
          <t>Clear quartz, Hematite</t>
        </is>
      </c>
    </row>
  </sheetData>
  <autoFilter ref="A1:M28"/>
  <conditionalFormatting sqref="J2:J28">
    <cfRule type="expression" rank="0" priority="2" equalAverage="0" aboveAverage="0" dxfId="4" text="" percent="0" bottom="0">
      <formula>J2&lt;&gt;1</formula>
    </cfRule>
  </conditionalFormatting>
  <conditionalFormatting sqref="K2:K28">
    <cfRule type="expression" rank="0" priority="3" equalAverage="0" aboveAverage="0" dxfId="4" text="" percent="0" bottom="0">
      <formula>K2="No"</formula>
    </cfRule>
  </conditionalFormatting>
  <dataValidations count="3">
    <dataValidation sqref="D2:D28" showDropDown="0" showInputMessage="0" showErrorMessage="0" allowBlank="0" type="list" errorStyle="stop" operator="between">
      <formula1>"Herbs &amp; flowers,Crystals"</formula1>
      <formula2>0</formula2>
    </dataValidation>
    <dataValidation sqref="F2:F28" showDropDown="0" showInputMessage="0" showErrorMessage="0" allowBlank="0" type="list" errorStyle="stop" operator="between">
      <formula1>"Body,Mind,Space"</formula1>
      <formula2>0</formula2>
    </dataValidation>
    <dataValidation sqref="G2:G28" showDropDown="0" showInputMessage="0" showErrorMessage="0" allowBlank="0" type="list" errorStyle="stop" operator="between">
      <formula1>"Gentle,Strong"</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5" customWidth="1" style="18" min="1" max="1"/>
    <col width="10" customWidth="1" style="18" min="2" max="2"/>
    <col width="10" customWidth="1" style="18" min="3" max="3"/>
    <col width="22" customWidth="1" style="18" min="4" max="4"/>
    <col width="13" customWidth="1" style="18" min="5" max="5"/>
    <col width="9" customWidth="1" style="18" min="6" max="6"/>
    <col width="8" customWidth="1" style="18" min="7" max="7"/>
    <col width="5" customWidth="1" style="18" min="8" max="8"/>
    <col width="30" customWidth="1" style="18" min="9" max="9"/>
    <col width="13" customWidth="1" style="18" min="10" max="10"/>
    <col width="26" customWidth="1" style="18" min="11" max="11"/>
    <col width="7" customWidth="1" style="18" min="12" max="12"/>
    <col width="40" customWidth="1" style="18" min="13" max="13"/>
    <col width="8" customWidth="1" style="18" min="14" max="14"/>
    <col width="28" customWidth="1" style="18" min="15" max="15"/>
    <col width="22" customWidth="1" style="18" min="16" max="16"/>
  </cols>
  <sheetData>
    <row r="1">
      <c r="A1" s="35" t="inlineStr">
        <is>
          <t>Day</t>
        </is>
      </c>
      <c r="B1" s="35" t="inlineStr">
        <is>
          <t>Month</t>
        </is>
      </c>
      <c r="C1" s="35" t="inlineStr">
        <is>
          <t>Weekday</t>
        </is>
      </c>
      <c r="D1" s="35" t="inlineStr">
        <is>
          <t>Moon</t>
        </is>
      </c>
      <c r="E1" s="35" t="inlineStr">
        <is>
          <t>Weather</t>
        </is>
      </c>
      <c r="F1" s="35" t="inlineStr">
        <is>
          <t>Hour</t>
        </is>
      </c>
      <c r="G1" s="35" t="inlineStr">
        <is>
          <t>Shares hour</t>
        </is>
      </c>
      <c r="H1" s="35" t="inlineStr">
        <is>
          <t>#</t>
        </is>
      </c>
      <c r="I1" s="35" t="inlineStr">
        <is>
          <t>Recipe</t>
        </is>
      </c>
      <c r="J1" s="35" t="inlineStr">
        <is>
          <t>Type</t>
        </is>
      </c>
      <c r="K1" s="35" t="inlineStr">
        <is>
          <t>When</t>
        </is>
      </c>
      <c r="L1" s="35" t="inlineStr">
        <is>
          <t>New (#)</t>
        </is>
      </c>
      <c r="M1" s="35" t="inlineStr">
        <is>
          <t>New things</t>
        </is>
      </c>
      <c r="N1" s="35" t="inlineStr">
        <is>
          <t>Reuses (#)</t>
        </is>
      </c>
      <c r="O1" s="35" t="inlineStr">
        <is>
          <t>Prepares for</t>
        </is>
      </c>
      <c r="P1" s="35" t="inlineStr">
        <is>
          <t>Note</t>
        </is>
      </c>
    </row>
    <row r="2">
      <c r="A2" s="42" t="n">
        <v>1</v>
      </c>
      <c r="B2" s="42" t="inlineStr">
        <is>
          <t>November</t>
        </is>
      </c>
      <c r="C2" s="42" t="inlineStr">
        <is>
          <t>Saturday</t>
        </is>
      </c>
      <c r="D2" s="42" t="inlineStr">
        <is>
          <t>Waning Gibbous</t>
        </is>
      </c>
      <c r="E2" s="42" t="inlineStr">
        <is>
          <t>Cloudy</t>
        </is>
      </c>
      <c r="F2" s="42" t="inlineStr">
        <is>
          <t>Noon</t>
        </is>
      </c>
      <c r="G2" s="42" t="inlineStr"/>
      <c r="H2" s="42" t="n">
        <v>179</v>
      </c>
      <c r="I2" s="37" t="inlineStr">
        <is>
          <t>The Path of Least Fuss</t>
        </is>
      </c>
      <c r="J2" s="42" t="inlineStr">
        <is>
          <t>Charm</t>
        </is>
      </c>
      <c r="K2" s="37" t="inlineStr">
        <is>
          <t>Any time</t>
        </is>
      </c>
      <c r="L2" s="42">
        <f>IF(M2="",0,LEN(M2)-LEN(SUBSTITUTE(M2,",",""))+1)</f>
        <v/>
      </c>
      <c r="M2" s="37" t="inlineStr">
        <is>
          <t>Blue thread, Small key</t>
        </is>
      </c>
      <c r="N2" s="42" t="n">
        <v>1</v>
      </c>
      <c r="O2" s="37" t="inlineStr"/>
      <c r="P2" s="37" t="inlineStr">
        <is>
          <t>Week one (fixed)</t>
        </is>
      </c>
    </row>
    <row r="3">
      <c r="A3" s="42" t="n">
        <v>1</v>
      </c>
      <c r="B3" s="42" t="inlineStr">
        <is>
          <t>November</t>
        </is>
      </c>
      <c r="C3" s="42" t="inlineStr">
        <is>
          <t>Saturday</t>
        </is>
      </c>
      <c r="D3" s="42" t="inlineStr">
        <is>
          <t>Waning Gibbous</t>
        </is>
      </c>
      <c r="E3" s="42" t="inlineStr">
        <is>
          <t>Cloudy</t>
        </is>
      </c>
      <c r="F3" s="42" t="inlineStr">
        <is>
          <t>Nightfall</t>
        </is>
      </c>
      <c r="G3" s="42" t="inlineStr"/>
      <c r="H3" s="42" t="n">
        <v>194</v>
      </c>
      <c r="I3" s="37" t="inlineStr">
        <is>
          <t>The Inner Housekeeper</t>
        </is>
      </c>
      <c r="J3" s="42" t="inlineStr">
        <is>
          <t>Tea</t>
        </is>
      </c>
      <c r="K3" s="37" t="inlineStr">
        <is>
          <t>Any time</t>
        </is>
      </c>
      <c r="L3" s="42">
        <f>IF(M3="",0,LEN(M3)-LEN(SUBSTITUTE(M3,",",""))+1)</f>
        <v/>
      </c>
      <c r="M3" s="37" t="inlineStr">
        <is>
          <t>Milk powder, Nettle</t>
        </is>
      </c>
      <c r="N3" s="42" t="n">
        <v>1</v>
      </c>
      <c r="O3" s="37" t="inlineStr"/>
      <c r="P3" s="37" t="inlineStr">
        <is>
          <t>Week one (fixed)</t>
        </is>
      </c>
    </row>
    <row r="4">
      <c r="A4" s="42" t="n">
        <v>2</v>
      </c>
      <c r="B4" s="42" t="inlineStr">
        <is>
          <t>November</t>
        </is>
      </c>
      <c r="C4" s="42" t="inlineStr">
        <is>
          <t>Sunday</t>
        </is>
      </c>
      <c r="D4" s="42" t="inlineStr">
        <is>
          <t>Waning Crescent</t>
        </is>
      </c>
      <c r="E4" s="42" t="inlineStr">
        <is>
          <t>Rain</t>
        </is>
      </c>
      <c r="F4" s="42" t="inlineStr">
        <is>
          <t>Sunrise</t>
        </is>
      </c>
      <c r="G4" s="42" t="inlineStr"/>
      <c r="H4" s="42" t="n">
        <v>202</v>
      </c>
      <c r="I4" s="37" t="inlineStr">
        <is>
          <t>The Unconditional Pillow</t>
        </is>
      </c>
      <c r="J4" s="42" t="inlineStr">
        <is>
          <t>Butter</t>
        </is>
      </c>
      <c r="K4" s="37" t="inlineStr">
        <is>
          <t>Sunday</t>
        </is>
      </c>
      <c r="L4" s="42">
        <f>IF(M4="",0,LEN(M4)-LEN(SUBSTITUTE(M4,",",""))+1)</f>
        <v/>
      </c>
      <c r="M4" s="37" t="inlineStr">
        <is>
          <t>Honey, Rose petals</t>
        </is>
      </c>
      <c r="N4" s="42" t="n">
        <v>1</v>
      </c>
      <c r="O4" s="37" t="inlineStr">
        <is>
          <t>Goldie #58</t>
        </is>
      </c>
      <c r="P4" s="37" t="inlineStr">
        <is>
          <t>Week one (fixed)</t>
        </is>
      </c>
    </row>
    <row r="5">
      <c r="A5" s="42" t="n">
        <v>3</v>
      </c>
      <c r="B5" s="42" t="inlineStr">
        <is>
          <t>November</t>
        </is>
      </c>
      <c r="C5" s="42" t="inlineStr">
        <is>
          <t>Monday</t>
        </is>
      </c>
      <c r="D5" s="42" t="inlineStr">
        <is>
          <t>New Moon</t>
        </is>
      </c>
      <c r="E5" s="42" t="inlineStr">
        <is>
          <t>Windy</t>
        </is>
      </c>
      <c r="F5" s="42" t="inlineStr">
        <is>
          <t>Twilight</t>
        </is>
      </c>
      <c r="G5" s="42" t="inlineStr"/>
      <c r="H5" s="42" t="n">
        <v>181</v>
      </c>
      <c r="I5" s="37" t="inlineStr">
        <is>
          <t>The Pattern Beneath</t>
        </is>
      </c>
      <c r="J5" s="42" t="inlineStr">
        <is>
          <t>Hand Mirror</t>
        </is>
      </c>
      <c r="K5" s="37" t="inlineStr">
        <is>
          <t>New Moon</t>
        </is>
      </c>
      <c r="L5" s="42">
        <f>IF(M5="",0,LEN(M5)-LEN(SUBSTITUTE(M5,",",""))+1)</f>
        <v/>
      </c>
      <c r="M5" s="37" t="inlineStr">
        <is>
          <t>Moth wing dust, Mugwort, The Moon</t>
        </is>
      </c>
      <c r="N5" s="42" t="n">
        <v>4</v>
      </c>
      <c r="O5" s="37" t="inlineStr"/>
      <c r="P5" s="37" t="inlineStr">
        <is>
          <t>Week one (fixed)</t>
        </is>
      </c>
    </row>
    <row r="6">
      <c r="A6" s="42" t="n">
        <v>4</v>
      </c>
      <c r="B6" s="42" t="inlineStr">
        <is>
          <t>November</t>
        </is>
      </c>
      <c r="C6" s="42" t="inlineStr">
        <is>
          <t>Tuesday</t>
        </is>
      </c>
      <c r="D6" s="42" t="inlineStr">
        <is>
          <t>Waxing Crescent</t>
        </is>
      </c>
      <c r="E6" s="42" t="inlineStr">
        <is>
          <t>Thunderstorm</t>
        </is>
      </c>
      <c r="F6" s="42" t="inlineStr">
        <is>
          <t>Twilight</t>
        </is>
      </c>
      <c r="G6" s="42" t="inlineStr"/>
      <c r="H6" s="42" t="n">
        <v>49</v>
      </c>
      <c r="I6" s="37" t="inlineStr">
        <is>
          <t>The Unmasked Self</t>
        </is>
      </c>
      <c r="J6" s="42" t="inlineStr">
        <is>
          <t>Sigil</t>
        </is>
      </c>
      <c r="K6" s="37" t="inlineStr">
        <is>
          <t>Any time</t>
        </is>
      </c>
      <c r="L6" s="42">
        <f>IF(M6="",0,LEN(M6)-LEN(SUBSTITUTE(M6,",",""))+1)</f>
        <v/>
      </c>
      <c r="M6" s="37" t="inlineStr">
        <is>
          <t>Licorice root, Rhodonite, Blue candle, The Sun</t>
        </is>
      </c>
      <c r="N6" s="42" t="n">
        <v>0</v>
      </c>
      <c r="O6" s="37" t="inlineStr">
        <is>
          <t>Goldie #58</t>
        </is>
      </c>
      <c r="P6" s="37" t="inlineStr">
        <is>
          <t>Week one (fixed)</t>
        </is>
      </c>
    </row>
    <row r="7">
      <c r="A7" s="42" t="n">
        <v>5</v>
      </c>
      <c r="B7" s="42" t="inlineStr">
        <is>
          <t>November</t>
        </is>
      </c>
      <c r="C7" s="42" t="inlineStr">
        <is>
          <t>Wednesday</t>
        </is>
      </c>
      <c r="D7" s="42" t="inlineStr">
        <is>
          <t>Waxing Gibbous</t>
        </is>
      </c>
      <c r="E7" s="42" t="inlineStr">
        <is>
          <t>Fog / Mist</t>
        </is>
      </c>
      <c r="F7" s="42" t="inlineStr">
        <is>
          <t>Sunrise</t>
        </is>
      </c>
      <c r="G7" s="42" t="inlineStr"/>
      <c r="H7" s="42" t="n">
        <v>164</v>
      </c>
      <c r="I7" s="37" t="inlineStr">
        <is>
          <t>The Desk of Possibilities</t>
        </is>
      </c>
      <c r="J7" s="42" t="inlineStr">
        <is>
          <t>Incense</t>
        </is>
      </c>
      <c r="K7" s="37" t="inlineStr">
        <is>
          <t>Wednesday</t>
        </is>
      </c>
      <c r="L7" s="42">
        <f>IF(M7="",0,LEN(M7)-LEN(SUBSTITUTE(M7,",",""))+1)</f>
        <v/>
      </c>
      <c r="M7" s="37" t="inlineStr">
        <is>
          <t>Frankincense, Lemongrass</t>
        </is>
      </c>
      <c r="N7" s="42" t="n">
        <v>3</v>
      </c>
      <c r="O7" s="37" t="inlineStr"/>
      <c r="P7" s="37" t="inlineStr">
        <is>
          <t>Week one (fixed)</t>
        </is>
      </c>
    </row>
    <row r="8">
      <c r="A8" s="42" t="n">
        <v>6</v>
      </c>
      <c r="B8" s="42" t="inlineStr">
        <is>
          <t>November</t>
        </is>
      </c>
      <c r="C8" s="42" t="inlineStr">
        <is>
          <t>Thursday</t>
        </is>
      </c>
      <c r="D8" s="42" t="inlineStr">
        <is>
          <t>Full Moon</t>
        </is>
      </c>
      <c r="E8" s="42" t="inlineStr">
        <is>
          <t>Clear &amp; sunny</t>
        </is>
      </c>
      <c r="F8" s="42" t="inlineStr">
        <is>
          <t>Sunrise</t>
        </is>
      </c>
      <c r="G8" s="42" t="inlineStr"/>
      <c r="H8" s="42" t="n">
        <v>25</v>
      </c>
      <c r="I8" s="37" t="inlineStr">
        <is>
          <t>The Keeper's Knot</t>
        </is>
      </c>
      <c r="J8" s="42" t="inlineStr">
        <is>
          <t>Witch's Ladder</t>
        </is>
      </c>
      <c r="K8" s="37" t="inlineStr">
        <is>
          <t>Beaver Moon (November full moon)</t>
        </is>
      </c>
      <c r="L8" s="42">
        <f>IF(M8="",0,LEN(M8)-LEN(SUBSTITUTE(M8,",",""))+1)</f>
        <v/>
      </c>
      <c r="M8" s="37" t="inlineStr">
        <is>
          <t>Black thread, Brass button, Juniper, Shed cat whisker, White thread, Brown candle, Beaver Moon</t>
        </is>
      </c>
      <c r="N8" s="42" t="n">
        <v>1</v>
      </c>
      <c r="O8" s="37" t="inlineStr">
        <is>
          <t>Rosalind #23</t>
        </is>
      </c>
      <c r="P8" s="37" t="inlineStr">
        <is>
          <t>Week one (fixed): only Beaver Moon of the year, a stretch goal</t>
        </is>
      </c>
    </row>
    <row r="9">
      <c r="A9" s="42" t="n">
        <v>6</v>
      </c>
      <c r="B9" s="42" t="inlineStr">
        <is>
          <t>November</t>
        </is>
      </c>
      <c r="C9" s="42" t="inlineStr">
        <is>
          <t>Thursday</t>
        </is>
      </c>
      <c r="D9" s="42" t="inlineStr">
        <is>
          <t>Full Moon</t>
        </is>
      </c>
      <c r="E9" s="42" t="inlineStr">
        <is>
          <t>Clear &amp; sunny</t>
        </is>
      </c>
      <c r="F9" s="42" t="inlineStr">
        <is>
          <t>Twilight</t>
        </is>
      </c>
      <c r="G9" s="42" t="inlineStr"/>
      <c r="H9" s="42" t="n">
        <v>236</v>
      </c>
      <c r="I9" s="37" t="inlineStr">
        <is>
          <t>The Next Obsession</t>
        </is>
      </c>
      <c r="J9" s="42" t="inlineStr">
        <is>
          <t>Potion</t>
        </is>
      </c>
      <c r="K9" s="37" t="inlineStr">
        <is>
          <t>Any time</t>
        </is>
      </c>
      <c r="L9" s="42">
        <f>IF(M9="",0,LEN(M9)-LEN(SUBSTITUTE(M9,",",""))+1)</f>
        <v/>
      </c>
      <c r="M9" s="37" t="inlineStr">
        <is>
          <t>Cherry, Vanilla, The Fool</t>
        </is>
      </c>
      <c r="N9" s="42" t="n">
        <v>1</v>
      </c>
      <c r="O9" s="37" t="inlineStr"/>
      <c r="P9" s="37" t="inlineStr">
        <is>
          <t>Week one (fixed)</t>
        </is>
      </c>
    </row>
    <row r="10">
      <c r="A10" s="42" t="n">
        <v>8</v>
      </c>
      <c r="B10" s="42" t="inlineStr">
        <is>
          <t>November</t>
        </is>
      </c>
      <c r="C10" s="42" t="inlineStr">
        <is>
          <t>Saturday</t>
        </is>
      </c>
      <c r="D10" s="42" t="inlineStr">
        <is>
          <t>Waning Crescent</t>
        </is>
      </c>
      <c r="E10" s="42" t="inlineStr">
        <is>
          <t>Clear &amp; sunny</t>
        </is>
      </c>
      <c r="F10" s="42" t="inlineStr">
        <is>
          <t>Noon</t>
        </is>
      </c>
      <c r="G10" s="42" t="inlineStr"/>
      <c r="H10" s="42" t="n">
        <v>73</v>
      </c>
      <c r="I10" s="37" t="inlineStr">
        <is>
          <t>The Gentle No</t>
        </is>
      </c>
      <c r="J10" s="42" t="inlineStr">
        <is>
          <t>Soap</t>
        </is>
      </c>
      <c r="K10" s="37" t="inlineStr">
        <is>
          <t>Saturday · Waning Moon</t>
        </is>
      </c>
      <c r="L10" s="42">
        <f>IF(M10="",0,LEN(M10)-LEN(SUBSTITUTE(M10,",",""))+1)</f>
        <v/>
      </c>
      <c r="M10" s="37" t="inlineStr">
        <is>
          <t>Amazonite, Garden sage, Lemon, Justice</t>
        </is>
      </c>
      <c r="N10" s="42" t="n">
        <v>3</v>
      </c>
      <c r="O10" s="37" t="inlineStr">
        <is>
          <t>Dottie #161, Morwenna #21</t>
        </is>
      </c>
      <c r="P10" s="37" t="inlineStr"/>
    </row>
    <row r="11">
      <c r="A11" s="42" t="n">
        <v>9</v>
      </c>
      <c r="B11" s="42" t="inlineStr">
        <is>
          <t>December</t>
        </is>
      </c>
      <c r="C11" s="42" t="inlineStr">
        <is>
          <t>Sunday</t>
        </is>
      </c>
      <c r="D11" s="42" t="inlineStr">
        <is>
          <t>New Moon</t>
        </is>
      </c>
      <c r="E11" s="42" t="inlineStr">
        <is>
          <t>Rain</t>
        </is>
      </c>
      <c r="F11" s="42" t="inlineStr">
        <is>
          <t>Noon</t>
        </is>
      </c>
      <c r="G11" s="42" t="inlineStr"/>
      <c r="H11" s="42" t="n">
        <v>183</v>
      </c>
      <c r="I11" s="37" t="inlineStr">
        <is>
          <t>The Hand on the Wheel</t>
        </is>
      </c>
      <c r="J11" s="42" t="inlineStr">
        <is>
          <t>Talisman</t>
        </is>
      </c>
      <c r="K11" s="37" t="inlineStr">
        <is>
          <t>Sunday · Noon</t>
        </is>
      </c>
      <c r="L11" s="42">
        <f>IF(M11="",0,LEN(M11)-LEN(SUBSTITUTE(M11,",",""))+1)</f>
        <v/>
      </c>
      <c r="M11" s="37" t="inlineStr">
        <is>
          <t>Cinnamon, Tiger's eye, Gold candle, The Chariot</t>
        </is>
      </c>
      <c r="N11" s="42" t="n">
        <v>2</v>
      </c>
      <c r="O11" s="37" t="inlineStr">
        <is>
          <t>Morwenna #21</t>
        </is>
      </c>
      <c r="P11" s="37" t="inlineStr"/>
    </row>
    <row r="12">
      <c r="A12" s="42" t="n">
        <v>9</v>
      </c>
      <c r="B12" s="42" t="inlineStr">
        <is>
          <t>December</t>
        </is>
      </c>
      <c r="C12" s="42" t="inlineStr">
        <is>
          <t>Sunday</t>
        </is>
      </c>
      <c r="D12" s="42" t="inlineStr">
        <is>
          <t>New Moon</t>
        </is>
      </c>
      <c r="E12" s="42" t="inlineStr">
        <is>
          <t>Rain</t>
        </is>
      </c>
      <c r="F12" s="42" t="inlineStr">
        <is>
          <t>Twilight</t>
        </is>
      </c>
      <c r="G12" s="42" t="inlineStr"/>
      <c r="H12" s="42" t="n">
        <v>180</v>
      </c>
      <c r="I12" s="37" t="inlineStr">
        <is>
          <t>The Little Victory Bell</t>
        </is>
      </c>
      <c r="J12" s="42" t="inlineStr">
        <is>
          <t>Powder</t>
        </is>
      </c>
      <c r="K12" s="37" t="inlineStr">
        <is>
          <t>Twilight</t>
        </is>
      </c>
      <c r="L12" s="42">
        <f>IF(M12="",0,LEN(M12)-LEN(SUBSTITUTE(M12,",",""))+1)</f>
        <v/>
      </c>
      <c r="M12" s="37" t="inlineStr">
        <is>
          <t>Gold mica, Orange peel</t>
        </is>
      </c>
      <c r="N12" s="42" t="n">
        <v>2</v>
      </c>
      <c r="O12" s="37" t="inlineStr">
        <is>
          <t>Hester #68</t>
        </is>
      </c>
      <c r="P12" s="37" t="inlineStr"/>
    </row>
    <row r="13">
      <c r="A13" s="42" t="n">
        <v>10</v>
      </c>
      <c r="B13" s="42" t="inlineStr">
        <is>
          <t>December</t>
        </is>
      </c>
      <c r="C13" s="42" t="inlineStr">
        <is>
          <t>Monday</t>
        </is>
      </c>
      <c r="D13" s="42" t="inlineStr">
        <is>
          <t>Waxing Crescent</t>
        </is>
      </c>
      <c r="E13" s="42" t="inlineStr">
        <is>
          <t>Windy</t>
        </is>
      </c>
      <c r="F13" s="42" t="inlineStr">
        <is>
          <t>Sunrise</t>
        </is>
      </c>
      <c r="G13" s="42" t="inlineStr"/>
      <c r="H13" s="42" t="n">
        <v>144</v>
      </c>
      <c r="I13" s="37" t="inlineStr">
        <is>
          <t>The Sun's Little Promise</t>
        </is>
      </c>
      <c r="J13" s="42" t="inlineStr">
        <is>
          <t>Charm</t>
        </is>
      </c>
      <c r="K13" s="37" t="inlineStr">
        <is>
          <t>Yule · Sunrise</t>
        </is>
      </c>
      <c r="L13" s="42">
        <f>IF(M13="",0,LEN(M13)-LEN(SUBSTITUTE(M13,",",""))+1)</f>
        <v/>
      </c>
      <c r="M13" s="37" t="inlineStr">
        <is>
          <t>Orange, Patchwork scraps, Sunstone, Yule</t>
        </is>
      </c>
      <c r="N13" s="42" t="n">
        <v>4</v>
      </c>
      <c r="O13" s="37" t="inlineStr">
        <is>
          <t>Hester #68</t>
        </is>
      </c>
      <c r="P13" s="37" t="inlineStr"/>
    </row>
    <row r="14">
      <c r="A14" s="42" t="n">
        <v>10</v>
      </c>
      <c r="B14" s="42" t="inlineStr">
        <is>
          <t>December</t>
        </is>
      </c>
      <c r="C14" s="42" t="inlineStr">
        <is>
          <t>Monday</t>
        </is>
      </c>
      <c r="D14" s="42" t="inlineStr">
        <is>
          <t>Waxing Crescent</t>
        </is>
      </c>
      <c r="E14" s="42" t="inlineStr">
        <is>
          <t>Windy</t>
        </is>
      </c>
      <c r="F14" s="42" t="inlineStr">
        <is>
          <t>Noon</t>
        </is>
      </c>
      <c r="G14" s="42" t="inlineStr"/>
      <c r="H14" s="42" t="n">
        <v>136</v>
      </c>
      <c r="I14" s="37" t="inlineStr">
        <is>
          <t>The Wintering Star</t>
        </is>
      </c>
      <c r="J14" s="42" t="inlineStr">
        <is>
          <t>Butter</t>
        </is>
      </c>
      <c r="K14" s="37" t="inlineStr">
        <is>
          <t>Yule</t>
        </is>
      </c>
      <c r="L14" s="42">
        <f>IF(M14="",0,LEN(M14)-LEN(SUBSTITUTE(M14,",",""))+1)</f>
        <v/>
      </c>
      <c r="M14" s="37" t="inlineStr">
        <is>
          <t>Clove, Nutmeg</t>
        </is>
      </c>
      <c r="N14" s="42" t="n">
        <v>4</v>
      </c>
      <c r="O14" s="37" t="inlineStr"/>
      <c r="P14" s="37" t="inlineStr"/>
    </row>
    <row r="15">
      <c r="A15" s="42" t="n">
        <v>11</v>
      </c>
      <c r="B15" s="42" t="inlineStr">
        <is>
          <t>December</t>
        </is>
      </c>
      <c r="C15" s="42" t="inlineStr">
        <is>
          <t>Tuesday</t>
        </is>
      </c>
      <c r="D15" s="42" t="inlineStr">
        <is>
          <t>Waxing Gibbous</t>
        </is>
      </c>
      <c r="E15" s="42" t="inlineStr">
        <is>
          <t>Clear &amp; sunny</t>
        </is>
      </c>
      <c r="F15" s="42" t="inlineStr">
        <is>
          <t>Sunrise</t>
        </is>
      </c>
      <c r="G15" s="42" t="inlineStr"/>
      <c r="H15" s="42" t="n">
        <v>129</v>
      </c>
      <c r="I15" s="37" t="inlineStr">
        <is>
          <t>Sunrise in a Teacup</t>
        </is>
      </c>
      <c r="J15" s="42" t="inlineStr">
        <is>
          <t>Potion</t>
        </is>
      </c>
      <c r="K15" s="37" t="inlineStr">
        <is>
          <t>Sunrise</t>
        </is>
      </c>
      <c r="L15" s="42">
        <f>IF(M15="",0,LEN(M15)-LEN(SUBSTITUTE(M15,",",""))+1)</f>
        <v/>
      </c>
      <c r="M15" s="37" t="inlineStr">
        <is>
          <t>Dandelion, Dawn dew</t>
        </is>
      </c>
      <c r="N15" s="42" t="n">
        <v>7</v>
      </c>
      <c r="O15" s="37" t="inlineStr"/>
      <c r="P15" s="37" t="inlineStr"/>
    </row>
    <row r="16">
      <c r="A16" s="42" t="n">
        <v>11</v>
      </c>
      <c r="B16" s="42" t="inlineStr">
        <is>
          <t>December</t>
        </is>
      </c>
      <c r="C16" s="42" t="inlineStr">
        <is>
          <t>Tuesday</t>
        </is>
      </c>
      <c r="D16" s="42" t="inlineStr">
        <is>
          <t>Waxing Gibbous</t>
        </is>
      </c>
      <c r="E16" s="42" t="inlineStr">
        <is>
          <t>Clear &amp; sunny</t>
        </is>
      </c>
      <c r="F16" s="42" t="inlineStr">
        <is>
          <t>Noon</t>
        </is>
      </c>
      <c r="G16" s="42" t="inlineStr"/>
      <c r="H16" s="42" t="n">
        <v>50</v>
      </c>
      <c r="I16" s="37" t="inlineStr">
        <is>
          <t>The Scarlet Entrance</t>
        </is>
      </c>
      <c r="J16" s="42" t="inlineStr">
        <is>
          <t>Oil</t>
        </is>
      </c>
      <c r="K16" s="37" t="inlineStr">
        <is>
          <t>Tuesday · Waxing Moon</t>
        </is>
      </c>
      <c r="L16" s="42">
        <f>IF(M16="",0,LEN(M16)-LEN(SUBSTITUTE(M16,",",""))+1)</f>
        <v/>
      </c>
      <c r="M16" s="37" t="inlineStr">
        <is>
          <t>Black pepper, Garnet, Red candle</t>
        </is>
      </c>
      <c r="N16" s="42" t="n">
        <v>5</v>
      </c>
      <c r="O16" s="37" t="inlineStr"/>
      <c r="P16" s="37" t="inlineStr"/>
    </row>
    <row r="17">
      <c r="A17" s="42" t="n">
        <v>12</v>
      </c>
      <c r="B17" s="42" t="inlineStr">
        <is>
          <t>December</t>
        </is>
      </c>
      <c r="C17" s="42" t="inlineStr">
        <is>
          <t>Wednesday</t>
        </is>
      </c>
      <c r="D17" s="42" t="inlineStr">
        <is>
          <t>Full Moon</t>
        </is>
      </c>
      <c r="E17" s="42" t="inlineStr">
        <is>
          <t>Cloudy</t>
        </is>
      </c>
      <c r="F17" s="42" t="inlineStr">
        <is>
          <t>Sunrise</t>
        </is>
      </c>
      <c r="G17" s="42" t="inlineStr"/>
      <c r="H17" s="42" t="n">
        <v>65</v>
      </c>
      <c r="I17" s="37" t="inlineStr">
        <is>
          <t>Words Like Honey</t>
        </is>
      </c>
      <c r="J17" s="42" t="inlineStr">
        <is>
          <t>Tea</t>
        </is>
      </c>
      <c r="K17" s="37" t="inlineStr">
        <is>
          <t>Wednesday</t>
        </is>
      </c>
      <c r="L17" s="42">
        <f>IF(M17="",0,LEN(M17)-LEN(SUBSTITUTE(M17,",",""))+1)</f>
        <v/>
      </c>
      <c r="M17" s="37" t="inlineStr">
        <is>
          <t>Sweet pea, The Lovers</t>
        </is>
      </c>
      <c r="N17" s="42" t="n">
        <v>5</v>
      </c>
      <c r="O17" s="37" t="inlineStr">
        <is>
          <t>Hester #68</t>
        </is>
      </c>
      <c r="P17" s="37" t="inlineStr"/>
    </row>
    <row r="18">
      <c r="A18" s="42" t="n">
        <v>12</v>
      </c>
      <c r="B18" s="42" t="inlineStr">
        <is>
          <t>December</t>
        </is>
      </c>
      <c r="C18" s="42" t="inlineStr">
        <is>
          <t>Wednesday</t>
        </is>
      </c>
      <c r="D18" s="42" t="inlineStr">
        <is>
          <t>Full Moon</t>
        </is>
      </c>
      <c r="E18" s="42" t="inlineStr">
        <is>
          <t>Cloudy</t>
        </is>
      </c>
      <c r="F18" s="42" t="inlineStr">
        <is>
          <t>Sunrise</t>
        </is>
      </c>
      <c r="G18" s="42" t="inlineStr"/>
      <c r="H18" s="42" t="n">
        <v>165</v>
      </c>
      <c r="I18" s="37" t="inlineStr">
        <is>
          <t>The Solitude Sweetspot</t>
        </is>
      </c>
      <c r="J18" s="42" t="inlineStr">
        <is>
          <t>Tea</t>
        </is>
      </c>
      <c r="K18" s="37" t="inlineStr">
        <is>
          <t>Cold Moon (December full moon)</t>
        </is>
      </c>
      <c r="L18" s="42">
        <f>IF(M18="",0,LEN(M18)-LEN(SUBSTITUTE(M18,",",""))+1)</f>
        <v/>
      </c>
      <c r="M18" s="37" t="inlineStr">
        <is>
          <t>Bergamot, Black tea, Rose, Cold Moon</t>
        </is>
      </c>
      <c r="N18" s="42" t="n">
        <v>2</v>
      </c>
      <c r="O18" s="37" t="inlineStr"/>
      <c r="P18" s="37" t="inlineStr"/>
    </row>
    <row r="19">
      <c r="A19" s="42" t="n">
        <v>13</v>
      </c>
      <c r="B19" s="42" t="inlineStr">
        <is>
          <t>December</t>
        </is>
      </c>
      <c r="C19" s="42" t="inlineStr">
        <is>
          <t>Thursday</t>
        </is>
      </c>
      <c r="D19" s="42" t="inlineStr">
        <is>
          <t>Waning Gibbous</t>
        </is>
      </c>
      <c r="E19" s="42" t="inlineStr">
        <is>
          <t>Snow</t>
        </is>
      </c>
      <c r="F19" s="42" t="inlineStr">
        <is>
          <t>Sunrise</t>
        </is>
      </c>
      <c r="G19" s="42" t="inlineStr"/>
      <c r="H19" s="42" t="n">
        <v>214</v>
      </c>
      <c r="I19" s="37" t="inlineStr">
        <is>
          <t>The Main-Character Morning</t>
        </is>
      </c>
      <c r="J19" s="42" t="inlineStr">
        <is>
          <t>Potion</t>
        </is>
      </c>
      <c r="K19" s="37" t="inlineStr">
        <is>
          <t>Sunrise</t>
        </is>
      </c>
      <c r="L19" s="42">
        <f>IF(M19="",0,LEN(M19)-LEN(SUBSTITUTE(M19,",",""))+1)</f>
        <v/>
      </c>
      <c r="M19" s="37" t="inlineStr">
        <is>
          <t>Strawberry, Orange candle</t>
        </is>
      </c>
      <c r="N19" s="42" t="n">
        <v>5</v>
      </c>
      <c r="O19" s="37" t="inlineStr">
        <is>
          <t>Felix #151</t>
        </is>
      </c>
      <c r="P19" s="37" t="inlineStr"/>
    </row>
    <row r="20">
      <c r="A20" s="42" t="n">
        <v>13</v>
      </c>
      <c r="B20" s="42" t="inlineStr">
        <is>
          <t>December</t>
        </is>
      </c>
      <c r="C20" s="42" t="inlineStr">
        <is>
          <t>Thursday</t>
        </is>
      </c>
      <c r="D20" s="42" t="inlineStr">
        <is>
          <t>Waning Gibbous</t>
        </is>
      </c>
      <c r="E20" s="42" t="inlineStr">
        <is>
          <t>Snow</t>
        </is>
      </c>
      <c r="F20" s="42" t="inlineStr">
        <is>
          <t>Noon</t>
        </is>
      </c>
      <c r="G20" s="42" t="inlineStr"/>
      <c r="H20" s="42" t="n">
        <v>233</v>
      </c>
      <c r="I20" s="37" t="inlineStr">
        <is>
          <t>The Casual Enchantment</t>
        </is>
      </c>
      <c r="J20" s="42" t="inlineStr">
        <is>
          <t>Glamour</t>
        </is>
      </c>
      <c r="K20" s="37" t="inlineStr">
        <is>
          <t>Any time</t>
        </is>
      </c>
      <c r="L20" s="42">
        <f>IF(M20="",0,LEN(M20)-LEN(SUBSTITUTE(M20,",",""))+1)</f>
        <v/>
      </c>
      <c r="M20" s="37" t="inlineStr">
        <is>
          <t>Mint, Rosewater</t>
        </is>
      </c>
      <c r="N20" s="42" t="n">
        <v>1</v>
      </c>
      <c r="O20" s="37" t="inlineStr">
        <is>
          <t>Felix #151</t>
        </is>
      </c>
      <c r="P20" s="37" t="inlineStr"/>
    </row>
    <row r="21">
      <c r="A21" s="42" t="n">
        <v>14</v>
      </c>
      <c r="B21" s="42" t="inlineStr">
        <is>
          <t>December</t>
        </is>
      </c>
      <c r="C21" s="42" t="inlineStr">
        <is>
          <t>Friday</t>
        </is>
      </c>
      <c r="D21" s="42" t="inlineStr">
        <is>
          <t>Waning Crescent</t>
        </is>
      </c>
      <c r="E21" s="42" t="inlineStr">
        <is>
          <t>Snow</t>
        </is>
      </c>
      <c r="F21" s="42" t="inlineStr">
        <is>
          <t>Sunrise</t>
        </is>
      </c>
      <c r="G21" s="42" t="inlineStr"/>
      <c r="H21" s="42" t="n">
        <v>205</v>
      </c>
      <c r="I21" s="37" t="inlineStr">
        <is>
          <t>The Empty Frame</t>
        </is>
      </c>
      <c r="J21" s="42" t="inlineStr">
        <is>
          <t>Water</t>
        </is>
      </c>
      <c r="K21" s="37" t="inlineStr">
        <is>
          <t>Waning Moon</t>
        </is>
      </c>
      <c r="L21" s="42">
        <f>IF(M21="",0,LEN(M21)-LEN(SUBSTITUTE(M21,",",""))+1)</f>
        <v/>
      </c>
      <c r="M21" s="37" t="inlineStr"/>
      <c r="N21" s="42" t="n">
        <v>5</v>
      </c>
      <c r="O21" s="37" t="inlineStr"/>
      <c r="P21" s="37" t="inlineStr"/>
    </row>
    <row r="22">
      <c r="A22" s="42" t="n">
        <v>14</v>
      </c>
      <c r="B22" s="42" t="inlineStr">
        <is>
          <t>December</t>
        </is>
      </c>
      <c r="C22" s="42" t="inlineStr">
        <is>
          <t>Friday</t>
        </is>
      </c>
      <c r="D22" s="42" t="inlineStr">
        <is>
          <t>Waning Crescent</t>
        </is>
      </c>
      <c r="E22" s="42" t="inlineStr">
        <is>
          <t>Snow</t>
        </is>
      </c>
      <c r="F22" s="42" t="inlineStr">
        <is>
          <t>Noon</t>
        </is>
      </c>
      <c r="G22" s="42" t="inlineStr"/>
      <c r="H22" s="42" t="n">
        <v>168</v>
      </c>
      <c r="I22" s="37" t="inlineStr">
        <is>
          <t>The Waiting Room Oracle</t>
        </is>
      </c>
      <c r="J22" s="42" t="inlineStr">
        <is>
          <t>Rune</t>
        </is>
      </c>
      <c r="K22" s="37" t="inlineStr">
        <is>
          <t>Any time</t>
        </is>
      </c>
      <c r="L22" s="42">
        <f>IF(M22="",0,LEN(M22)-LEN(SUBSTITUTE(M22,",",""))+1)</f>
        <v/>
      </c>
      <c r="M22" s="37" t="inlineStr">
        <is>
          <t>Howlite, River stone, The Hanged Man</t>
        </is>
      </c>
      <c r="N22" s="42" t="n">
        <v>1</v>
      </c>
      <c r="O22" s="37" t="inlineStr"/>
      <c r="P22" s="37" t="inlineStr"/>
    </row>
    <row r="23">
      <c r="A23" s="42" t="n">
        <v>15</v>
      </c>
      <c r="B23" s="42" t="inlineStr">
        <is>
          <t>January</t>
        </is>
      </c>
      <c r="C23" s="42" t="inlineStr">
        <is>
          <t>Saturday</t>
        </is>
      </c>
      <c r="D23" s="42" t="inlineStr">
        <is>
          <t>New Moon</t>
        </is>
      </c>
      <c r="E23" s="42" t="inlineStr">
        <is>
          <t>Clear &amp; sunny</t>
        </is>
      </c>
      <c r="F23" s="42" t="inlineStr">
        <is>
          <t>Twilight</t>
        </is>
      </c>
      <c r="G23" s="42" t="inlineStr"/>
      <c r="H23" s="42" t="n">
        <v>222</v>
      </c>
      <c r="I23" s="37" t="inlineStr">
        <is>
          <t>The Camera Loves You</t>
        </is>
      </c>
      <c r="J23" s="42" t="inlineStr">
        <is>
          <t>Glamour</t>
        </is>
      </c>
      <c r="K23" s="37" t="inlineStr">
        <is>
          <t>Twilight (golden hour)</t>
        </is>
      </c>
      <c r="L23" s="42">
        <f>IF(M23="",0,LEN(M23)-LEN(SUBSTITUTE(M23,",",""))+1)</f>
        <v/>
      </c>
      <c r="M23" s="37" t="inlineStr">
        <is>
          <t>Peach, Pearl, The Devil</t>
        </is>
      </c>
      <c r="N23" s="42" t="n">
        <v>3</v>
      </c>
      <c r="O23" s="37" t="inlineStr"/>
      <c r="P23" s="37" t="inlineStr"/>
    </row>
    <row r="24">
      <c r="A24" s="42" t="n">
        <v>15</v>
      </c>
      <c r="B24" s="42" t="inlineStr">
        <is>
          <t>January</t>
        </is>
      </c>
      <c r="C24" s="42" t="inlineStr">
        <is>
          <t>Saturday</t>
        </is>
      </c>
      <c r="D24" s="42" t="inlineStr">
        <is>
          <t>New Moon</t>
        </is>
      </c>
      <c r="E24" s="42" t="inlineStr">
        <is>
          <t>Clear &amp; sunny</t>
        </is>
      </c>
      <c r="F24" s="42" t="inlineStr">
        <is>
          <t>Nightfall</t>
        </is>
      </c>
      <c r="G24" s="42" t="inlineStr"/>
      <c r="H24" s="42" t="n">
        <v>18</v>
      </c>
      <c r="I24" s="37" t="inlineStr">
        <is>
          <t>The Closed Gate</t>
        </is>
      </c>
      <c r="J24" s="42" t="inlineStr">
        <is>
          <t>Sigil</t>
        </is>
      </c>
      <c r="K24" s="37" t="inlineStr">
        <is>
          <t>Saturday · Dark Moon · Nightfall</t>
        </is>
      </c>
      <c r="L24" s="42">
        <f>IF(M24="",0,LEN(M24)-LEN(SUBSTITUTE(M24,",",""))+1)</f>
        <v/>
      </c>
      <c r="M24" s="37" t="inlineStr">
        <is>
          <t>Black ink, Myrrh, Black candle, Dark Moon</t>
        </is>
      </c>
      <c r="N24" s="42" t="n">
        <v>4</v>
      </c>
      <c r="O24" s="37" t="inlineStr"/>
      <c r="P24" s="37" t="inlineStr"/>
    </row>
    <row r="25">
      <c r="A25" s="42" t="n">
        <v>15</v>
      </c>
      <c r="B25" s="42" t="inlineStr">
        <is>
          <t>January</t>
        </is>
      </c>
      <c r="C25" s="42" t="inlineStr">
        <is>
          <t>Saturday</t>
        </is>
      </c>
      <c r="D25" s="42" t="inlineStr">
        <is>
          <t>New Moon</t>
        </is>
      </c>
      <c r="E25" s="42" t="inlineStr">
        <is>
          <t>Clear &amp; sunny</t>
        </is>
      </c>
      <c r="F25" s="42" t="inlineStr">
        <is>
          <t>Nightfall</t>
        </is>
      </c>
      <c r="G25" s="42" t="inlineStr"/>
      <c r="H25" s="42" t="n">
        <v>109</v>
      </c>
      <c r="I25" s="37" t="inlineStr">
        <is>
          <t>The Quiet Between Stars</t>
        </is>
      </c>
      <c r="J25" s="42" t="inlineStr">
        <is>
          <t>Incense</t>
        </is>
      </c>
      <c r="K25" s="37" t="inlineStr">
        <is>
          <t>Clear starry night · New Moon</t>
        </is>
      </c>
      <c r="L25" s="42">
        <f>IF(M25="",0,LEN(M25)-LEN(SUBSTITUTE(M25,",",""))+1)</f>
        <v/>
      </c>
      <c r="M25" s="37" t="inlineStr">
        <is>
          <t>Lotus, Sandalwood, Clear starry night</t>
        </is>
      </c>
      <c r="N25" s="42" t="n">
        <v>5</v>
      </c>
      <c r="O25" s="37" t="inlineStr">
        <is>
          <t>Edmund #96</t>
        </is>
      </c>
      <c r="P25" s="37" t="inlineStr"/>
    </row>
    <row r="26">
      <c r="A26" s="42" t="n">
        <v>16</v>
      </c>
      <c r="B26" s="42" t="inlineStr">
        <is>
          <t>January</t>
        </is>
      </c>
      <c r="C26" s="42" t="inlineStr">
        <is>
          <t>Sunday</t>
        </is>
      </c>
      <c r="D26" s="42" t="inlineStr">
        <is>
          <t>Waxing Crescent</t>
        </is>
      </c>
      <c r="E26" s="42" t="inlineStr">
        <is>
          <t>Rain</t>
        </is>
      </c>
      <c r="F26" s="42" t="inlineStr">
        <is>
          <t>Sunrise</t>
        </is>
      </c>
      <c r="G26" s="42" t="inlineStr">
        <is>
          <t>Yes</t>
        </is>
      </c>
      <c r="H26" s="42" t="n">
        <v>102</v>
      </c>
      <c r="I26" s="37" t="inlineStr">
        <is>
          <t>The Slow-Blooming Rose</t>
        </is>
      </c>
      <c r="J26" s="42" t="inlineStr">
        <is>
          <t>Sachet</t>
        </is>
      </c>
      <c r="K26" s="37" t="inlineStr">
        <is>
          <t>Waxing Crescent</t>
        </is>
      </c>
      <c r="L26" s="42">
        <f>IF(M26="",0,LEN(M26)-LEN(SUBSTITUTE(M26,",",""))+1)</f>
        <v/>
      </c>
      <c r="M26" s="37" t="inlineStr">
        <is>
          <t>Green thread, Rosebud, Green candle, Waxing Crescent</t>
        </is>
      </c>
      <c r="N26" s="42" t="n">
        <v>4</v>
      </c>
      <c r="O26" s="37" t="inlineStr">
        <is>
          <t>Hester #135</t>
        </is>
      </c>
      <c r="P26" s="37" t="inlineStr"/>
    </row>
    <row r="27">
      <c r="A27" s="42" t="n">
        <v>16</v>
      </c>
      <c r="B27" s="42" t="inlineStr">
        <is>
          <t>January</t>
        </is>
      </c>
      <c r="C27" s="42" t="inlineStr">
        <is>
          <t>Sunday</t>
        </is>
      </c>
      <c r="D27" s="42" t="inlineStr">
        <is>
          <t>Waxing Crescent</t>
        </is>
      </c>
      <c r="E27" s="42" t="inlineStr">
        <is>
          <t>Rain</t>
        </is>
      </c>
      <c r="F27" s="42" t="inlineStr">
        <is>
          <t>Noon</t>
        </is>
      </c>
      <c r="G27" s="42" t="inlineStr"/>
      <c r="H27" s="42" t="n">
        <v>55</v>
      </c>
      <c r="I27" s="37" t="inlineStr">
        <is>
          <t>Celestial Spotlight</t>
        </is>
      </c>
      <c r="J27" s="42" t="inlineStr">
        <is>
          <t>Powder</t>
        </is>
      </c>
      <c r="K27" s="37" t="inlineStr">
        <is>
          <t>Sunday · Noon</t>
        </is>
      </c>
      <c r="L27" s="42">
        <f>IF(M27="",0,LEN(M27)-LEN(SUBSTITUTE(M27,",",""))+1)</f>
        <v/>
      </c>
      <c r="M27" s="37" t="inlineStr">
        <is>
          <t>Orange blossom</t>
        </is>
      </c>
      <c r="N27" s="42" t="n">
        <v>7</v>
      </c>
      <c r="O27" s="37" t="inlineStr"/>
      <c r="P27" s="37" t="inlineStr"/>
    </row>
    <row r="28">
      <c r="A28" s="42" t="n">
        <v>17</v>
      </c>
      <c r="B28" s="42" t="inlineStr">
        <is>
          <t>January</t>
        </is>
      </c>
      <c r="C28" s="42" t="inlineStr">
        <is>
          <t>Monday</t>
        </is>
      </c>
      <c r="D28" s="42" t="inlineStr">
        <is>
          <t>Waxing Gibbous</t>
        </is>
      </c>
      <c r="E28" s="42" t="inlineStr">
        <is>
          <t>Snow</t>
        </is>
      </c>
      <c r="F28" s="42" t="inlineStr">
        <is>
          <t>Sunrise</t>
        </is>
      </c>
      <c r="G28" s="42" t="inlineStr"/>
      <c r="H28" s="42" t="n">
        <v>174</v>
      </c>
      <c r="I28" s="37" t="inlineStr">
        <is>
          <t>The Offline Garden</t>
        </is>
      </c>
      <c r="J28" s="42" t="inlineStr">
        <is>
          <t>Water</t>
        </is>
      </c>
      <c r="K28" s="37" t="inlineStr">
        <is>
          <t>Snow</t>
        </is>
      </c>
      <c r="L28" s="42">
        <f>IF(M28="",0,LEN(M28)-LEN(SUBSTITUTE(M28,",",""))+1)</f>
        <v/>
      </c>
      <c r="M28" s="37" t="inlineStr">
        <is>
          <t>Hops, Moss agate, Silver candle, Snow</t>
        </is>
      </c>
      <c r="N28" s="42" t="n">
        <v>2</v>
      </c>
      <c r="O28" s="37" t="inlineStr"/>
      <c r="P28" s="37" t="inlineStr"/>
    </row>
    <row r="29">
      <c r="A29" s="42" t="n">
        <v>17</v>
      </c>
      <c r="B29" s="42" t="inlineStr">
        <is>
          <t>January</t>
        </is>
      </c>
      <c r="C29" s="42" t="inlineStr">
        <is>
          <t>Monday</t>
        </is>
      </c>
      <c r="D29" s="42" t="inlineStr">
        <is>
          <t>Waxing Gibbous</t>
        </is>
      </c>
      <c r="E29" s="42" t="inlineStr">
        <is>
          <t>Snow</t>
        </is>
      </c>
      <c r="F29" s="42" t="inlineStr">
        <is>
          <t>Noon</t>
        </is>
      </c>
      <c r="G29" s="42" t="inlineStr"/>
      <c r="H29" s="42" t="n">
        <v>52</v>
      </c>
      <c r="I29" s="37" t="inlineStr">
        <is>
          <t>Swanlight</t>
        </is>
      </c>
      <c r="J29" s="42" t="inlineStr">
        <is>
          <t>Soap</t>
        </is>
      </c>
      <c r="K29" s="37" t="inlineStr">
        <is>
          <t>Monday · Snow</t>
        </is>
      </c>
      <c r="L29" s="42">
        <f>IF(M29="",0,LEN(M29)-LEN(SUBSTITUTE(M29,",",""))+1)</f>
        <v/>
      </c>
      <c r="M29" s="37" t="inlineStr">
        <is>
          <t>Selenite, White lily, Temperance</t>
        </is>
      </c>
      <c r="N29" s="42" t="n">
        <v>7</v>
      </c>
      <c r="O29" s="37" t="inlineStr"/>
      <c r="P29" s="37" t="inlineStr"/>
    </row>
    <row r="30">
      <c r="A30" s="42" t="n">
        <v>18</v>
      </c>
      <c r="B30" s="42" t="inlineStr">
        <is>
          <t>January</t>
        </is>
      </c>
      <c r="C30" s="42" t="inlineStr">
        <is>
          <t>Tuesday</t>
        </is>
      </c>
      <c r="D30" s="42" t="inlineStr">
        <is>
          <t>Full Moon</t>
        </is>
      </c>
      <c r="E30" s="42" t="inlineStr">
        <is>
          <t>Cloudy</t>
        </is>
      </c>
      <c r="F30" s="42" t="inlineStr">
        <is>
          <t>Sunrise</t>
        </is>
      </c>
      <c r="G30" s="42" t="inlineStr">
        <is>
          <t>Yes</t>
        </is>
      </c>
      <c r="H30" s="42" t="n">
        <v>4</v>
      </c>
      <c r="I30" s="37" t="inlineStr">
        <is>
          <t>Ember of Eden</t>
        </is>
      </c>
      <c r="J30" s="42" t="inlineStr">
        <is>
          <t>Oil</t>
        </is>
      </c>
      <c r="K30" s="37" t="inlineStr">
        <is>
          <t>Tuesday · Full Moon · Sunrise</t>
        </is>
      </c>
      <c r="L30" s="42">
        <f>IF(M30="",0,LEN(M30)-LEN(SUBSTITUTE(M30,",",""))+1)</f>
        <v/>
      </c>
      <c r="M30" s="37" t="inlineStr">
        <is>
          <t>Apple peel, Cardamom, Carnelian, Hibiscus</t>
        </is>
      </c>
      <c r="N30" s="42" t="n">
        <v>6</v>
      </c>
      <c r="O30" s="37" t="inlineStr"/>
      <c r="P30" s="37" t="inlineStr"/>
    </row>
    <row r="31">
      <c r="A31" s="42" t="n">
        <v>18</v>
      </c>
      <c r="B31" s="42" t="inlineStr">
        <is>
          <t>January</t>
        </is>
      </c>
      <c r="C31" s="42" t="inlineStr">
        <is>
          <t>Tuesday</t>
        </is>
      </c>
      <c r="D31" s="42" t="inlineStr">
        <is>
          <t>Full Moon</t>
        </is>
      </c>
      <c r="E31" s="42" t="inlineStr">
        <is>
          <t>Cloudy</t>
        </is>
      </c>
      <c r="F31" s="42" t="inlineStr">
        <is>
          <t>Noon</t>
        </is>
      </c>
      <c r="G31" s="42" t="inlineStr"/>
      <c r="H31" s="42" t="n">
        <v>199</v>
      </c>
      <c r="I31" s="37" t="inlineStr">
        <is>
          <t>The Brave Little Lantern</t>
        </is>
      </c>
      <c r="J31" s="42" t="inlineStr">
        <is>
          <t>Potion</t>
        </is>
      </c>
      <c r="K31" s="37" t="inlineStr">
        <is>
          <t>Wolf Moon (January full moon)</t>
        </is>
      </c>
      <c r="L31" s="42">
        <f>IF(M31="",0,LEN(M31)-LEN(SUBSTITUTE(M31,",",""))+1)</f>
        <v/>
      </c>
      <c r="M31" s="37" t="inlineStr">
        <is>
          <t>Black salt, Wolf Moon</t>
        </is>
      </c>
      <c r="N31" s="42" t="n">
        <v>6</v>
      </c>
      <c r="O31" s="37" t="inlineStr"/>
      <c r="P31" s="37" t="inlineStr"/>
    </row>
    <row r="32">
      <c r="A32" s="42" t="n">
        <v>19</v>
      </c>
      <c r="B32" s="42" t="inlineStr">
        <is>
          <t>January</t>
        </is>
      </c>
      <c r="C32" s="42" t="inlineStr">
        <is>
          <t>Wednesday</t>
        </is>
      </c>
      <c r="D32" s="42" t="inlineStr">
        <is>
          <t>Waning Gibbous</t>
        </is>
      </c>
      <c r="E32" s="42" t="inlineStr">
        <is>
          <t>Snow</t>
        </is>
      </c>
      <c r="F32" s="42" t="inlineStr">
        <is>
          <t>Sunrise</t>
        </is>
      </c>
      <c r="G32" s="42" t="inlineStr"/>
      <c r="H32" s="42" t="n">
        <v>85</v>
      </c>
      <c r="I32" s="37" t="inlineStr">
        <is>
          <t>First Spark, First Flame</t>
        </is>
      </c>
      <c r="J32" s="42" t="inlineStr">
        <is>
          <t>Rune</t>
        </is>
      </c>
      <c r="K32" s="37" t="inlineStr">
        <is>
          <t>Imbolc · Sunrise</t>
        </is>
      </c>
      <c r="L32" s="42">
        <f>IF(M32="",0,LEN(M32)-LEN(SUBSTITUTE(M32,",",""))+1)</f>
        <v/>
      </c>
      <c r="M32" s="37" t="inlineStr">
        <is>
          <t>Birch wood, Red paint, Imbolc</t>
        </is>
      </c>
      <c r="N32" s="42" t="n">
        <v>5</v>
      </c>
      <c r="O32" s="37" t="inlineStr">
        <is>
          <t>Hester #135</t>
        </is>
      </c>
      <c r="P32" s="37" t="inlineStr"/>
    </row>
    <row r="33">
      <c r="A33" s="42" t="n">
        <v>19</v>
      </c>
      <c r="B33" s="42" t="inlineStr">
        <is>
          <t>January</t>
        </is>
      </c>
      <c r="C33" s="42" t="inlineStr">
        <is>
          <t>Wednesday</t>
        </is>
      </c>
      <c r="D33" s="42" t="inlineStr">
        <is>
          <t>Waning Gibbous</t>
        </is>
      </c>
      <c r="E33" s="42" t="inlineStr">
        <is>
          <t>Snow</t>
        </is>
      </c>
      <c r="F33" s="42" t="inlineStr">
        <is>
          <t>Noon</t>
        </is>
      </c>
      <c r="G33" s="42" t="inlineStr"/>
      <c r="H33" s="42" t="n">
        <v>30</v>
      </c>
      <c r="I33" s="37" t="inlineStr">
        <is>
          <t>The Hearth's Gentle Flame</t>
        </is>
      </c>
      <c r="J33" s="42" t="inlineStr">
        <is>
          <t>Butter</t>
        </is>
      </c>
      <c r="K33" s="37" t="inlineStr">
        <is>
          <t>Imbolc</t>
        </is>
      </c>
      <c r="L33" s="42">
        <f>IF(M33="",0,LEN(M33)-LEN(SUBSTITUTE(M33,",",""))+1)</f>
        <v/>
      </c>
      <c r="M33" s="37" t="inlineStr"/>
      <c r="N33" s="42" t="n">
        <v>7</v>
      </c>
      <c r="O33" s="37" t="inlineStr"/>
      <c r="P33" s="37" t="inlineStr"/>
    </row>
    <row r="34">
      <c r="A34" s="42" t="n">
        <v>20</v>
      </c>
      <c r="B34" s="42" t="inlineStr">
        <is>
          <t>January</t>
        </is>
      </c>
      <c r="C34" s="42" t="inlineStr">
        <is>
          <t>Thursday</t>
        </is>
      </c>
      <c r="D34" s="42" t="inlineStr">
        <is>
          <t>Waning Crescent</t>
        </is>
      </c>
      <c r="E34" s="42" t="inlineStr">
        <is>
          <t>Cloudy</t>
        </is>
      </c>
      <c r="F34" s="42" t="inlineStr">
        <is>
          <t>Sunrise</t>
        </is>
      </c>
      <c r="G34" s="42" t="inlineStr"/>
      <c r="H34" s="42" t="n">
        <v>31</v>
      </c>
      <c r="I34" s="37" t="inlineStr">
        <is>
          <t>Cloverkiss</t>
        </is>
      </c>
      <c r="J34" s="42" t="inlineStr">
        <is>
          <t>Potion</t>
        </is>
      </c>
      <c r="K34" s="37" t="inlineStr">
        <is>
          <t>Thursday</t>
        </is>
      </c>
      <c r="L34" s="42">
        <f>IF(M34="",0,LEN(M34)-LEN(SUBSTITUTE(M34,",",""))+1)</f>
        <v/>
      </c>
      <c r="M34" s="37" t="inlineStr">
        <is>
          <t>Clover, Four-leaf clover, Green aventurine, Wheel of Fortune</t>
        </is>
      </c>
      <c r="N34" s="42" t="n">
        <v>5</v>
      </c>
      <c r="O34" s="37" t="inlineStr">
        <is>
          <t>Morwenna #124</t>
        </is>
      </c>
      <c r="P34" s="37" t="inlineStr"/>
    </row>
    <row r="35">
      <c r="A35" s="42" t="n">
        <v>20</v>
      </c>
      <c r="B35" s="42" t="inlineStr">
        <is>
          <t>January</t>
        </is>
      </c>
      <c r="C35" s="42" t="inlineStr">
        <is>
          <t>Thursday</t>
        </is>
      </c>
      <c r="D35" s="42" t="inlineStr">
        <is>
          <t>Waning Crescent</t>
        </is>
      </c>
      <c r="E35" s="42" t="inlineStr">
        <is>
          <t>Cloudy</t>
        </is>
      </c>
      <c r="F35" s="42" t="inlineStr">
        <is>
          <t>Noon</t>
        </is>
      </c>
      <c r="G35" s="42" t="inlineStr"/>
      <c r="H35" s="42" t="n">
        <v>217</v>
      </c>
      <c r="I35" s="37" t="inlineStr">
        <is>
          <t>Everyday Stardust</t>
        </is>
      </c>
      <c r="J35" s="42" t="inlineStr">
        <is>
          <t>Powder</t>
        </is>
      </c>
      <c r="K35" s="37" t="inlineStr">
        <is>
          <t>Any time</t>
        </is>
      </c>
      <c r="L35" s="42">
        <f>IF(M35="",0,LEN(M35)-LEN(SUBSTITUTE(M35,",",""))+1)</f>
        <v/>
      </c>
      <c r="M35" s="37" t="inlineStr">
        <is>
          <t>Silver mica, Star anise</t>
        </is>
      </c>
      <c r="N35" s="42" t="n">
        <v>1</v>
      </c>
      <c r="O35" s="37" t="inlineStr">
        <is>
          <t>Morwenna #124</t>
        </is>
      </c>
      <c r="P35" s="37" t="inlineStr"/>
    </row>
    <row r="36">
      <c r="A36" s="42" t="n">
        <v>21</v>
      </c>
      <c r="B36" s="42" t="inlineStr">
        <is>
          <t>February</t>
        </is>
      </c>
      <c r="C36" s="42" t="inlineStr">
        <is>
          <t>Friday</t>
        </is>
      </c>
      <c r="D36" s="42" t="inlineStr">
        <is>
          <t>New Moon</t>
        </is>
      </c>
      <c r="E36" s="42" t="inlineStr">
        <is>
          <t>Clear &amp; sunny</t>
        </is>
      </c>
      <c r="F36" s="42" t="inlineStr">
        <is>
          <t>Sunrise</t>
        </is>
      </c>
      <c r="G36" s="42" t="inlineStr">
        <is>
          <t>Yes</t>
        </is>
      </c>
      <c r="H36" s="42" t="n">
        <v>72</v>
      </c>
      <c r="I36" s="37" t="inlineStr">
        <is>
          <t>The Open Doorbell</t>
        </is>
      </c>
      <c r="J36" s="42" t="inlineStr">
        <is>
          <t>Cookies</t>
        </is>
      </c>
      <c r="K36" s="37" t="inlineStr">
        <is>
          <t>Friday · Clear &amp; sunny</t>
        </is>
      </c>
      <c r="L36" s="42">
        <f>IF(M36="",0,LEN(M36)-LEN(SUBSTITUTE(M36,",",""))+1)</f>
        <v/>
      </c>
      <c r="M36" s="37" t="inlineStr">
        <is>
          <t>Clear &amp; sunny</t>
        </is>
      </c>
      <c r="N36" s="42" t="n">
        <v>5</v>
      </c>
      <c r="O36" s="37" t="inlineStr">
        <is>
          <t>Rosalind #155</t>
        </is>
      </c>
      <c r="P36" s="37" t="inlineStr"/>
    </row>
    <row r="37">
      <c r="A37" s="42" t="n">
        <v>21</v>
      </c>
      <c r="B37" s="42" t="inlineStr">
        <is>
          <t>February</t>
        </is>
      </c>
      <c r="C37" s="42" t="inlineStr">
        <is>
          <t>Friday</t>
        </is>
      </c>
      <c r="D37" s="42" t="inlineStr">
        <is>
          <t>New Moon</t>
        </is>
      </c>
      <c r="E37" s="42" t="inlineStr">
        <is>
          <t>Clear &amp; sunny</t>
        </is>
      </c>
      <c r="F37" s="42" t="inlineStr">
        <is>
          <t>Nightfall</t>
        </is>
      </c>
      <c r="G37" s="42" t="inlineStr"/>
      <c r="H37" s="42" t="n">
        <v>59</v>
      </c>
      <c r="I37" s="37" t="inlineStr">
        <is>
          <t>Midnight Satin</t>
        </is>
      </c>
      <c r="J37" s="42" t="inlineStr">
        <is>
          <t>Sachet</t>
        </is>
      </c>
      <c r="K37" s="37" t="inlineStr">
        <is>
          <t>Friday · Dark Moon · Nightfall</t>
        </is>
      </c>
      <c r="L37" s="42">
        <f>IF(M37="",0,LEN(M37)-LEN(SUBSTITUTE(M37,",",""))+1)</f>
        <v/>
      </c>
      <c r="M37" s="37" t="inlineStr">
        <is>
          <t>Jasmine, Patchouli, Satin ribbon</t>
        </is>
      </c>
      <c r="N37" s="42" t="n">
        <v>8</v>
      </c>
      <c r="O37" s="37" t="inlineStr"/>
      <c r="P37" s="37" t="inlineStr"/>
    </row>
    <row r="38">
      <c r="A38" s="42" t="n">
        <v>22</v>
      </c>
      <c r="B38" s="42" t="inlineStr">
        <is>
          <t>February</t>
        </is>
      </c>
      <c r="C38" s="42" t="inlineStr">
        <is>
          <t>Saturday</t>
        </is>
      </c>
      <c r="D38" s="42" t="inlineStr">
        <is>
          <t>Waxing Crescent</t>
        </is>
      </c>
      <c r="E38" s="42" t="inlineStr">
        <is>
          <t>Cloudy</t>
        </is>
      </c>
      <c r="F38" s="42" t="inlineStr">
        <is>
          <t>Sunrise</t>
        </is>
      </c>
      <c r="G38" s="42" t="inlineStr"/>
      <c r="H38" s="42" t="n">
        <v>200</v>
      </c>
      <c r="I38" s="37" t="inlineStr">
        <is>
          <t>The Broken Loop Key</t>
        </is>
      </c>
      <c r="J38" s="42" t="inlineStr">
        <is>
          <t>Witch's Ladder</t>
        </is>
      </c>
      <c r="K38" s="37" t="inlineStr">
        <is>
          <t>Saturday</t>
        </is>
      </c>
      <c r="L38" s="42">
        <f>IF(M38="",0,LEN(M38)-LEN(SUBSTITUTE(M38,",",""))+1)</f>
        <v/>
      </c>
      <c r="M38" s="37" t="inlineStr">
        <is>
          <t>Bay leaf, Purple thread, Grey candle, The Tower</t>
        </is>
      </c>
      <c r="N38" s="42" t="n">
        <v>3</v>
      </c>
      <c r="O38" s="37" t="inlineStr">
        <is>
          <t>Felix #34</t>
        </is>
      </c>
      <c r="P38" s="37" t="inlineStr"/>
    </row>
    <row r="39">
      <c r="A39" s="42" t="n">
        <v>22</v>
      </c>
      <c r="B39" s="42" t="inlineStr">
        <is>
          <t>February</t>
        </is>
      </c>
      <c r="C39" s="42" t="inlineStr">
        <is>
          <t>Saturday</t>
        </is>
      </c>
      <c r="D39" s="42" t="inlineStr">
        <is>
          <t>Waxing Crescent</t>
        </is>
      </c>
      <c r="E39" s="42" t="inlineStr">
        <is>
          <t>Cloudy</t>
        </is>
      </c>
      <c r="F39" s="42" t="inlineStr">
        <is>
          <t>Noon</t>
        </is>
      </c>
      <c r="G39" s="42" t="inlineStr"/>
      <c r="H39" s="42" t="n">
        <v>210</v>
      </c>
      <c r="I39" s="37" t="inlineStr">
        <is>
          <t>The Kind Voice Within</t>
        </is>
      </c>
      <c r="J39" s="42" t="inlineStr">
        <is>
          <t>Tea</t>
        </is>
      </c>
      <c r="K39" s="37" t="inlineStr">
        <is>
          <t>Any time</t>
        </is>
      </c>
      <c r="L39" s="42">
        <f>IF(M39="",0,LEN(M39)-LEN(SUBSTITUTE(M39,",",""))+1)</f>
        <v/>
      </c>
      <c r="M39" s="37" t="inlineStr">
        <is>
          <t>Pink candle, The Empress</t>
        </is>
      </c>
      <c r="N39" s="42" t="n">
        <v>4</v>
      </c>
      <c r="O39" s="37" t="inlineStr">
        <is>
          <t>Goldie #219</t>
        </is>
      </c>
      <c r="P39" s="37" t="inlineStr"/>
    </row>
    <row r="40">
      <c r="A40" s="42" t="n">
        <v>23</v>
      </c>
      <c r="B40" s="42" t="inlineStr">
        <is>
          <t>February</t>
        </is>
      </c>
      <c r="C40" s="42" t="inlineStr">
        <is>
          <t>Sunday</t>
        </is>
      </c>
      <c r="D40" s="42" t="inlineStr">
        <is>
          <t>Waxing Gibbous</t>
        </is>
      </c>
      <c r="E40" s="42" t="inlineStr">
        <is>
          <t>Snow</t>
        </is>
      </c>
      <c r="F40" s="42" t="inlineStr">
        <is>
          <t>Sunrise</t>
        </is>
      </c>
      <c r="G40" s="42" t="inlineStr"/>
      <c r="H40" s="42" t="n">
        <v>177</v>
      </c>
      <c r="I40" s="37" t="inlineStr">
        <is>
          <t>The Nesting Spell</t>
        </is>
      </c>
      <c r="J40" s="42" t="inlineStr">
        <is>
          <t>Hand Mirror</t>
        </is>
      </c>
      <c r="K40" s="37" t="inlineStr">
        <is>
          <t>Any time</t>
        </is>
      </c>
      <c r="L40" s="42">
        <f>IF(M40="",0,LEN(M40)-LEN(SUBSTITUTE(M40,",",""))+1)</f>
        <v/>
      </c>
      <c r="M40" s="37" t="inlineStr">
        <is>
          <t>Nest twig, Rose quartz</t>
        </is>
      </c>
      <c r="N40" s="42" t="n">
        <v>1</v>
      </c>
      <c r="O40" s="37" t="inlineStr">
        <is>
          <t>Goldie #7</t>
        </is>
      </c>
      <c r="P40" s="37" t="inlineStr"/>
    </row>
    <row r="41">
      <c r="A41" s="42" t="n">
        <v>23</v>
      </c>
      <c r="B41" s="42" t="inlineStr">
        <is>
          <t>February</t>
        </is>
      </c>
      <c r="C41" s="42" t="inlineStr">
        <is>
          <t>Sunday</t>
        </is>
      </c>
      <c r="D41" s="42" t="inlineStr">
        <is>
          <t>Waxing Gibbous</t>
        </is>
      </c>
      <c r="E41" s="42" t="inlineStr">
        <is>
          <t>Snow</t>
        </is>
      </c>
      <c r="F41" s="42" t="inlineStr">
        <is>
          <t>Noon</t>
        </is>
      </c>
      <c r="G41" s="42" t="inlineStr"/>
      <c r="H41" s="42" t="n">
        <v>127</v>
      </c>
      <c r="I41" s="37" t="inlineStr">
        <is>
          <t>The Growing Silver</t>
        </is>
      </c>
      <c r="J41" s="42" t="inlineStr">
        <is>
          <t>Oil</t>
        </is>
      </c>
      <c r="K41" s="37" t="inlineStr">
        <is>
          <t>Waxing Gibbous</t>
        </is>
      </c>
      <c r="L41" s="42">
        <f>IF(M41="",0,LEN(M41)-LEN(SUBSTITUTE(M41,",",""))+1)</f>
        <v/>
      </c>
      <c r="M41" s="37" t="inlineStr">
        <is>
          <t>Moonstone, Waxing Gibbous</t>
        </is>
      </c>
      <c r="N41" s="42" t="n">
        <v>3</v>
      </c>
      <c r="O41" s="37" t="inlineStr">
        <is>
          <t>Morwenna #124</t>
        </is>
      </c>
      <c r="P41" s="37" t="inlineStr"/>
    </row>
    <row r="42">
      <c r="A42" s="42" t="n">
        <v>24</v>
      </c>
      <c r="B42" s="42" t="inlineStr">
        <is>
          <t>February</t>
        </is>
      </c>
      <c r="C42" s="42" t="inlineStr">
        <is>
          <t>Monday</t>
        </is>
      </c>
      <c r="D42" s="42" t="inlineStr">
        <is>
          <t>Full Moon</t>
        </is>
      </c>
      <c r="E42" s="42" t="inlineStr">
        <is>
          <t>Rain</t>
        </is>
      </c>
      <c r="F42" s="42" t="inlineStr">
        <is>
          <t>Sunrise</t>
        </is>
      </c>
      <c r="G42" s="42" t="inlineStr"/>
      <c r="H42" s="42" t="n">
        <v>107</v>
      </c>
      <c r="I42" s="37" t="inlineStr">
        <is>
          <t>The Moon's Notebook</t>
        </is>
      </c>
      <c r="J42" s="42" t="inlineStr">
        <is>
          <t>Tonic</t>
        </is>
      </c>
      <c r="K42" s="37" t="inlineStr">
        <is>
          <t>Monday · Full Moon</t>
        </is>
      </c>
      <c r="L42" s="42">
        <f>IF(M42="",0,LEN(M42)-LEN(SUBSTITUTE(M42,",",""))+1)</f>
        <v/>
      </c>
      <c r="M42" s="37" t="inlineStr">
        <is>
          <t>Cornflower, Poppy seeds</t>
        </is>
      </c>
      <c r="N42" s="42" t="n">
        <v>7</v>
      </c>
      <c r="O42" s="37" t="inlineStr"/>
      <c r="P42" s="37" t="inlineStr"/>
    </row>
    <row r="43">
      <c r="A43" s="42" t="n">
        <v>24</v>
      </c>
      <c r="B43" s="42" t="inlineStr">
        <is>
          <t>February</t>
        </is>
      </c>
      <c r="C43" s="42" t="inlineStr">
        <is>
          <t>Monday</t>
        </is>
      </c>
      <c r="D43" s="42" t="inlineStr">
        <is>
          <t>Full Moon</t>
        </is>
      </c>
      <c r="E43" s="42" t="inlineStr">
        <is>
          <t>Rain</t>
        </is>
      </c>
      <c r="F43" s="42" t="inlineStr">
        <is>
          <t>Noon</t>
        </is>
      </c>
      <c r="G43" s="42" t="inlineStr"/>
      <c r="H43" s="42" t="n">
        <v>91</v>
      </c>
      <c r="I43" s="37" t="inlineStr">
        <is>
          <t>Stillwater Sanctuary</t>
        </is>
      </c>
      <c r="J43" s="42" t="inlineStr">
        <is>
          <t>Water</t>
        </is>
      </c>
      <c r="K43" s="37" t="inlineStr">
        <is>
          <t>Snow Moon (February full moon)</t>
        </is>
      </c>
      <c r="L43" s="42">
        <f>IF(M43="",0,LEN(M43)-LEN(SUBSTITUTE(M43,",",""))+1)</f>
        <v/>
      </c>
      <c r="M43" s="37" t="inlineStr">
        <is>
          <t>Blue lace agate, Snow Moon</t>
        </is>
      </c>
      <c r="N43" s="42" t="n">
        <v>5</v>
      </c>
      <c r="O43" s="37" t="inlineStr"/>
      <c r="P43" s="37" t="inlineStr"/>
    </row>
    <row r="44">
      <c r="A44" s="42" t="n">
        <v>25</v>
      </c>
      <c r="B44" s="42" t="inlineStr">
        <is>
          <t>February</t>
        </is>
      </c>
      <c r="C44" s="42" t="inlineStr">
        <is>
          <t>Tuesday</t>
        </is>
      </c>
      <c r="D44" s="42" t="inlineStr">
        <is>
          <t>Waning Gibbous</t>
        </is>
      </c>
      <c r="E44" s="42" t="inlineStr">
        <is>
          <t>Clear &amp; sunny</t>
        </is>
      </c>
      <c r="F44" s="42" t="inlineStr">
        <is>
          <t>Noon</t>
        </is>
      </c>
      <c r="G44" s="42" t="inlineStr"/>
      <c r="H44" s="42" t="n">
        <v>195</v>
      </c>
      <c r="I44" s="37" t="inlineStr">
        <is>
          <t>The Younger Moon</t>
        </is>
      </c>
      <c r="J44" s="42" t="inlineStr">
        <is>
          <t>Balm</t>
        </is>
      </c>
      <c r="K44" s="37" t="inlineStr">
        <is>
          <t>Waning Gibbous</t>
        </is>
      </c>
      <c r="L44" s="42">
        <f>IF(M44="",0,LEN(M44)-LEN(SUBSTITUTE(M44,",",""))+1)</f>
        <v/>
      </c>
      <c r="M44" s="37" t="inlineStr">
        <is>
          <t>Rose hips, The Star, Waning Gibbous</t>
        </is>
      </c>
      <c r="N44" s="42" t="n">
        <v>3</v>
      </c>
      <c r="O44" s="37" t="inlineStr">
        <is>
          <t>Edmund #69, Morwenna #145</t>
        </is>
      </c>
      <c r="P44" s="37" t="inlineStr"/>
    </row>
    <row r="45">
      <c r="A45" s="42" t="n">
        <v>26</v>
      </c>
      <c r="B45" s="42" t="inlineStr">
        <is>
          <t>February</t>
        </is>
      </c>
      <c r="C45" s="42" t="inlineStr">
        <is>
          <t>Wednesday</t>
        </is>
      </c>
      <c r="D45" s="42" t="inlineStr">
        <is>
          <t>Waning Crescent</t>
        </is>
      </c>
      <c r="E45" s="42" t="inlineStr">
        <is>
          <t>Windy</t>
        </is>
      </c>
      <c r="F45" s="42" t="inlineStr">
        <is>
          <t>Sunrise</t>
        </is>
      </c>
      <c r="G45" s="42" t="inlineStr">
        <is>
          <t>Yes</t>
        </is>
      </c>
      <c r="H45" s="42" t="n">
        <v>128</v>
      </c>
      <c r="I45" s="37" t="inlineStr">
        <is>
          <t>The Gentle Dimming</t>
        </is>
      </c>
      <c r="J45" s="42" t="inlineStr">
        <is>
          <t>Incense</t>
        </is>
      </c>
      <c r="K45" s="37" t="inlineStr">
        <is>
          <t>Waning Crescent</t>
        </is>
      </c>
      <c r="L45" s="42">
        <f>IF(M45="",0,LEN(M45)-LEN(SUBSTITUTE(M45,",",""))+1)</f>
        <v/>
      </c>
      <c r="M45" s="37" t="inlineStr">
        <is>
          <t>Cypress, Waning Crescent</t>
        </is>
      </c>
      <c r="N45" s="42" t="n">
        <v>3</v>
      </c>
      <c r="O45" s="37" t="inlineStr">
        <is>
          <t>Edmund #208</t>
        </is>
      </c>
      <c r="P45" s="37" t="inlineStr"/>
    </row>
    <row r="46">
      <c r="A46" s="42" t="n">
        <v>26</v>
      </c>
      <c r="B46" s="42" t="inlineStr">
        <is>
          <t>February</t>
        </is>
      </c>
      <c r="C46" s="42" t="inlineStr">
        <is>
          <t>Wednesday</t>
        </is>
      </c>
      <c r="D46" s="42" t="inlineStr">
        <is>
          <t>Waning Crescent</t>
        </is>
      </c>
      <c r="E46" s="42" t="inlineStr">
        <is>
          <t>Windy</t>
        </is>
      </c>
      <c r="F46" s="42" t="inlineStr">
        <is>
          <t>Sunrise</t>
        </is>
      </c>
      <c r="G46" s="42" t="inlineStr">
        <is>
          <t>Yes</t>
        </is>
      </c>
      <c r="H46" s="42" t="n">
        <v>146</v>
      </c>
      <c r="I46" s="37" t="inlineStr">
        <is>
          <t>The Uncharted Sky</t>
        </is>
      </c>
      <c r="J46" s="42" t="inlineStr">
        <is>
          <t>Balm</t>
        </is>
      </c>
      <c r="K46" s="37" t="inlineStr">
        <is>
          <t>Windy</t>
        </is>
      </c>
      <c r="L46" s="42">
        <f>IF(M46="",0,LEN(M46)-LEN(SUBSTITUTE(M46,",",""))+1)</f>
        <v/>
      </c>
      <c r="M46" s="37" t="inlineStr">
        <is>
          <t>Windy</t>
        </is>
      </c>
      <c r="N46" s="42" t="n">
        <v>5</v>
      </c>
      <c r="O46" s="37" t="inlineStr">
        <is>
          <t>Sam #221</t>
        </is>
      </c>
      <c r="P46" s="37" t="inlineStr"/>
    </row>
    <row r="47">
      <c r="A47" s="42" t="n">
        <v>27</v>
      </c>
      <c r="B47" s="42" t="inlineStr">
        <is>
          <t>March</t>
        </is>
      </c>
      <c r="C47" s="42" t="inlineStr">
        <is>
          <t>Thursday</t>
        </is>
      </c>
      <c r="D47" s="42" t="inlineStr">
        <is>
          <t>New Moon</t>
        </is>
      </c>
      <c r="E47" s="42" t="inlineStr">
        <is>
          <t>Clear &amp; sunny</t>
        </is>
      </c>
      <c r="F47" s="42" t="inlineStr">
        <is>
          <t>Twilight</t>
        </is>
      </c>
      <c r="G47" s="42" t="inlineStr"/>
      <c r="H47" s="42" t="n">
        <v>61</v>
      </c>
      <c r="I47" s="37" t="inlineStr">
        <is>
          <t>The Wildflower Circle</t>
        </is>
      </c>
      <c r="J47" s="42" t="inlineStr">
        <is>
          <t>Sachet</t>
        </is>
      </c>
      <c r="K47" s="37" t="inlineStr">
        <is>
          <t>Ostara</t>
        </is>
      </c>
      <c r="L47" s="42">
        <f>IF(M47="",0,LEN(M47)-LEN(SUBSTITUTE(M47,",",""))+1)</f>
        <v/>
      </c>
      <c r="M47" s="37" t="inlineStr">
        <is>
          <t>Pink thread, Rainbow threads, Ostara</t>
        </is>
      </c>
      <c r="N47" s="42" t="n">
        <v>7</v>
      </c>
      <c r="O47" s="37" t="inlineStr">
        <is>
          <t>Goldie #7, Hester #150</t>
        </is>
      </c>
      <c r="P47" s="37" t="inlineStr"/>
    </row>
    <row r="48">
      <c r="A48" s="42" t="n">
        <v>28</v>
      </c>
      <c r="B48" s="42" t="inlineStr">
        <is>
          <t>March</t>
        </is>
      </c>
      <c r="C48" s="42" t="inlineStr">
        <is>
          <t>Friday</t>
        </is>
      </c>
      <c r="D48" s="42" t="inlineStr">
        <is>
          <t>Waxing Crescent</t>
        </is>
      </c>
      <c r="E48" s="42" t="inlineStr">
        <is>
          <t>Rain</t>
        </is>
      </c>
      <c r="F48" s="42" t="inlineStr">
        <is>
          <t>Sunrise</t>
        </is>
      </c>
      <c r="G48" s="42" t="inlineStr">
        <is>
          <t>Yes</t>
        </is>
      </c>
      <c r="H48" s="42" t="n">
        <v>56</v>
      </c>
      <c r="I48" s="37" t="inlineStr">
        <is>
          <t>The Spotlight Bloom</t>
        </is>
      </c>
      <c r="J48" s="42" t="inlineStr">
        <is>
          <t>Potion</t>
        </is>
      </c>
      <c r="K48" s="37" t="inlineStr">
        <is>
          <t>Ostara · Sunrise</t>
        </is>
      </c>
      <c r="L48" s="42">
        <f>IF(M48="",0,LEN(M48)-LEN(SUBSTITUTE(M48,",",""))+1)</f>
        <v/>
      </c>
      <c r="M48" s="37" t="inlineStr">
        <is>
          <t>Calendula, Garden soil, Sunflower petals</t>
        </is>
      </c>
      <c r="N48" s="42" t="n">
        <v>6</v>
      </c>
      <c r="O48" s="37" t="inlineStr"/>
      <c r="P48" s="37" t="inlineStr"/>
    </row>
    <row r="49">
      <c r="A49" s="42" t="n">
        <v>28</v>
      </c>
      <c r="B49" s="42" t="inlineStr">
        <is>
          <t>March</t>
        </is>
      </c>
      <c r="C49" s="42" t="inlineStr">
        <is>
          <t>Friday</t>
        </is>
      </c>
      <c r="D49" s="42" t="inlineStr">
        <is>
          <t>Waxing Crescent</t>
        </is>
      </c>
      <c r="E49" s="42" t="inlineStr">
        <is>
          <t>Rain</t>
        </is>
      </c>
      <c r="F49" s="42" t="inlineStr">
        <is>
          <t>Noon</t>
        </is>
      </c>
      <c r="G49" s="42" t="inlineStr">
        <is>
          <t>Yes</t>
        </is>
      </c>
      <c r="H49" s="42" t="n">
        <v>48</v>
      </c>
      <c r="I49" s="37" t="inlineStr">
        <is>
          <t>Starlit Siren</t>
        </is>
      </c>
      <c r="J49" s="42" t="inlineStr">
        <is>
          <t>Glamour</t>
        </is>
      </c>
      <c r="K49" s="37" t="inlineStr">
        <is>
          <t>Friday · Waxing Crescent · Noon</t>
        </is>
      </c>
      <c r="L49" s="42">
        <f>IF(M49="",0,LEN(M49)-LEN(SUBSTITUTE(M49,",",""))+1)</f>
        <v/>
      </c>
      <c r="M49" s="37" t="inlineStr">
        <is>
          <t>Coconut milk powder, Pyrite, Seashell</t>
        </is>
      </c>
      <c r="N49" s="42" t="n">
        <v>7</v>
      </c>
      <c r="O49" s="37" t="inlineStr"/>
      <c r="P49" s="37" t="inlineStr"/>
    </row>
    <row r="50">
      <c r="A50" s="42" t="n">
        <v>29</v>
      </c>
      <c r="B50" s="42" t="inlineStr">
        <is>
          <t>March</t>
        </is>
      </c>
      <c r="C50" s="42" t="inlineStr">
        <is>
          <t>Saturday</t>
        </is>
      </c>
      <c r="D50" s="42" t="inlineStr">
        <is>
          <t>Waxing Gibbous</t>
        </is>
      </c>
      <c r="E50" s="42" t="inlineStr">
        <is>
          <t>Clear &amp; sunny</t>
        </is>
      </c>
      <c r="F50" s="42" t="inlineStr">
        <is>
          <t>Sunrise</t>
        </is>
      </c>
      <c r="G50" s="42" t="inlineStr"/>
      <c r="H50" s="42" t="n">
        <v>97</v>
      </c>
      <c r="I50" s="37" t="inlineStr">
        <is>
          <t>The Earth Remembers</t>
        </is>
      </c>
      <c r="J50" s="42" t="inlineStr">
        <is>
          <t>Witch Salt</t>
        </is>
      </c>
      <c r="K50" s="37" t="inlineStr">
        <is>
          <t>Saturday · after Rain</t>
        </is>
      </c>
      <c r="L50" s="42">
        <f>IF(M50="",0,LEN(M50)-LEN(SUBSTITUTE(M50,",",""))+1)</f>
        <v/>
      </c>
      <c r="M50" s="37" t="inlineStr">
        <is>
          <t>Oak moss, Smoky quartz, The Emperor, after Rain</t>
        </is>
      </c>
      <c r="N50" s="42" t="n">
        <v>5</v>
      </c>
      <c r="O50" s="37" t="inlineStr"/>
      <c r="P50" s="37" t="inlineStr"/>
    </row>
    <row r="51">
      <c r="A51" s="42" t="n">
        <v>29</v>
      </c>
      <c r="B51" s="42" t="inlineStr">
        <is>
          <t>March</t>
        </is>
      </c>
      <c r="C51" s="42" t="inlineStr">
        <is>
          <t>Saturday</t>
        </is>
      </c>
      <c r="D51" s="42" t="inlineStr">
        <is>
          <t>Waxing Gibbous</t>
        </is>
      </c>
      <c r="E51" s="42" t="inlineStr">
        <is>
          <t>Clear &amp; sunny</t>
        </is>
      </c>
      <c r="F51" s="42" t="inlineStr">
        <is>
          <t>Sunrise</t>
        </is>
      </c>
      <c r="G51" s="42" t="inlineStr"/>
      <c r="H51" s="42" t="n">
        <v>116</v>
      </c>
      <c r="I51" s="37" t="inlineStr">
        <is>
          <t>The Phoenix's First Petal</t>
        </is>
      </c>
      <c r="J51" s="42" t="inlineStr">
        <is>
          <t>Potion</t>
        </is>
      </c>
      <c r="K51" s="37" t="inlineStr">
        <is>
          <t>Ostara · Sunrise</t>
        </is>
      </c>
      <c r="L51" s="42">
        <f>IF(M51="",0,LEN(M51)-LEN(SUBSTITUTE(M51,",",""))+1)</f>
        <v/>
      </c>
      <c r="M51" s="37" t="inlineStr">
        <is>
          <t>Chili, Pomegranate seeds, Wormwood</t>
        </is>
      </c>
      <c r="N51" s="42" t="n">
        <v>6</v>
      </c>
      <c r="O51" s="37" t="inlineStr"/>
      <c r="P51" s="37" t="inlineStr"/>
    </row>
    <row r="52">
      <c r="A52" s="42" t="n">
        <v>29</v>
      </c>
      <c r="B52" s="42" t="inlineStr">
        <is>
          <t>March</t>
        </is>
      </c>
      <c r="C52" s="42" t="inlineStr">
        <is>
          <t>Saturday</t>
        </is>
      </c>
      <c r="D52" s="42" t="inlineStr">
        <is>
          <t>Waxing Gibbous</t>
        </is>
      </c>
      <c r="E52" s="42" t="inlineStr">
        <is>
          <t>Clear &amp; sunny</t>
        </is>
      </c>
      <c r="F52" s="42" t="inlineStr">
        <is>
          <t>Noon</t>
        </is>
      </c>
      <c r="G52" s="42" t="inlineStr"/>
      <c r="H52" s="42" t="n">
        <v>24</v>
      </c>
      <c r="I52" s="37" t="inlineStr">
        <is>
          <t>Rooted in Iron</t>
        </is>
      </c>
      <c r="J52" s="42" t="inlineStr">
        <is>
          <t>Rune</t>
        </is>
      </c>
      <c r="K52" s="37" t="inlineStr">
        <is>
          <t>Saturday · after Rain</t>
        </is>
      </c>
      <c r="L52" s="42">
        <f>IF(M52="",0,LEN(M52)-LEN(SUBSTITUTE(M52,",",""))+1)</f>
        <v/>
      </c>
      <c r="M52" s="37" t="inlineStr">
        <is>
          <t>Hematite, Iron filings</t>
        </is>
      </c>
      <c r="N52" s="42" t="n">
        <v>8</v>
      </c>
      <c r="O52" s="37" t="inlineStr"/>
      <c r="P52" s="37" t="inlineStr"/>
    </row>
    <row r="53">
      <c r="A53" s="42" t="n">
        <v>29</v>
      </c>
      <c r="B53" s="42" t="inlineStr">
        <is>
          <t>March</t>
        </is>
      </c>
      <c r="C53" s="42" t="inlineStr">
        <is>
          <t>Saturday</t>
        </is>
      </c>
      <c r="D53" s="42" t="inlineStr">
        <is>
          <t>Waxing Gibbous</t>
        </is>
      </c>
      <c r="E53" s="42" t="inlineStr">
        <is>
          <t>Clear &amp; sunny</t>
        </is>
      </c>
      <c r="F53" s="42" t="inlineStr">
        <is>
          <t>Noon</t>
        </is>
      </c>
      <c r="G53" s="42" t="inlineStr"/>
      <c r="H53" s="42" t="n">
        <v>110</v>
      </c>
      <c r="I53" s="37" t="inlineStr">
        <is>
          <t>The Green Whisper</t>
        </is>
      </c>
      <c r="J53" s="42" t="inlineStr">
        <is>
          <t>Water</t>
        </is>
      </c>
      <c r="K53" s="37" t="inlineStr">
        <is>
          <t>Ostara · after Rain</t>
        </is>
      </c>
      <c r="L53" s="42">
        <f>IF(M53="",0,LEN(M53)-LEN(SUBSTITUTE(M53,",",""))+1)</f>
        <v/>
      </c>
      <c r="M53" s="37" t="inlineStr">
        <is>
          <t>Fern</t>
        </is>
      </c>
      <c r="N53" s="42" t="n">
        <v>8</v>
      </c>
      <c r="O53" s="37" t="inlineStr"/>
      <c r="P53" s="37" t="inlineStr"/>
    </row>
    <row r="54">
      <c r="A54" s="42" t="n">
        <v>30</v>
      </c>
      <c r="B54" s="42" t="inlineStr">
        <is>
          <t>March</t>
        </is>
      </c>
      <c r="C54" s="42" t="inlineStr">
        <is>
          <t>Sunday</t>
        </is>
      </c>
      <c r="D54" s="42" t="inlineStr">
        <is>
          <t>Full Moon</t>
        </is>
      </c>
      <c r="E54" s="42" t="inlineStr">
        <is>
          <t>Windy</t>
        </is>
      </c>
      <c r="F54" s="42" t="inlineStr">
        <is>
          <t>Sunrise</t>
        </is>
      </c>
      <c r="G54" s="42" t="inlineStr"/>
      <c r="H54" s="42" t="n">
        <v>44</v>
      </c>
      <c r="I54" s="37" t="inlineStr">
        <is>
          <t>Champagne Stardust</t>
        </is>
      </c>
      <c r="J54" s="42" t="inlineStr">
        <is>
          <t>Bath Salt</t>
        </is>
      </c>
      <c r="K54" s="37" t="inlineStr">
        <is>
          <t>Sunday · Full Moon</t>
        </is>
      </c>
      <c r="L54" s="42">
        <f>IF(M54="",0,LEN(M54)-LEN(SUBSTITUTE(M54,",",""))+1)</f>
        <v/>
      </c>
      <c r="M54" s="37" t="inlineStr">
        <is>
          <t>Elderflower, Gold sprinkles</t>
        </is>
      </c>
      <c r="N54" s="42" t="n">
        <v>7</v>
      </c>
      <c r="O54" s="37" t="inlineStr"/>
      <c r="P54" s="37" t="inlineStr"/>
    </row>
    <row r="55">
      <c r="A55" s="42" t="n">
        <v>30</v>
      </c>
      <c r="B55" s="42" t="inlineStr">
        <is>
          <t>March</t>
        </is>
      </c>
      <c r="C55" s="42" t="inlineStr">
        <is>
          <t>Sunday</t>
        </is>
      </c>
      <c r="D55" s="42" t="inlineStr">
        <is>
          <t>Full Moon</t>
        </is>
      </c>
      <c r="E55" s="42" t="inlineStr">
        <is>
          <t>Windy</t>
        </is>
      </c>
      <c r="F55" s="42" t="inlineStr">
        <is>
          <t>Sunrise</t>
        </is>
      </c>
      <c r="G55" s="42" t="inlineStr"/>
      <c r="H55" s="42" t="n">
        <v>207</v>
      </c>
      <c r="I55" s="37" t="inlineStr">
        <is>
          <t>The Spiral Staircase</t>
        </is>
      </c>
      <c r="J55" s="42" t="inlineStr">
        <is>
          <t>Rune</t>
        </is>
      </c>
      <c r="K55" s="37" t="inlineStr">
        <is>
          <t>Worm Moon (March full moon)</t>
        </is>
      </c>
      <c r="L55" s="42">
        <f>IF(M55="",0,LEN(M55)-LEN(SUBSTITUTE(M55,",",""))+1)</f>
        <v/>
      </c>
      <c r="M55" s="37" t="inlineStr">
        <is>
          <t>Worm Moon</t>
        </is>
      </c>
      <c r="N55" s="42" t="n">
        <v>3</v>
      </c>
      <c r="O55" s="37" t="inlineStr"/>
      <c r="P55" s="37" t="inlineStr"/>
    </row>
    <row r="56">
      <c r="A56" s="42" t="n">
        <v>31</v>
      </c>
      <c r="B56" s="42" t="inlineStr">
        <is>
          <t>March</t>
        </is>
      </c>
      <c r="C56" s="42" t="inlineStr">
        <is>
          <t>Monday</t>
        </is>
      </c>
      <c r="D56" s="42" t="inlineStr">
        <is>
          <t>Waning Gibbous</t>
        </is>
      </c>
      <c r="E56" s="42" t="inlineStr">
        <is>
          <t>Rain</t>
        </is>
      </c>
      <c r="F56" s="42" t="inlineStr">
        <is>
          <t>Noon</t>
        </is>
      </c>
      <c r="G56" s="42" t="inlineStr"/>
      <c r="H56" s="42" t="n">
        <v>192</v>
      </c>
      <c r="I56" s="37" t="inlineStr">
        <is>
          <t>The Unwritten Rule</t>
        </is>
      </c>
      <c r="J56" s="42" t="inlineStr">
        <is>
          <t>Rune</t>
        </is>
      </c>
      <c r="K56" s="37" t="inlineStr">
        <is>
          <t>Any time</t>
        </is>
      </c>
      <c r="L56" s="42">
        <f>IF(M56="",0,LEN(M56)-LEN(SUBSTITUTE(M56,",",""))+1)</f>
        <v/>
      </c>
      <c r="M56" s="37" t="inlineStr">
        <is>
          <t>Clear quartz, Willow wood</t>
        </is>
      </c>
      <c r="N56" s="42" t="n">
        <v>1</v>
      </c>
      <c r="O56" s="37" t="inlineStr">
        <is>
          <t>Ivy #20</t>
        </is>
      </c>
      <c r="P56" s="37" t="inlineStr"/>
    </row>
    <row r="57">
      <c r="A57" s="42" t="n">
        <v>31</v>
      </c>
      <c r="B57" s="42" t="inlineStr">
        <is>
          <t>March</t>
        </is>
      </c>
      <c r="C57" s="42" t="inlineStr">
        <is>
          <t>Monday</t>
        </is>
      </c>
      <c r="D57" s="42" t="inlineStr">
        <is>
          <t>Waning Gibbous</t>
        </is>
      </c>
      <c r="E57" s="42" t="inlineStr">
        <is>
          <t>Rain</t>
        </is>
      </c>
      <c r="F57" s="42" t="inlineStr">
        <is>
          <t>Twilight</t>
        </is>
      </c>
      <c r="G57" s="42" t="inlineStr"/>
      <c r="H57" s="42" t="n">
        <v>92</v>
      </c>
      <c r="I57" s="37" t="inlineStr">
        <is>
          <t>Raincloud Release</t>
        </is>
      </c>
      <c r="J57" s="42" t="inlineStr">
        <is>
          <t>Bath Salt</t>
        </is>
      </c>
      <c r="K57" s="37" t="inlineStr">
        <is>
          <t>Rain · Waning Moon</t>
        </is>
      </c>
      <c r="L57" s="42">
        <f>IF(M57="",0,LEN(M57)-LEN(SUBSTITUTE(M57,",",""))+1)</f>
        <v/>
      </c>
      <c r="M57" s="37" t="inlineStr">
        <is>
          <t>Eucalyptus</t>
        </is>
      </c>
      <c r="N57" s="42" t="n">
        <v>7</v>
      </c>
      <c r="O57" s="37" t="inlineStr">
        <is>
          <t>Dottie #159</t>
        </is>
      </c>
      <c r="P57" s="37" t="inlineStr"/>
    </row>
    <row r="58">
      <c r="A58" s="42" t="n">
        <v>32</v>
      </c>
      <c r="B58" s="42" t="inlineStr">
        <is>
          <t>March</t>
        </is>
      </c>
      <c r="C58" s="42" t="inlineStr">
        <is>
          <t>Tuesday</t>
        </is>
      </c>
      <c r="D58" s="42" t="inlineStr">
        <is>
          <t>Waning Crescent</t>
        </is>
      </c>
      <c r="E58" s="42" t="inlineStr">
        <is>
          <t>Clear &amp; sunny</t>
        </is>
      </c>
      <c r="F58" s="42" t="inlineStr">
        <is>
          <t>Sunrise</t>
        </is>
      </c>
      <c r="G58" s="42" t="inlineStr">
        <is>
          <t>Yes</t>
        </is>
      </c>
      <c r="H58" s="42" t="n">
        <v>19</v>
      </c>
      <c r="I58" s="37" t="inlineStr">
        <is>
          <t>No Further, No Closer</t>
        </is>
      </c>
      <c r="J58" s="42" t="inlineStr">
        <is>
          <t>Wand</t>
        </is>
      </c>
      <c r="K58" s="37" t="inlineStr">
        <is>
          <t>Tuesday · Sunrise</t>
        </is>
      </c>
      <c r="L58" s="42">
        <f>IF(M58="",0,LEN(M58)-LEN(SUBSTITUTE(M58,",",""))+1)</f>
        <v/>
      </c>
      <c r="M58" s="37" t="inlineStr">
        <is>
          <t>Hedgehog quill, Rowan branch</t>
        </is>
      </c>
      <c r="N58" s="42" t="n">
        <v>6</v>
      </c>
      <c r="O58" s="37" t="inlineStr"/>
      <c r="P58" s="37" t="inlineStr"/>
    </row>
    <row r="59">
      <c r="A59" s="42" t="n">
        <v>32</v>
      </c>
      <c r="B59" s="42" t="inlineStr">
        <is>
          <t>March</t>
        </is>
      </c>
      <c r="C59" s="42" t="inlineStr">
        <is>
          <t>Tuesday</t>
        </is>
      </c>
      <c r="D59" s="42" t="inlineStr">
        <is>
          <t>Waning Crescent</t>
        </is>
      </c>
      <c r="E59" s="42" t="inlineStr">
        <is>
          <t>Clear &amp; sunny</t>
        </is>
      </c>
      <c r="F59" s="42" t="inlineStr">
        <is>
          <t>Sunrise</t>
        </is>
      </c>
      <c r="G59" s="42" t="inlineStr">
        <is>
          <t>Yes</t>
        </is>
      </c>
      <c r="H59" s="42" t="n">
        <v>185</v>
      </c>
      <c r="I59" s="37" t="inlineStr">
        <is>
          <t>The Ember Keeper</t>
        </is>
      </c>
      <c r="J59" s="42" t="inlineStr">
        <is>
          <t>Oil</t>
        </is>
      </c>
      <c r="K59" s="37" t="inlineStr">
        <is>
          <t>Tuesday · Waning Moon</t>
        </is>
      </c>
      <c r="L59" s="42">
        <f>IF(M59="",0,LEN(M59)-LEN(SUBSTITUTE(M59,",",""))+1)</f>
        <v/>
      </c>
      <c r="M59" s="37" t="inlineStr"/>
      <c r="N59" s="42" t="n">
        <v>8</v>
      </c>
      <c r="O59" s="37" t="inlineStr"/>
      <c r="P59" s="37" t="inlineStr"/>
    </row>
    <row r="60">
      <c r="A60" s="42" t="n">
        <v>33</v>
      </c>
      <c r="B60" s="42" t="inlineStr">
        <is>
          <t>April</t>
        </is>
      </c>
      <c r="C60" s="42" t="inlineStr">
        <is>
          <t>Wednesday</t>
        </is>
      </c>
      <c r="D60" s="42" t="inlineStr">
        <is>
          <t>New Moon</t>
        </is>
      </c>
      <c r="E60" s="42" t="inlineStr">
        <is>
          <t>Rain</t>
        </is>
      </c>
      <c r="F60" s="42" t="inlineStr">
        <is>
          <t>Sunrise</t>
        </is>
      </c>
      <c r="G60" s="42" t="inlineStr"/>
      <c r="H60" s="42" t="n">
        <v>28</v>
      </c>
      <c r="I60" s="37" t="inlineStr">
        <is>
          <t>The First Circle</t>
        </is>
      </c>
      <c r="J60" s="42" t="inlineStr">
        <is>
          <t>Powder</t>
        </is>
      </c>
      <c r="K60" s="37" t="inlineStr">
        <is>
          <t>Sunrise · New Moon</t>
        </is>
      </c>
      <c r="L60" s="42">
        <f>IF(M60="",0,LEN(M60)-LEN(SUBSTITUTE(M60,",",""))+1)</f>
        <v/>
      </c>
      <c r="M60" s="37" t="inlineStr">
        <is>
          <t>Eggshell</t>
        </is>
      </c>
      <c r="N60" s="42" t="n">
        <v>8</v>
      </c>
      <c r="O60" s="37" t="inlineStr"/>
      <c r="P60" s="37" t="inlineStr"/>
    </row>
    <row r="61">
      <c r="A61" s="42" t="n">
        <v>33</v>
      </c>
      <c r="B61" s="42" t="inlineStr">
        <is>
          <t>April</t>
        </is>
      </c>
      <c r="C61" s="42" t="inlineStr">
        <is>
          <t>Wednesday</t>
        </is>
      </c>
      <c r="D61" s="42" t="inlineStr">
        <is>
          <t>New Moon</t>
        </is>
      </c>
      <c r="E61" s="42" t="inlineStr">
        <is>
          <t>Rain</t>
        </is>
      </c>
      <c r="F61" s="42" t="inlineStr">
        <is>
          <t>Twilight</t>
        </is>
      </c>
      <c r="G61" s="42" t="inlineStr"/>
      <c r="H61" s="42" t="n">
        <v>126</v>
      </c>
      <c r="I61" s="37" t="inlineStr">
        <is>
          <t>The Cosmic Thread</t>
        </is>
      </c>
      <c r="J61" s="42" t="inlineStr">
        <is>
          <t>Talisman</t>
        </is>
      </c>
      <c r="K61" s="37" t="inlineStr">
        <is>
          <t>New Moon</t>
        </is>
      </c>
      <c r="L61" s="42">
        <f>IF(M61="",0,LEN(M61)-LEN(SUBSTITUTE(M61,",",""))+1)</f>
        <v/>
      </c>
      <c r="M61" s="37" t="inlineStr">
        <is>
          <t>Labradorite, Silver thread</t>
        </is>
      </c>
      <c r="N61" s="42" t="n">
        <v>5</v>
      </c>
      <c r="O61" s="37" t="inlineStr">
        <is>
          <t>Morwenna #16</t>
        </is>
      </c>
      <c r="P61" s="37" t="inlineStr"/>
    </row>
    <row r="62">
      <c r="A62" s="42" t="n">
        <v>33</v>
      </c>
      <c r="B62" s="42" t="inlineStr">
        <is>
          <t>April</t>
        </is>
      </c>
      <c r="C62" s="42" t="inlineStr">
        <is>
          <t>Wednesday</t>
        </is>
      </c>
      <c r="D62" s="42" t="inlineStr">
        <is>
          <t>New Moon</t>
        </is>
      </c>
      <c r="E62" s="42" t="inlineStr">
        <is>
          <t>Rain</t>
        </is>
      </c>
      <c r="F62" s="42" t="inlineStr">
        <is>
          <t>Nightfall</t>
        </is>
      </c>
      <c r="G62" s="42" t="inlineStr"/>
      <c r="H62" s="42" t="n">
        <v>29</v>
      </c>
      <c r="I62" s="37" t="inlineStr">
        <is>
          <t>The Unbroken Quill</t>
        </is>
      </c>
      <c r="J62" s="42" t="inlineStr">
        <is>
          <t>Spell Bottle</t>
        </is>
      </c>
      <c r="K62" s="37" t="inlineStr">
        <is>
          <t>Wednesday · Nightfall</t>
        </is>
      </c>
      <c r="L62" s="42">
        <f>IF(M62="",0,LEN(M62)-LEN(SUBSTITUTE(M62,",",""))+1)</f>
        <v/>
      </c>
      <c r="M62" s="37" t="inlineStr">
        <is>
          <t>Black tourmaline, Wax seal, The Magician</t>
        </is>
      </c>
      <c r="N62" s="42" t="n">
        <v>6</v>
      </c>
      <c r="O62" s="37" t="inlineStr">
        <is>
          <t>Morwenna #16</t>
        </is>
      </c>
      <c r="P62" s="37" t="inlineStr"/>
    </row>
    <row r="63">
      <c r="A63" s="42" t="n">
        <v>34</v>
      </c>
      <c r="B63" s="42" t="inlineStr">
        <is>
          <t>April</t>
        </is>
      </c>
      <c r="C63" s="42" t="inlineStr">
        <is>
          <t>Thursday</t>
        </is>
      </c>
      <c r="D63" s="42" t="inlineStr">
        <is>
          <t>Waxing Crescent</t>
        </is>
      </c>
      <c r="E63" s="42" t="inlineStr">
        <is>
          <t>Rain</t>
        </is>
      </c>
      <c r="F63" s="42" t="inlineStr">
        <is>
          <t>Sunrise</t>
        </is>
      </c>
      <c r="G63" s="42" t="inlineStr"/>
      <c r="H63" s="42" t="n">
        <v>37</v>
      </c>
      <c r="I63" s="37" t="inlineStr">
        <is>
          <t>The Abundance Garden</t>
        </is>
      </c>
      <c r="J63" s="42" t="inlineStr">
        <is>
          <t>Tea</t>
        </is>
      </c>
      <c r="K63" s="37" t="inlineStr">
        <is>
          <t>Thursday · Waxing Moon</t>
        </is>
      </c>
      <c r="L63" s="42">
        <f>IF(M63="",0,LEN(M63)-LEN(SUBSTITUTE(M63,",",""))+1)</f>
        <v/>
      </c>
      <c r="M63" s="37" t="inlineStr">
        <is>
          <t>Pressed moon petals, Wheat</t>
        </is>
      </c>
      <c r="N63" s="42" t="n">
        <v>7</v>
      </c>
      <c r="O63" s="37" t="inlineStr"/>
      <c r="P63" s="37" t="inlineStr"/>
    </row>
    <row r="64">
      <c r="A64" s="42" t="n">
        <v>34</v>
      </c>
      <c r="B64" s="42" t="inlineStr">
        <is>
          <t>April</t>
        </is>
      </c>
      <c r="C64" s="42" t="inlineStr">
        <is>
          <t>Thursday</t>
        </is>
      </c>
      <c r="D64" s="42" t="inlineStr">
        <is>
          <t>Waxing Crescent</t>
        </is>
      </c>
      <c r="E64" s="42" t="inlineStr">
        <is>
          <t>Rain</t>
        </is>
      </c>
      <c r="F64" s="42" t="inlineStr">
        <is>
          <t>Noon</t>
        </is>
      </c>
      <c r="G64" s="42" t="inlineStr"/>
      <c r="H64" s="42" t="n">
        <v>38</v>
      </c>
      <c r="I64" s="37" t="inlineStr">
        <is>
          <t>Lucky Little Things</t>
        </is>
      </c>
      <c r="J64" s="42" t="inlineStr">
        <is>
          <t>Cookies</t>
        </is>
      </c>
      <c r="K64" s="37" t="inlineStr">
        <is>
          <t>Rainbow (rare event) · Thursday</t>
        </is>
      </c>
      <c r="L64" s="42">
        <f>IF(M64="",0,LEN(M64)-LEN(SUBSTITUTE(M64,",",""))+1)</f>
        <v/>
      </c>
      <c r="M64" s="37" t="inlineStr">
        <is>
          <t>Rainbow sprinkles, Rainbow</t>
        </is>
      </c>
      <c r="N64" s="42" t="n">
        <v>3</v>
      </c>
      <c r="O64" s="37" t="inlineStr"/>
      <c r="P64" s="37" t="inlineStr"/>
    </row>
    <row r="65">
      <c r="A65" s="42" t="n">
        <v>35</v>
      </c>
      <c r="B65" s="42" t="inlineStr">
        <is>
          <t>April</t>
        </is>
      </c>
      <c r="C65" s="42" t="inlineStr">
        <is>
          <t>Friday</t>
        </is>
      </c>
      <c r="D65" s="42" t="inlineStr">
        <is>
          <t>Waxing Gibbous</t>
        </is>
      </c>
      <c r="E65" s="42" t="inlineStr">
        <is>
          <t>Fog / Mist</t>
        </is>
      </c>
      <c r="F65" s="42" t="inlineStr">
        <is>
          <t>Sunrise</t>
        </is>
      </c>
      <c r="G65" s="42" t="inlineStr"/>
      <c r="H65" s="42" t="n">
        <v>5</v>
      </c>
      <c r="I65" s="37" t="inlineStr">
        <is>
          <t>Darling, You're Divine</t>
        </is>
      </c>
      <c r="J65" s="42" t="inlineStr">
        <is>
          <t>Bath Salt</t>
        </is>
      </c>
      <c r="K65" s="37" t="inlineStr">
        <is>
          <t>Friday</t>
        </is>
      </c>
      <c r="L65" s="42">
        <f>IF(M65="",0,LEN(M65)-LEN(SUBSTITUTE(M65,",",""))+1)</f>
        <v/>
      </c>
      <c r="M65" s="37" t="inlineStr">
        <is>
          <t>Pink salt</t>
        </is>
      </c>
      <c r="N65" s="42" t="n">
        <v>7</v>
      </c>
      <c r="O65" s="37" t="inlineStr"/>
      <c r="P65" s="37" t="inlineStr"/>
    </row>
    <row r="66">
      <c r="A66" s="42" t="n">
        <v>36</v>
      </c>
      <c r="B66" s="42" t="inlineStr">
        <is>
          <t>April</t>
        </is>
      </c>
      <c r="C66" s="42" t="inlineStr">
        <is>
          <t>Saturday</t>
        </is>
      </c>
      <c r="D66" s="42" t="inlineStr">
        <is>
          <t>Full Moon</t>
        </is>
      </c>
      <c r="E66" s="42" t="inlineStr">
        <is>
          <t>Windy</t>
        </is>
      </c>
      <c r="F66" s="42" t="inlineStr">
        <is>
          <t>Sunrise</t>
        </is>
      </c>
      <c r="G66" s="42" t="inlineStr"/>
      <c r="H66" s="42" t="n">
        <v>17</v>
      </c>
      <c r="I66" s="37" t="inlineStr">
        <is>
          <t>Hearthkeeper's Blessing</t>
        </is>
      </c>
      <c r="J66" s="42" t="inlineStr">
        <is>
          <t>Witch Salt</t>
        </is>
      </c>
      <c r="K66" s="37" t="inlineStr">
        <is>
          <t>Saturday · Full Moon</t>
        </is>
      </c>
      <c r="L66" s="42">
        <f>IF(M66="",0,LEN(M66)-LEN(SUBSTITUTE(M66,",",""))+1)</f>
        <v/>
      </c>
      <c r="M66" s="37" t="inlineStr">
        <is>
          <t>Hearth ash</t>
        </is>
      </c>
      <c r="N66" s="42" t="n">
        <v>9</v>
      </c>
      <c r="O66" s="37" t="inlineStr"/>
      <c r="P66" s="37" t="inlineStr"/>
    </row>
    <row r="67">
      <c r="A67" s="42" t="n">
        <v>36</v>
      </c>
      <c r="B67" s="42" t="inlineStr">
        <is>
          <t>April</t>
        </is>
      </c>
      <c r="C67" s="42" t="inlineStr">
        <is>
          <t>Saturday</t>
        </is>
      </c>
      <c r="D67" s="42" t="inlineStr">
        <is>
          <t>Full Moon</t>
        </is>
      </c>
      <c r="E67" s="42" t="inlineStr">
        <is>
          <t>Windy</t>
        </is>
      </c>
      <c r="F67" s="42" t="inlineStr">
        <is>
          <t>Sunrise</t>
        </is>
      </c>
      <c r="G67" s="42" t="inlineStr"/>
      <c r="H67" s="42" t="n">
        <v>78</v>
      </c>
      <c r="I67" s="37" t="inlineStr">
        <is>
          <t>The Final Golden Stitch</t>
        </is>
      </c>
      <c r="J67" s="42" t="inlineStr">
        <is>
          <t>Witch's Ladder</t>
        </is>
      </c>
      <c r="K67" s="37" t="inlineStr">
        <is>
          <t>Saturday · Full Moon</t>
        </is>
      </c>
      <c r="L67" s="42">
        <f>IF(M67="",0,LEN(M67)-LEN(SUBSTITUTE(M67,",",""))+1)</f>
        <v/>
      </c>
      <c r="M67" s="37" t="inlineStr">
        <is>
          <t>Gold thread</t>
        </is>
      </c>
      <c r="N67" s="42" t="n">
        <v>7</v>
      </c>
      <c r="O67" s="37" t="inlineStr"/>
      <c r="P67" s="37" t="inlineStr"/>
    </row>
    <row r="68">
      <c r="A68" s="42" t="n">
        <v>36</v>
      </c>
      <c r="B68" s="42" t="inlineStr">
        <is>
          <t>April</t>
        </is>
      </c>
      <c r="C68" s="42" t="inlineStr">
        <is>
          <t>Saturday</t>
        </is>
      </c>
      <c r="D68" s="42" t="inlineStr">
        <is>
          <t>Full Moon</t>
        </is>
      </c>
      <c r="E68" s="42" t="inlineStr">
        <is>
          <t>Windy</t>
        </is>
      </c>
      <c r="F68" s="42" t="inlineStr">
        <is>
          <t>Noon</t>
        </is>
      </c>
      <c r="G68" s="42" t="inlineStr"/>
      <c r="H68" s="42" t="n">
        <v>1</v>
      </c>
      <c r="I68" s="37" t="inlineStr">
        <is>
          <t>Rosewater Reverie</t>
        </is>
      </c>
      <c r="J68" s="42" t="inlineStr">
        <is>
          <t>Potion</t>
        </is>
      </c>
      <c r="K68" s="37" t="inlineStr">
        <is>
          <t>Pink Moon (April full moon)</t>
        </is>
      </c>
      <c r="L68" s="42">
        <f>IF(M68="",0,LEN(M68)-LEN(SUBSTITUTE(M68,",",""))+1)</f>
        <v/>
      </c>
      <c r="M68" s="37" t="inlineStr">
        <is>
          <t>Pink Moon</t>
        </is>
      </c>
      <c r="N68" s="42" t="n">
        <v>8</v>
      </c>
      <c r="O68" s="37" t="inlineStr"/>
      <c r="P68" s="37" t="inlineStr"/>
    </row>
    <row r="69">
      <c r="A69" s="42" t="n">
        <v>37</v>
      </c>
      <c r="B69" s="42" t="inlineStr">
        <is>
          <t>April</t>
        </is>
      </c>
      <c r="C69" s="42" t="inlineStr">
        <is>
          <t>Sunday</t>
        </is>
      </c>
      <c r="D69" s="42" t="inlineStr">
        <is>
          <t>Waning Gibbous</t>
        </is>
      </c>
      <c r="E69" s="42" t="inlineStr">
        <is>
          <t>Clear &amp; sunny</t>
        </is>
      </c>
      <c r="F69" s="42" t="inlineStr">
        <is>
          <t>Sunrise</t>
        </is>
      </c>
      <c r="G69" s="42" t="inlineStr"/>
      <c r="H69" s="42" t="n">
        <v>13</v>
      </c>
      <c r="I69" s="37" t="inlineStr">
        <is>
          <t>Crimson Kiss</t>
        </is>
      </c>
      <c r="J69" s="42" t="inlineStr">
        <is>
          <t>Powder</t>
        </is>
      </c>
      <c r="K69" s="37" t="inlineStr">
        <is>
          <t>Beltane</t>
        </is>
      </c>
      <c r="L69" s="42">
        <f>IF(M69="",0,LEN(M69)-LEN(SUBSTITUTE(M69,",",""))+1)</f>
        <v/>
      </c>
      <c r="M69" s="37" t="inlineStr">
        <is>
          <t>Beetroot powder, Beltane</t>
        </is>
      </c>
      <c r="N69" s="42" t="n">
        <v>6</v>
      </c>
      <c r="O69" s="37" t="inlineStr">
        <is>
          <t>Hester #6</t>
        </is>
      </c>
      <c r="P69" s="37" t="inlineStr"/>
    </row>
    <row r="70">
      <c r="A70" s="42" t="n">
        <v>37</v>
      </c>
      <c r="B70" s="42" t="inlineStr">
        <is>
          <t>April</t>
        </is>
      </c>
      <c r="C70" s="42" t="inlineStr">
        <is>
          <t>Sunday</t>
        </is>
      </c>
      <c r="D70" s="42" t="inlineStr">
        <is>
          <t>Waning Gibbous</t>
        </is>
      </c>
      <c r="E70" s="42" t="inlineStr">
        <is>
          <t>Clear &amp; sunny</t>
        </is>
      </c>
      <c r="F70" s="42" t="inlineStr">
        <is>
          <t>Noon</t>
        </is>
      </c>
      <c r="G70" s="42" t="inlineStr"/>
      <c r="H70" s="42" t="n">
        <v>41</v>
      </c>
      <c r="I70" s="37" t="inlineStr">
        <is>
          <t>The Midas Muse</t>
        </is>
      </c>
      <c r="J70" s="42" t="inlineStr">
        <is>
          <t>Glamour</t>
        </is>
      </c>
      <c r="K70" s="37" t="inlineStr">
        <is>
          <t>Sunday · Noon · Clear &amp; sunny</t>
        </is>
      </c>
      <c r="L70" s="42">
        <f>IF(M70="",0,LEN(M70)-LEN(SUBSTITUTE(M70,",",""))+1)</f>
        <v/>
      </c>
      <c r="M70" s="37" t="inlineStr">
        <is>
          <t>Citrine</t>
        </is>
      </c>
      <c r="N70" s="42" t="n">
        <v>8</v>
      </c>
      <c r="O70" s="37" t="inlineStr"/>
      <c r="P70" s="37" t="inlineStr"/>
    </row>
    <row r="71">
      <c r="A71" s="42" t="n">
        <v>38</v>
      </c>
      <c r="B71" s="42" t="inlineStr">
        <is>
          <t>April</t>
        </is>
      </c>
      <c r="C71" s="42" t="inlineStr">
        <is>
          <t>Monday</t>
        </is>
      </c>
      <c r="D71" s="42" t="inlineStr">
        <is>
          <t>Waning Crescent</t>
        </is>
      </c>
      <c r="E71" s="42" t="inlineStr">
        <is>
          <t>Clear &amp; sunny</t>
        </is>
      </c>
      <c r="F71" s="42" t="inlineStr">
        <is>
          <t>Sunrise</t>
        </is>
      </c>
      <c r="G71" s="42" t="inlineStr"/>
      <c r="H71" s="42" t="n">
        <v>88</v>
      </c>
      <c r="I71" s="37" t="inlineStr">
        <is>
          <t>The Guiding Thread</t>
        </is>
      </c>
      <c r="J71" s="42" t="inlineStr">
        <is>
          <t>Charm</t>
        </is>
      </c>
      <c r="K71" s="37" t="inlineStr">
        <is>
          <t>Monday</t>
        </is>
      </c>
      <c r="L71" s="42">
        <f>IF(M71="",0,LEN(M71)-LEN(SUBSTITUTE(M71,",",""))+1)</f>
        <v/>
      </c>
      <c r="M71" s="37" t="inlineStr">
        <is>
          <t>Lapis lazuli, Silver bead</t>
        </is>
      </c>
      <c r="N71" s="42" t="n">
        <v>6</v>
      </c>
      <c r="O71" s="37" t="inlineStr"/>
      <c r="P71" s="37" t="inlineStr"/>
    </row>
    <row r="72">
      <c r="A72" s="42" t="n">
        <v>38</v>
      </c>
      <c r="B72" s="42" t="inlineStr">
        <is>
          <t>April</t>
        </is>
      </c>
      <c r="C72" s="42" t="inlineStr">
        <is>
          <t>Monday</t>
        </is>
      </c>
      <c r="D72" s="42" t="inlineStr">
        <is>
          <t>Waning Crescent</t>
        </is>
      </c>
      <c r="E72" s="42" t="inlineStr">
        <is>
          <t>Clear &amp; sunny</t>
        </is>
      </c>
      <c r="F72" s="42" t="inlineStr">
        <is>
          <t>Nightfall</t>
        </is>
      </c>
      <c r="G72" s="42" t="inlineStr">
        <is>
          <t>Yes</t>
        </is>
      </c>
      <c r="H72" s="42" t="n">
        <v>43</v>
      </c>
      <c r="I72" s="37" t="inlineStr">
        <is>
          <t>The Fortune Finder</t>
        </is>
      </c>
      <c r="J72" s="42" t="inlineStr">
        <is>
          <t>Hand Mirror</t>
        </is>
      </c>
      <c r="K72" s="37" t="inlineStr">
        <is>
          <t>Monday · Nightfall</t>
        </is>
      </c>
      <c r="L72" s="42">
        <f>IF(M72="",0,LEN(M72)-LEN(SUBSTITUTE(M72,",",""))+1)</f>
        <v/>
      </c>
      <c r="M72" s="37" t="inlineStr">
        <is>
          <t>Magpie feather, New Moon Water</t>
        </is>
      </c>
      <c r="N72" s="42" t="n">
        <v>7</v>
      </c>
      <c r="O72" s="37" t="inlineStr"/>
      <c r="P72" s="37" t="inlineStr"/>
    </row>
    <row r="73">
      <c r="A73" s="42" t="n">
        <v>39</v>
      </c>
      <c r="B73" s="42" t="inlineStr">
        <is>
          <t>May</t>
        </is>
      </c>
      <c r="C73" s="42" t="inlineStr">
        <is>
          <t>Tuesday</t>
        </is>
      </c>
      <c r="D73" s="42" t="inlineStr">
        <is>
          <t>New Moon</t>
        </is>
      </c>
      <c r="E73" s="42" t="inlineStr">
        <is>
          <t>Clear &amp; sunny</t>
        </is>
      </c>
      <c r="F73" s="42" t="inlineStr">
        <is>
          <t>Twilight</t>
        </is>
      </c>
      <c r="G73" s="42" t="inlineStr"/>
      <c r="H73" s="42" t="n">
        <v>90</v>
      </c>
      <c r="I73" s="37" t="inlineStr">
        <is>
          <t>The Pocket-Sized Triumph</t>
        </is>
      </c>
      <c r="J73" s="42" t="inlineStr">
        <is>
          <t>Cookies</t>
        </is>
      </c>
      <c r="K73" s="37" t="inlineStr">
        <is>
          <t>Twilight</t>
        </is>
      </c>
      <c r="L73" s="42">
        <f>IF(M73="",0,LEN(M73)-LEN(SUBSTITUTE(M73,",",""))+1)</f>
        <v/>
      </c>
      <c r="M73" s="37" t="inlineStr">
        <is>
          <t>Raisins</t>
        </is>
      </c>
      <c r="N73" s="42" t="n">
        <v>3</v>
      </c>
      <c r="O73" s="37" t="inlineStr"/>
      <c r="P73" s="37" t="inlineStr"/>
    </row>
    <row r="74">
      <c r="A74" s="42" t="n">
        <v>39</v>
      </c>
      <c r="B74" s="42" t="inlineStr">
        <is>
          <t>May</t>
        </is>
      </c>
      <c r="C74" s="42" t="inlineStr">
        <is>
          <t>Tuesday</t>
        </is>
      </c>
      <c r="D74" s="42" t="inlineStr">
        <is>
          <t>New Moon</t>
        </is>
      </c>
      <c r="E74" s="42" t="inlineStr">
        <is>
          <t>Clear &amp; sunny</t>
        </is>
      </c>
      <c r="F74" s="42" t="inlineStr">
        <is>
          <t>Nightfall</t>
        </is>
      </c>
      <c r="G74" s="42" t="inlineStr"/>
      <c r="H74" s="42" t="n">
        <v>79</v>
      </c>
      <c r="I74" s="37" t="inlineStr">
        <is>
          <t>The Unwritten Universe</t>
        </is>
      </c>
      <c r="J74" s="42" t="inlineStr">
        <is>
          <t>Wand</t>
        </is>
      </c>
      <c r="K74" s="37" t="inlineStr">
        <is>
          <t>New Moon · Nightfall</t>
        </is>
      </c>
      <c r="L74" s="42">
        <f>IF(M74="",0,LEN(M74)-LEN(SUBSTITUTE(M74,",",""))+1)</f>
        <v/>
      </c>
      <c r="M74" s="37" t="inlineStr">
        <is>
          <t>Willow branch</t>
        </is>
      </c>
      <c r="N74" s="42" t="n">
        <v>8</v>
      </c>
      <c r="O74" s="37" t="inlineStr"/>
      <c r="P74" s="37" t="inlineStr"/>
    </row>
    <row r="75">
      <c r="A75" s="42" t="n">
        <v>40</v>
      </c>
      <c r="B75" s="42" t="inlineStr">
        <is>
          <t>May</t>
        </is>
      </c>
      <c r="C75" s="42" t="inlineStr">
        <is>
          <t>Wednesday</t>
        </is>
      </c>
      <c r="D75" s="42" t="inlineStr">
        <is>
          <t>Waxing Crescent</t>
        </is>
      </c>
      <c r="E75" s="42" t="inlineStr">
        <is>
          <t>Fog / Mist</t>
        </is>
      </c>
      <c r="F75" s="42" t="inlineStr">
        <is>
          <t>Sunrise</t>
        </is>
      </c>
      <c r="G75" s="42" t="inlineStr"/>
      <c r="H75" s="42" t="n">
        <v>160</v>
      </c>
      <c r="I75" s="37" t="inlineStr">
        <is>
          <t>The Finder's Flicker</t>
        </is>
      </c>
      <c r="J75" s="42" t="inlineStr">
        <is>
          <t>Wand</t>
        </is>
      </c>
      <c r="K75" s="37" t="inlineStr">
        <is>
          <t>Wednesday · Waxing Moon</t>
        </is>
      </c>
      <c r="L75" s="42">
        <f>IF(M75="",0,LEN(M75)-LEN(SUBSTITUTE(M75,",",""))+1)</f>
        <v/>
      </c>
      <c r="M75" s="37" t="inlineStr">
        <is>
          <t>Hazel branch, Yellow thread</t>
        </is>
      </c>
      <c r="N75" s="42" t="n">
        <v>5</v>
      </c>
      <c r="O75" s="37" t="inlineStr"/>
      <c r="P75" s="37" t="inlineStr"/>
    </row>
    <row r="76">
      <c r="A76" s="42" t="n">
        <v>40</v>
      </c>
      <c r="B76" s="42" t="inlineStr">
        <is>
          <t>May</t>
        </is>
      </c>
      <c r="C76" s="42" t="inlineStr">
        <is>
          <t>Wednesday</t>
        </is>
      </c>
      <c r="D76" s="42" t="inlineStr">
        <is>
          <t>Waxing Crescent</t>
        </is>
      </c>
      <c r="E76" s="42" t="inlineStr">
        <is>
          <t>Fog / Mist</t>
        </is>
      </c>
      <c r="F76" s="42" t="inlineStr">
        <is>
          <t>Nightfall</t>
        </is>
      </c>
      <c r="G76" s="42" t="inlineStr"/>
      <c r="H76" s="42" t="n">
        <v>103</v>
      </c>
      <c r="I76" s="37" t="inlineStr">
        <is>
          <t>The Foggy Moon</t>
        </is>
      </c>
      <c r="J76" s="42" t="inlineStr">
        <is>
          <t>Hand Mirror</t>
        </is>
      </c>
      <c r="K76" s="37" t="inlineStr">
        <is>
          <t>Fog / Mist · Nightfall</t>
        </is>
      </c>
      <c r="L76" s="42">
        <f>IF(M76="",0,LEN(M76)-LEN(SUBSTITUTE(M76,",",""))+1)</f>
        <v/>
      </c>
      <c r="M76" s="37" t="inlineStr">
        <is>
          <t>Fog / Mist</t>
        </is>
      </c>
      <c r="N76" s="42" t="n">
        <v>7</v>
      </c>
      <c r="O76" s="37" t="inlineStr"/>
      <c r="P76" s="37" t="inlineStr"/>
    </row>
    <row r="77">
      <c r="A77" s="42" t="n">
        <v>41</v>
      </c>
      <c r="B77" s="42" t="inlineStr">
        <is>
          <t>May</t>
        </is>
      </c>
      <c r="C77" s="42" t="inlineStr">
        <is>
          <t>Thursday</t>
        </is>
      </c>
      <c r="D77" s="42" t="inlineStr">
        <is>
          <t>Waxing Gibbous</t>
        </is>
      </c>
      <c r="E77" s="42" t="inlineStr">
        <is>
          <t>Clear &amp; sunny</t>
        </is>
      </c>
      <c r="F77" s="42" t="inlineStr">
        <is>
          <t>Sunrise</t>
        </is>
      </c>
      <c r="G77" s="42" t="inlineStr"/>
      <c r="H77" s="42" t="n">
        <v>35</v>
      </c>
      <c r="I77" s="37" t="inlineStr">
        <is>
          <t>The Open Invitation</t>
        </is>
      </c>
      <c r="J77" s="42" t="inlineStr">
        <is>
          <t>Spell Bottle</t>
        </is>
      </c>
      <c r="K77" s="37" t="inlineStr">
        <is>
          <t>Thursday · Waxing Gibbous</t>
        </is>
      </c>
      <c r="L77" s="42">
        <f>IF(M77="",0,LEN(M77)-LEN(SUBSTITUTE(M77,",",""))+1)</f>
        <v/>
      </c>
      <c r="M77" s="37" t="inlineStr">
        <is>
          <t>Basil, Gold button</t>
        </is>
      </c>
      <c r="N77" s="42" t="n">
        <v>7</v>
      </c>
      <c r="O77" s="37" t="inlineStr">
        <is>
          <t>Dottie #154</t>
        </is>
      </c>
      <c r="P77" s="37" t="inlineStr"/>
    </row>
    <row r="78">
      <c r="A78" s="42" t="n">
        <v>41</v>
      </c>
      <c r="B78" s="42" t="inlineStr">
        <is>
          <t>May</t>
        </is>
      </c>
      <c r="C78" s="42" t="inlineStr">
        <is>
          <t>Thursday</t>
        </is>
      </c>
      <c r="D78" s="42" t="inlineStr">
        <is>
          <t>Waxing Gibbous</t>
        </is>
      </c>
      <c r="E78" s="42" t="inlineStr">
        <is>
          <t>Clear &amp; sunny</t>
        </is>
      </c>
      <c r="F78" s="42" t="inlineStr">
        <is>
          <t>Noon</t>
        </is>
      </c>
      <c r="G78" s="42" t="inlineStr"/>
      <c r="H78" s="42" t="n">
        <v>32</v>
      </c>
      <c r="I78" s="37" t="inlineStr">
        <is>
          <t>The Gilded Orchard</t>
        </is>
      </c>
      <c r="J78" s="42" t="inlineStr">
        <is>
          <t>Oil</t>
        </is>
      </c>
      <c r="K78" s="37" t="inlineStr">
        <is>
          <t>Thursday · Waxing Gibbous · Noon</t>
        </is>
      </c>
      <c r="L78" s="42">
        <f>IF(M78="",0,LEN(M78)-LEN(SUBSTITUTE(M78,",",""))+1)</f>
        <v/>
      </c>
      <c r="M78" s="37" t="inlineStr">
        <is>
          <t>Allspice</t>
        </is>
      </c>
      <c r="N78" s="42" t="n">
        <v>9</v>
      </c>
      <c r="O78" s="37" t="inlineStr">
        <is>
          <t>Noor #77</t>
        </is>
      </c>
      <c r="P78" s="37" t="inlineStr"/>
    </row>
    <row r="79">
      <c r="A79" s="42" t="n">
        <v>42</v>
      </c>
      <c r="B79" s="42" t="inlineStr">
        <is>
          <t>May</t>
        </is>
      </c>
      <c r="C79" s="42" t="inlineStr">
        <is>
          <t>Friday</t>
        </is>
      </c>
      <c r="D79" s="42" t="inlineStr">
        <is>
          <t>Full Moon</t>
        </is>
      </c>
      <c r="E79" s="42" t="inlineStr">
        <is>
          <t>Clear &amp; sunny</t>
        </is>
      </c>
      <c r="F79" s="42" t="inlineStr">
        <is>
          <t>Sunrise</t>
        </is>
      </c>
      <c r="G79" s="42" t="inlineStr"/>
      <c r="H79" s="42" t="n">
        <v>14</v>
      </c>
      <c r="I79" s="37" t="inlineStr">
        <is>
          <t>The Golden Vow</t>
        </is>
      </c>
      <c r="J79" s="42" t="inlineStr">
        <is>
          <t>Talisman</t>
        </is>
      </c>
      <c r="K79" s="37" t="inlineStr">
        <is>
          <t>Friday · Full Moon</t>
        </is>
      </c>
      <c r="L79" s="42">
        <f>IF(M79="",0,LEN(M79)-LEN(SUBSTITUTE(M79,",",""))+1)</f>
        <v/>
      </c>
      <c r="M79" s="37" t="inlineStr">
        <is>
          <t>Jade, Velvet ribbon (red)</t>
        </is>
      </c>
      <c r="N79" s="42" t="n">
        <v>6</v>
      </c>
      <c r="O79" s="37" t="inlineStr"/>
      <c r="P79" s="37" t="inlineStr"/>
    </row>
    <row r="80">
      <c r="A80" s="42" t="n">
        <v>42</v>
      </c>
      <c r="B80" s="42" t="inlineStr">
        <is>
          <t>May</t>
        </is>
      </c>
      <c r="C80" s="42" t="inlineStr">
        <is>
          <t>Friday</t>
        </is>
      </c>
      <c r="D80" s="42" t="inlineStr">
        <is>
          <t>Full Moon</t>
        </is>
      </c>
      <c r="E80" s="42" t="inlineStr">
        <is>
          <t>Clear &amp; sunny</t>
        </is>
      </c>
      <c r="F80" s="42" t="inlineStr">
        <is>
          <t>Sunrise</t>
        </is>
      </c>
      <c r="G80" s="42" t="inlineStr"/>
      <c r="H80" s="42" t="n">
        <v>47</v>
      </c>
      <c r="I80" s="37" t="inlineStr">
        <is>
          <t>Mirror of Aphrodite</t>
        </is>
      </c>
      <c r="J80" s="42" t="inlineStr">
        <is>
          <t>Hand Mirror</t>
        </is>
      </c>
      <c r="K80" s="37" t="inlineStr">
        <is>
          <t>Friday · Full Moon</t>
        </is>
      </c>
      <c r="L80" s="42">
        <f>IF(M80="",0,LEN(M80)-LEN(SUBSTITUTE(M80,",",""))+1)</f>
        <v/>
      </c>
      <c r="M80" s="37" t="inlineStr">
        <is>
          <t>Swan down</t>
        </is>
      </c>
      <c r="N80" s="42" t="n">
        <v>8</v>
      </c>
      <c r="O80" s="37" t="inlineStr">
        <is>
          <t>Goldie #12</t>
        </is>
      </c>
      <c r="P80" s="37" t="inlineStr"/>
    </row>
    <row r="81">
      <c r="A81" s="42" t="n">
        <v>42</v>
      </c>
      <c r="B81" s="42" t="inlineStr">
        <is>
          <t>May</t>
        </is>
      </c>
      <c r="C81" s="42" t="inlineStr">
        <is>
          <t>Friday</t>
        </is>
      </c>
      <c r="D81" s="42" t="inlineStr">
        <is>
          <t>Full Moon</t>
        </is>
      </c>
      <c r="E81" s="42" t="inlineStr">
        <is>
          <t>Clear &amp; sunny</t>
        </is>
      </c>
      <c r="F81" s="42" t="inlineStr">
        <is>
          <t>Sunrise</t>
        </is>
      </c>
      <c r="G81" s="42" t="inlineStr"/>
      <c r="H81" s="42" t="n">
        <v>62</v>
      </c>
      <c r="I81" s="37" t="inlineStr">
        <is>
          <t>The Unbreakable Braid</t>
        </is>
      </c>
      <c r="J81" s="42" t="inlineStr">
        <is>
          <t>Witch's Ladder</t>
        </is>
      </c>
      <c r="K81" s="37" t="inlineStr">
        <is>
          <t>Friday · Full Moon</t>
        </is>
      </c>
      <c r="L81" s="42">
        <f>IF(M81="",0,LEN(M81)-LEN(SUBSTITUTE(M81,",",""))+1)</f>
        <v/>
      </c>
      <c r="M81" s="37" t="inlineStr">
        <is>
          <t>Pearl buttons</t>
        </is>
      </c>
      <c r="N81" s="42" t="n">
        <v>9</v>
      </c>
      <c r="O81" s="37" t="inlineStr"/>
      <c r="P81" s="37" t="inlineStr"/>
    </row>
    <row r="82">
      <c r="A82" s="42" t="n">
        <v>42</v>
      </c>
      <c r="B82" s="42" t="inlineStr">
        <is>
          <t>May</t>
        </is>
      </c>
      <c r="C82" s="42" t="inlineStr">
        <is>
          <t>Friday</t>
        </is>
      </c>
      <c r="D82" s="42" t="inlineStr">
        <is>
          <t>Full Moon</t>
        </is>
      </c>
      <c r="E82" s="42" t="inlineStr">
        <is>
          <t>Clear &amp; sunny</t>
        </is>
      </c>
      <c r="F82" s="42" t="inlineStr">
        <is>
          <t>Sunrise</t>
        </is>
      </c>
      <c r="G82" s="42" t="inlineStr"/>
      <c r="H82" s="42" t="n">
        <v>212</v>
      </c>
      <c r="I82" s="37" t="inlineStr">
        <is>
          <t>The Silken Halo</t>
        </is>
      </c>
      <c r="J82" s="42" t="inlineStr">
        <is>
          <t>Oil</t>
        </is>
      </c>
      <c r="K82" s="37" t="inlineStr">
        <is>
          <t>Flower Moon (May full moon)</t>
        </is>
      </c>
      <c r="L82" s="42">
        <f>IF(M82="",0,LEN(M82)-LEN(SUBSTITUTE(M82,",",""))+1)</f>
        <v/>
      </c>
      <c r="M82" s="37" t="inlineStr">
        <is>
          <t>Flower Moon</t>
        </is>
      </c>
      <c r="N82" s="42" t="n">
        <v>3</v>
      </c>
      <c r="O82" s="37" t="inlineStr"/>
      <c r="P82" s="37" t="inlineStr"/>
    </row>
    <row r="83">
      <c r="A83" s="42" t="n">
        <v>43</v>
      </c>
      <c r="B83" s="42" t="inlineStr">
        <is>
          <t>May</t>
        </is>
      </c>
      <c r="C83" s="42" t="inlineStr">
        <is>
          <t>Saturday</t>
        </is>
      </c>
      <c r="D83" s="42" t="inlineStr">
        <is>
          <t>Waning Gibbous</t>
        </is>
      </c>
      <c r="E83" s="42" t="inlineStr">
        <is>
          <t>Windy</t>
        </is>
      </c>
      <c r="F83" s="42" t="inlineStr">
        <is>
          <t>Sunrise</t>
        </is>
      </c>
      <c r="G83" s="42" t="inlineStr"/>
      <c r="H83" s="42" t="n">
        <v>70</v>
      </c>
      <c r="I83" s="37" t="inlineStr">
        <is>
          <t>The Empty Chair</t>
        </is>
      </c>
      <c r="J83" s="42" t="inlineStr">
        <is>
          <t>Poppet</t>
        </is>
      </c>
      <c r="K83" s="37" t="inlineStr">
        <is>
          <t>Saturday · Waning Moon</t>
        </is>
      </c>
      <c r="L83" s="42">
        <f>IF(M83="",0,LEN(M83)-LEN(SUBSTITUTE(M83,",",""))+1)</f>
        <v/>
      </c>
      <c r="M83" s="37" t="inlineStr">
        <is>
          <t>Grey thread, Rose thorns, Death</t>
        </is>
      </c>
      <c r="N83" s="42" t="n">
        <v>5</v>
      </c>
      <c r="O83" s="37" t="inlineStr"/>
      <c r="P83" s="37" t="inlineStr"/>
    </row>
    <row r="84">
      <c r="A84" s="42" t="n">
        <v>43</v>
      </c>
      <c r="B84" s="42" t="inlineStr">
        <is>
          <t>May</t>
        </is>
      </c>
      <c r="C84" s="42" t="inlineStr">
        <is>
          <t>Saturday</t>
        </is>
      </c>
      <c r="D84" s="42" t="inlineStr">
        <is>
          <t>Waning Gibbous</t>
        </is>
      </c>
      <c r="E84" s="42" t="inlineStr">
        <is>
          <t>Windy</t>
        </is>
      </c>
      <c r="F84" s="42" t="inlineStr">
        <is>
          <t>Sunrise</t>
        </is>
      </c>
      <c r="G84" s="42" t="inlineStr"/>
      <c r="H84" s="42" t="n">
        <v>99</v>
      </c>
      <c r="I84" s="37" t="inlineStr">
        <is>
          <t>The Open Palm</t>
        </is>
      </c>
      <c r="J84" s="42" t="inlineStr">
        <is>
          <t>Rune</t>
        </is>
      </c>
      <c r="K84" s="37" t="inlineStr">
        <is>
          <t>Saturday · Waning Moon</t>
        </is>
      </c>
      <c r="L84" s="42">
        <f>IF(M84="",0,LEN(M84)-LEN(SUBSTITUTE(M84,",",""))+1)</f>
        <v/>
      </c>
      <c r="M84" s="37" t="inlineStr">
        <is>
          <t>Willow bark</t>
        </is>
      </c>
      <c r="N84" s="42" t="n">
        <v>6</v>
      </c>
      <c r="O84" s="37" t="inlineStr"/>
      <c r="P84" s="37" t="inlineStr"/>
    </row>
    <row r="85">
      <c r="A85" s="42" t="n">
        <v>43</v>
      </c>
      <c r="B85" s="42" t="inlineStr">
        <is>
          <t>May</t>
        </is>
      </c>
      <c r="C85" s="42" t="inlineStr">
        <is>
          <t>Saturday</t>
        </is>
      </c>
      <c r="D85" s="42" t="inlineStr">
        <is>
          <t>Waning Gibbous</t>
        </is>
      </c>
      <c r="E85" s="42" t="inlineStr">
        <is>
          <t>Windy</t>
        </is>
      </c>
      <c r="F85" s="42" t="inlineStr">
        <is>
          <t>Noon</t>
        </is>
      </c>
      <c r="G85" s="42" t="inlineStr"/>
      <c r="H85" s="42" t="n">
        <v>94</v>
      </c>
      <c r="I85" s="37" t="inlineStr">
        <is>
          <t>The Mercy Garden</t>
        </is>
      </c>
      <c r="J85" s="42" t="inlineStr">
        <is>
          <t>Balm</t>
        </is>
      </c>
      <c r="K85" s="37" t="inlineStr">
        <is>
          <t>Saturday · Waning Gibbous</t>
        </is>
      </c>
      <c r="L85" s="42">
        <f>IF(M85="",0,LEN(M85)-LEN(SUBSTITUTE(M85,",",""))+1)</f>
        <v/>
      </c>
      <c r="M85" s="37" t="inlineStr"/>
      <c r="N85" s="42" t="n">
        <v>8</v>
      </c>
      <c r="O85" s="37" t="inlineStr"/>
      <c r="P85" s="37" t="inlineStr"/>
    </row>
    <row r="86">
      <c r="A86" s="42" t="n">
        <v>44</v>
      </c>
      <c r="B86" s="42" t="inlineStr">
        <is>
          <t>May</t>
        </is>
      </c>
      <c r="C86" s="42" t="inlineStr">
        <is>
          <t>Sunday</t>
        </is>
      </c>
      <c r="D86" s="42" t="inlineStr">
        <is>
          <t>Waning Crescent</t>
        </is>
      </c>
      <c r="E86" s="42" t="inlineStr">
        <is>
          <t>Clear &amp; sunny</t>
        </is>
      </c>
      <c r="F86" s="42" t="inlineStr">
        <is>
          <t>Noon</t>
        </is>
      </c>
      <c r="G86" s="42" t="inlineStr"/>
      <c r="H86" s="42" t="n">
        <v>114</v>
      </c>
      <c r="I86" s="37" t="inlineStr">
        <is>
          <t>The Unborrowed Light</t>
        </is>
      </c>
      <c r="J86" s="42" t="inlineStr">
        <is>
          <t>Sigil</t>
        </is>
      </c>
      <c r="K86" s="37" t="inlineStr">
        <is>
          <t>Sunday · Noon</t>
        </is>
      </c>
      <c r="L86" s="42">
        <f>IF(M86="",0,LEN(M86)-LEN(SUBSTITUTE(M86,",",""))+1)</f>
        <v/>
      </c>
      <c r="M86" s="37" t="inlineStr">
        <is>
          <t>Silver ink</t>
        </is>
      </c>
      <c r="N86" s="42" t="n">
        <v>6</v>
      </c>
      <c r="O86" s="37" t="inlineStr"/>
      <c r="P86" s="37" t="inlineStr"/>
    </row>
    <row r="87">
      <c r="A87" s="42" t="n">
        <v>44</v>
      </c>
      <c r="B87" s="42" t="inlineStr">
        <is>
          <t>May</t>
        </is>
      </c>
      <c r="C87" s="42" t="inlineStr">
        <is>
          <t>Sunday</t>
        </is>
      </c>
      <c r="D87" s="42" t="inlineStr">
        <is>
          <t>Waning Crescent</t>
        </is>
      </c>
      <c r="E87" s="42" t="inlineStr">
        <is>
          <t>Clear &amp; sunny</t>
        </is>
      </c>
      <c r="F87" s="42" t="inlineStr">
        <is>
          <t>Nightfall</t>
        </is>
      </c>
      <c r="G87" s="42" t="inlineStr"/>
      <c r="H87" s="42" t="n">
        <v>131</v>
      </c>
      <c r="I87" s="37" t="inlineStr">
        <is>
          <t>The Starbound Self</t>
        </is>
      </c>
      <c r="J87" s="42" t="inlineStr">
        <is>
          <t>Hand Mirror</t>
        </is>
      </c>
      <c r="K87" s="37" t="inlineStr">
        <is>
          <t>Clear starry night</t>
        </is>
      </c>
      <c r="L87" s="42">
        <f>IF(M87="",0,LEN(M87)-LEN(SUBSTITUTE(M87,",",""))+1)</f>
        <v/>
      </c>
      <c r="M87" s="37" t="inlineStr"/>
      <c r="N87" s="42" t="n">
        <v>4</v>
      </c>
      <c r="O87" s="37" t="inlineStr"/>
      <c r="P87" s="37" t="inlineStr"/>
    </row>
    <row r="88">
      <c r="A88" s="42" t="n">
        <v>45</v>
      </c>
      <c r="B88" s="42" t="inlineStr">
        <is>
          <t>June</t>
        </is>
      </c>
      <c r="C88" s="42" t="inlineStr">
        <is>
          <t>Monday</t>
        </is>
      </c>
      <c r="D88" s="42" t="inlineStr">
        <is>
          <t>New Moon</t>
        </is>
      </c>
      <c r="E88" s="42" t="inlineStr">
        <is>
          <t>Clear &amp; sunny</t>
        </is>
      </c>
      <c r="F88" s="42" t="inlineStr">
        <is>
          <t>Sunrise</t>
        </is>
      </c>
      <c r="G88" s="42" t="inlineStr"/>
      <c r="H88" s="42" t="n">
        <v>104</v>
      </c>
      <c r="I88" s="37" t="inlineStr">
        <is>
          <t>The Dawn Within</t>
        </is>
      </c>
      <c r="J88" s="42" t="inlineStr">
        <is>
          <t>Spell Bottle</t>
        </is>
      </c>
      <c r="K88" s="37" t="inlineStr">
        <is>
          <t>Sunrise · New Moon</t>
        </is>
      </c>
      <c r="L88" s="42">
        <f>IF(M88="",0,LEN(M88)-LEN(SUBSTITUTE(M88,",",""))+1)</f>
        <v/>
      </c>
      <c r="M88" s="37" t="inlineStr"/>
      <c r="N88" s="42" t="n">
        <v>8</v>
      </c>
      <c r="O88" s="37" t="inlineStr"/>
      <c r="P88" s="37" t="inlineStr"/>
    </row>
    <row r="89">
      <c r="A89" s="42" t="n">
        <v>45</v>
      </c>
      <c r="B89" s="42" t="inlineStr">
        <is>
          <t>June</t>
        </is>
      </c>
      <c r="C89" s="42" t="inlineStr">
        <is>
          <t>Monday</t>
        </is>
      </c>
      <c r="D89" s="42" t="inlineStr">
        <is>
          <t>New Moon</t>
        </is>
      </c>
      <c r="E89" s="42" t="inlineStr">
        <is>
          <t>Clear &amp; sunny</t>
        </is>
      </c>
      <c r="F89" s="42" t="inlineStr">
        <is>
          <t>Noon</t>
        </is>
      </c>
      <c r="G89" s="42" t="inlineStr"/>
      <c r="H89" s="42" t="n">
        <v>74</v>
      </c>
      <c r="I89" s="37" t="inlineStr">
        <is>
          <t>The Listening Shell</t>
        </is>
      </c>
      <c r="J89" s="42" t="inlineStr">
        <is>
          <t>Amulet</t>
        </is>
      </c>
      <c r="K89" s="37" t="inlineStr">
        <is>
          <t>Monday · New Moon</t>
        </is>
      </c>
      <c r="L89" s="42">
        <f>IF(M89="",0,LEN(M89)-LEN(SUBSTITUTE(M89,",",""))+1)</f>
        <v/>
      </c>
      <c r="M89" s="37" t="inlineStr"/>
      <c r="N89" s="42" t="n">
        <v>8</v>
      </c>
      <c r="O89" s="37" t="inlineStr"/>
      <c r="P89" s="37" t="inlineStr"/>
    </row>
    <row r="90">
      <c r="A90" s="42" t="n">
        <v>46</v>
      </c>
      <c r="B90" s="42" t="inlineStr">
        <is>
          <t>June</t>
        </is>
      </c>
      <c r="C90" s="42" t="inlineStr">
        <is>
          <t>Tuesday</t>
        </is>
      </c>
      <c r="D90" s="42" t="inlineStr">
        <is>
          <t>Waxing Crescent</t>
        </is>
      </c>
      <c r="E90" s="42" t="inlineStr">
        <is>
          <t>Thunderstorm</t>
        </is>
      </c>
      <c r="F90" s="42" t="inlineStr">
        <is>
          <t>Sunrise</t>
        </is>
      </c>
      <c r="G90" s="42" t="inlineStr">
        <is>
          <t>Yes</t>
        </is>
      </c>
      <c r="H90" s="42" t="n">
        <v>169</v>
      </c>
      <c r="I90" s="37" t="inlineStr">
        <is>
          <t>The Ritual of Ordinary Things</t>
        </is>
      </c>
      <c r="J90" s="42" t="inlineStr">
        <is>
          <t>Glamour</t>
        </is>
      </c>
      <c r="K90" s="37" t="inlineStr">
        <is>
          <t>Sunrise</t>
        </is>
      </c>
      <c r="L90" s="42">
        <f>IF(M90="",0,LEN(M90)-LEN(SUBSTITUTE(M90,",",""))+1)</f>
        <v/>
      </c>
      <c r="M90" s="37" t="inlineStr"/>
      <c r="N90" s="42" t="n">
        <v>4</v>
      </c>
      <c r="O90" s="37" t="inlineStr"/>
      <c r="P90" s="37" t="inlineStr"/>
    </row>
    <row r="91">
      <c r="A91" s="42" t="n">
        <v>47</v>
      </c>
      <c r="B91" s="42" t="inlineStr">
        <is>
          <t>June</t>
        </is>
      </c>
      <c r="C91" s="42" t="inlineStr">
        <is>
          <t>Wednesday</t>
        </is>
      </c>
      <c r="D91" s="42" t="inlineStr">
        <is>
          <t>Waxing Gibbous</t>
        </is>
      </c>
      <c r="E91" s="42" t="inlineStr">
        <is>
          <t>Clear &amp; sunny</t>
        </is>
      </c>
      <c r="F91" s="42" t="inlineStr">
        <is>
          <t>Sunrise</t>
        </is>
      </c>
      <c r="G91" s="42" t="inlineStr"/>
      <c r="H91" s="42" t="n">
        <v>66</v>
      </c>
      <c r="I91" s="37" t="inlineStr">
        <is>
          <t>The Silver Bridge</t>
        </is>
      </c>
      <c r="J91" s="42" t="inlineStr">
        <is>
          <t>Water</t>
        </is>
      </c>
      <c r="K91" s="37" t="inlineStr">
        <is>
          <t>after Rain</t>
        </is>
      </c>
      <c r="L91" s="42">
        <f>IF(M91="",0,LEN(M91)-LEN(SUBSTITUTE(M91,",",""))+1)</f>
        <v/>
      </c>
      <c r="M91" s="37" t="inlineStr">
        <is>
          <t>Angelica root</t>
        </is>
      </c>
      <c r="N91" s="42" t="n">
        <v>7</v>
      </c>
      <c r="O91" s="37" t="inlineStr"/>
      <c r="P91" s="37" t="inlineStr"/>
    </row>
    <row r="92">
      <c r="A92" s="42" t="n">
        <v>47</v>
      </c>
      <c r="B92" s="42" t="inlineStr">
        <is>
          <t>June</t>
        </is>
      </c>
      <c r="C92" s="42" t="inlineStr">
        <is>
          <t>Wednesday</t>
        </is>
      </c>
      <c r="D92" s="42" t="inlineStr">
        <is>
          <t>Waxing Gibbous</t>
        </is>
      </c>
      <c r="E92" s="42" t="inlineStr">
        <is>
          <t>Clear &amp; sunny</t>
        </is>
      </c>
      <c r="F92" s="42" t="inlineStr">
        <is>
          <t>Sunrise</t>
        </is>
      </c>
      <c r="G92" s="42" t="inlineStr"/>
      <c r="H92" s="42" t="n">
        <v>81</v>
      </c>
      <c r="I92" s="37" t="inlineStr">
        <is>
          <t>The Clockwork Moon</t>
        </is>
      </c>
      <c r="J92" s="42" t="inlineStr">
        <is>
          <t>Talisman</t>
        </is>
      </c>
      <c r="K92" s="37" t="inlineStr">
        <is>
          <t>Wednesday</t>
        </is>
      </c>
      <c r="L92" s="42">
        <f>IF(M92="",0,LEN(M92)-LEN(SUBSTITUTE(M92,",",""))+1)</f>
        <v/>
      </c>
      <c r="M92" s="37" t="inlineStr"/>
      <c r="N92" s="42" t="n">
        <v>7</v>
      </c>
      <c r="O92" s="37" t="inlineStr"/>
      <c r="P92" s="37" t="inlineStr"/>
    </row>
    <row r="93">
      <c r="A93" s="42" t="n">
        <v>48</v>
      </c>
      <c r="B93" s="42" t="inlineStr">
        <is>
          <t>June</t>
        </is>
      </c>
      <c r="C93" s="42" t="inlineStr">
        <is>
          <t>Thursday</t>
        </is>
      </c>
      <c r="D93" s="42" t="inlineStr">
        <is>
          <t>Full Moon</t>
        </is>
      </c>
      <c r="E93" s="42" t="inlineStr">
        <is>
          <t>Clear &amp; sunny</t>
        </is>
      </c>
      <c r="F93" s="42" t="inlineStr">
        <is>
          <t>Sunrise</t>
        </is>
      </c>
      <c r="G93" s="42" t="inlineStr"/>
      <c r="H93" s="42" t="n">
        <v>134</v>
      </c>
      <c r="I93" s="37" t="inlineStr">
        <is>
          <t>The Turning Leaf</t>
        </is>
      </c>
      <c r="J93" s="42" t="inlineStr">
        <is>
          <t>Rune</t>
        </is>
      </c>
      <c r="K93" s="37" t="inlineStr">
        <is>
          <t>Any equinox or solstice (Ostara, Litha, Mabon, Yule)</t>
        </is>
      </c>
      <c r="L93" s="42">
        <f>IF(M93="",0,LEN(M93)-LEN(SUBSTITUTE(M93,",",""))+1)</f>
        <v/>
      </c>
      <c r="M93" s="37" t="inlineStr">
        <is>
          <t>Autumn leaf, Birch branch, Festival</t>
        </is>
      </c>
      <c r="N93" s="42" t="n">
        <v>3</v>
      </c>
      <c r="O93" s="37" t="inlineStr"/>
      <c r="P93" s="37" t="inlineStr"/>
    </row>
    <row r="94">
      <c r="A94" s="42" t="n">
        <v>48</v>
      </c>
      <c r="B94" s="42" t="inlineStr">
        <is>
          <t>June</t>
        </is>
      </c>
      <c r="C94" s="42" t="inlineStr">
        <is>
          <t>Thursday</t>
        </is>
      </c>
      <c r="D94" s="42" t="inlineStr">
        <is>
          <t>Full Moon</t>
        </is>
      </c>
      <c r="E94" s="42" t="inlineStr">
        <is>
          <t>Clear &amp; sunny</t>
        </is>
      </c>
      <c r="F94" s="42" t="inlineStr">
        <is>
          <t>Noon</t>
        </is>
      </c>
      <c r="G94" s="42" t="inlineStr"/>
      <c r="H94" s="42" t="n">
        <v>27</v>
      </c>
      <c r="I94" s="37" t="inlineStr">
        <is>
          <t>The Silver Cocoon</t>
        </is>
      </c>
      <c r="J94" s="42" t="inlineStr">
        <is>
          <t>Soap</t>
        </is>
      </c>
      <c r="K94" s="37" t="inlineStr">
        <is>
          <t>Full Moon</t>
        </is>
      </c>
      <c r="L94" s="42">
        <f>IF(M94="",0,LEN(M94)-LEN(SUBSTITUTE(M94,",",""))+1)</f>
        <v/>
      </c>
      <c r="M94" s="37" t="inlineStr"/>
      <c r="N94" s="42" t="n">
        <v>8</v>
      </c>
      <c r="O94" s="37" t="inlineStr"/>
      <c r="P94" s="37" t="inlineStr"/>
    </row>
    <row r="95">
      <c r="A95" s="42" t="n">
        <v>48</v>
      </c>
      <c r="B95" s="42" t="inlineStr">
        <is>
          <t>June</t>
        </is>
      </c>
      <c r="C95" s="42" t="inlineStr">
        <is>
          <t>Thursday</t>
        </is>
      </c>
      <c r="D95" s="42" t="inlineStr">
        <is>
          <t>Full Moon</t>
        </is>
      </c>
      <c r="E95" s="42" t="inlineStr">
        <is>
          <t>Clear &amp; sunny</t>
        </is>
      </c>
      <c r="F95" s="42" t="inlineStr">
        <is>
          <t>Nightfall</t>
        </is>
      </c>
      <c r="G95" s="42" t="inlineStr">
        <is>
          <t>Yes</t>
        </is>
      </c>
      <c r="H95" s="42" t="n">
        <v>15</v>
      </c>
      <c r="I95" s="37" t="inlineStr">
        <is>
          <t>Beloved by Starlight</t>
        </is>
      </c>
      <c r="J95" s="42" t="inlineStr">
        <is>
          <t>Sigil</t>
        </is>
      </c>
      <c r="K95" s="37" t="inlineStr">
        <is>
          <t>Clear starry night · Full Moon</t>
        </is>
      </c>
      <c r="L95" s="42">
        <f>IF(M95="",0,LEN(M95)-LEN(SUBSTITUTE(M95,",",""))+1)</f>
        <v/>
      </c>
      <c r="M95" s="37" t="inlineStr">
        <is>
          <t>Violet ink</t>
        </is>
      </c>
      <c r="N95" s="42" t="n">
        <v>7</v>
      </c>
      <c r="O95" s="37" t="inlineStr"/>
      <c r="P95" s="37" t="inlineStr"/>
    </row>
    <row r="96">
      <c r="A96" s="42" t="n">
        <v>49</v>
      </c>
      <c r="B96" s="42" t="inlineStr">
        <is>
          <t>June</t>
        </is>
      </c>
      <c r="C96" s="42" t="inlineStr">
        <is>
          <t>Friday</t>
        </is>
      </c>
      <c r="D96" s="42" t="inlineStr">
        <is>
          <t>Waning Gibbous</t>
        </is>
      </c>
      <c r="E96" s="42" t="inlineStr">
        <is>
          <t>Clear &amp; sunny</t>
        </is>
      </c>
      <c r="F96" s="42" t="inlineStr">
        <is>
          <t>Sunrise</t>
        </is>
      </c>
      <c r="G96" s="42" t="inlineStr"/>
      <c r="H96" s="42" t="n">
        <v>67</v>
      </c>
      <c r="I96" s="37" t="inlineStr">
        <is>
          <t>The Kindred Spark</t>
        </is>
      </c>
      <c r="J96" s="42" t="inlineStr">
        <is>
          <t>Charm</t>
        </is>
      </c>
      <c r="K96" s="37" t="inlineStr">
        <is>
          <t>Friday</t>
        </is>
      </c>
      <c r="L96" s="42">
        <f>IF(M96="",0,LEN(M96)-LEN(SUBSTITUTE(M96,",",""))+1)</f>
        <v/>
      </c>
      <c r="M96" s="37" t="inlineStr">
        <is>
          <t>Bright buttons, Orange thread</t>
        </is>
      </c>
      <c r="N96" s="42" t="n">
        <v>5</v>
      </c>
      <c r="O96" s="37" t="inlineStr"/>
      <c r="P96" s="37" t="inlineStr"/>
    </row>
    <row r="97">
      <c r="A97" s="42" t="n">
        <v>49</v>
      </c>
      <c r="B97" s="42" t="inlineStr">
        <is>
          <t>June</t>
        </is>
      </c>
      <c r="C97" s="42" t="inlineStr">
        <is>
          <t>Friday</t>
        </is>
      </c>
      <c r="D97" s="42" t="inlineStr">
        <is>
          <t>Waning Gibbous</t>
        </is>
      </c>
      <c r="E97" s="42" t="inlineStr">
        <is>
          <t>Clear &amp; sunny</t>
        </is>
      </c>
      <c r="F97" s="42" t="inlineStr">
        <is>
          <t>Twilight</t>
        </is>
      </c>
      <c r="G97" s="42" t="inlineStr"/>
      <c r="H97" s="42" t="n">
        <v>57</v>
      </c>
      <c r="I97" s="37" t="inlineStr">
        <is>
          <t>The Living Portrait</t>
        </is>
      </c>
      <c r="J97" s="42" t="inlineStr">
        <is>
          <t>Talisman</t>
        </is>
      </c>
      <c r="K97" s="37" t="inlineStr">
        <is>
          <t>Friday</t>
        </is>
      </c>
      <c r="L97" s="42">
        <f>IF(M97="",0,LEN(M97)-LEN(SUBSTITUTE(M97,",",""))+1)</f>
        <v/>
      </c>
      <c r="M97" s="37" t="inlineStr">
        <is>
          <t>Paintbrush bristle, Violet</t>
        </is>
      </c>
      <c r="N97" s="42" t="n">
        <v>6</v>
      </c>
      <c r="O97" s="37" t="inlineStr"/>
      <c r="P97" s="37" t="inlineStr"/>
    </row>
    <row r="98">
      <c r="A98" s="42" t="n">
        <v>50</v>
      </c>
      <c r="B98" s="42" t="inlineStr">
        <is>
          <t>June</t>
        </is>
      </c>
      <c r="C98" s="42" t="inlineStr">
        <is>
          <t>Saturday</t>
        </is>
      </c>
      <c r="D98" s="42" t="inlineStr">
        <is>
          <t>Waning Crescent</t>
        </is>
      </c>
      <c r="E98" s="42" t="inlineStr">
        <is>
          <t>Clear &amp; sunny</t>
        </is>
      </c>
      <c r="F98" s="42" t="inlineStr">
        <is>
          <t>Sunrise</t>
        </is>
      </c>
      <c r="G98" s="42" t="inlineStr"/>
      <c r="H98" s="42" t="n">
        <v>118</v>
      </c>
      <c r="I98" s="37" t="inlineStr">
        <is>
          <t>The Severed Loop</t>
        </is>
      </c>
      <c r="J98" s="42" t="inlineStr">
        <is>
          <t>Witch's Ladder</t>
        </is>
      </c>
      <c r="K98" s="37" t="inlineStr">
        <is>
          <t>Saturday · Waning Moon</t>
        </is>
      </c>
      <c r="L98" s="42">
        <f>IF(M98="",0,LEN(M98)-LEN(SUBSTITUTE(M98,",",""))+1)</f>
        <v/>
      </c>
      <c r="M98" s="37" t="inlineStr">
        <is>
          <t>Shed snake skin</t>
        </is>
      </c>
      <c r="N98" s="42" t="n">
        <v>8</v>
      </c>
      <c r="O98" s="37" t="inlineStr"/>
      <c r="P98" s="37" t="inlineStr"/>
    </row>
    <row r="99">
      <c r="A99" s="42" t="n">
        <v>50</v>
      </c>
      <c r="B99" s="42" t="inlineStr">
        <is>
          <t>June</t>
        </is>
      </c>
      <c r="C99" s="42" t="inlineStr">
        <is>
          <t>Saturday</t>
        </is>
      </c>
      <c r="D99" s="42" t="inlineStr">
        <is>
          <t>Waning Crescent</t>
        </is>
      </c>
      <c r="E99" s="42" t="inlineStr">
        <is>
          <t>Clear &amp; sunny</t>
        </is>
      </c>
      <c r="F99" s="42" t="inlineStr">
        <is>
          <t>Noon</t>
        </is>
      </c>
      <c r="G99" s="42" t="inlineStr"/>
      <c r="H99" s="42" t="n">
        <v>93</v>
      </c>
      <c r="I99" s="37" t="inlineStr">
        <is>
          <t>The Bitterroot Unbound</t>
        </is>
      </c>
      <c r="J99" s="42" t="inlineStr">
        <is>
          <t>Oil</t>
        </is>
      </c>
      <c r="K99" s="37" t="inlineStr">
        <is>
          <t>Saturday · Waning Moon</t>
        </is>
      </c>
      <c r="L99" s="42">
        <f>IF(M99="",0,LEN(M99)-LEN(SUBSTITUTE(M99,",",""))+1)</f>
        <v/>
      </c>
      <c r="M99" s="37" t="inlineStr">
        <is>
          <t>Dandelion root</t>
        </is>
      </c>
      <c r="N99" s="42" t="n">
        <v>7</v>
      </c>
      <c r="O99" s="37" t="inlineStr">
        <is>
          <t>Ivy #188</t>
        </is>
      </c>
      <c r="P99" s="37" t="inlineStr"/>
    </row>
    <row r="100">
      <c r="A100" s="42" t="n">
        <v>50</v>
      </c>
      <c r="B100" s="42" t="inlineStr">
        <is>
          <t>June</t>
        </is>
      </c>
      <c r="C100" s="42" t="inlineStr">
        <is>
          <t>Saturday</t>
        </is>
      </c>
      <c r="D100" s="42" t="inlineStr">
        <is>
          <t>Waning Crescent</t>
        </is>
      </c>
      <c r="E100" s="42" t="inlineStr">
        <is>
          <t>Clear &amp; sunny</t>
        </is>
      </c>
      <c r="F100" s="42" t="inlineStr">
        <is>
          <t>Twilight</t>
        </is>
      </c>
      <c r="G100" s="42" t="inlineStr"/>
      <c r="H100" s="42" t="n">
        <v>9</v>
      </c>
      <c r="I100" s="37" t="inlineStr">
        <is>
          <t>The Unbinding Rose</t>
        </is>
      </c>
      <c r="J100" s="42" t="inlineStr">
        <is>
          <t>Witch's Ladder</t>
        </is>
      </c>
      <c r="K100" s="37" t="inlineStr">
        <is>
          <t>Saturday · Waning Moon · Twilight</t>
        </is>
      </c>
      <c r="L100" s="42">
        <f>IF(M100="",0,LEN(M100)-LEN(SUBSTITUTE(M100,",",""))+1)</f>
        <v/>
      </c>
      <c r="M100" s="37" t="inlineStr">
        <is>
          <t>Iron pin</t>
        </is>
      </c>
      <c r="N100" s="42" t="n">
        <v>11</v>
      </c>
      <c r="O100" s="37" t="inlineStr"/>
      <c r="P100" s="37" t="inlineStr"/>
    </row>
    <row r="101">
      <c r="A101" s="42" t="n">
        <v>51</v>
      </c>
      <c r="B101" s="42" t="inlineStr">
        <is>
          <t>July</t>
        </is>
      </c>
      <c r="C101" s="42" t="inlineStr">
        <is>
          <t>Sunday</t>
        </is>
      </c>
      <c r="D101" s="42" t="inlineStr">
        <is>
          <t>New Moon</t>
        </is>
      </c>
      <c r="E101" s="42" t="inlineStr">
        <is>
          <t>Windy</t>
        </is>
      </c>
      <c r="F101" s="42" t="inlineStr">
        <is>
          <t>Sunrise</t>
        </is>
      </c>
      <c r="G101" s="42" t="inlineStr">
        <is>
          <t>Yes</t>
        </is>
      </c>
      <c r="H101" s="42" t="n">
        <v>39</v>
      </c>
      <c r="I101" s="37" t="inlineStr">
        <is>
          <t>The Wheel Turns</t>
        </is>
      </c>
      <c r="J101" s="42" t="inlineStr">
        <is>
          <t>Wand</t>
        </is>
      </c>
      <c r="K101" s="37" t="inlineStr">
        <is>
          <t>Windy</t>
        </is>
      </c>
      <c r="L101" s="42">
        <f>IF(M101="",0,LEN(M101)-LEN(SUBSTITUTE(M101,",",""))+1)</f>
        <v/>
      </c>
      <c r="M101" s="37" t="inlineStr">
        <is>
          <t>Acorn</t>
        </is>
      </c>
      <c r="N101" s="42" t="n">
        <v>9</v>
      </c>
      <c r="O101" s="37" t="inlineStr"/>
      <c r="P101" s="37" t="inlineStr"/>
    </row>
    <row r="102">
      <c r="A102" s="42" t="n">
        <v>51</v>
      </c>
      <c r="B102" s="42" t="inlineStr">
        <is>
          <t>July</t>
        </is>
      </c>
      <c r="C102" s="42" t="inlineStr">
        <is>
          <t>Sunday</t>
        </is>
      </c>
      <c r="D102" s="42" t="inlineStr">
        <is>
          <t>New Moon</t>
        </is>
      </c>
      <c r="E102" s="42" t="inlineStr">
        <is>
          <t>Windy</t>
        </is>
      </c>
      <c r="F102" s="42" t="inlineStr">
        <is>
          <t>Nightfall</t>
        </is>
      </c>
      <c r="G102" s="42" t="inlineStr"/>
      <c r="H102" s="42" t="n">
        <v>108</v>
      </c>
      <c r="I102" s="37" t="inlineStr">
        <is>
          <t>The Inner Compass</t>
        </is>
      </c>
      <c r="J102" s="42" t="inlineStr">
        <is>
          <t>Amulet</t>
        </is>
      </c>
      <c r="K102" s="37" t="inlineStr">
        <is>
          <t>Dark Moon · Nightfall</t>
        </is>
      </c>
      <c r="L102" s="42">
        <f>IF(M102="",0,LEN(M102)-LEN(SUBSTITUTE(M102,",",""))+1)</f>
        <v/>
      </c>
      <c r="M102" s="37" t="inlineStr"/>
      <c r="N102" s="42" t="n">
        <v>8</v>
      </c>
      <c r="O102" s="37" t="inlineStr"/>
      <c r="P102" s="37" t="inlineStr"/>
    </row>
    <row r="103">
      <c r="A103" s="42" t="n">
        <v>52</v>
      </c>
      <c r="B103" s="42" t="inlineStr">
        <is>
          <t>July</t>
        </is>
      </c>
      <c r="C103" s="42" t="inlineStr">
        <is>
          <t>Monday</t>
        </is>
      </c>
      <c r="D103" s="42" t="inlineStr">
        <is>
          <t>Waxing Crescent</t>
        </is>
      </c>
      <c r="E103" s="42" t="inlineStr">
        <is>
          <t>Rain</t>
        </is>
      </c>
      <c r="F103" s="42" t="inlineStr">
        <is>
          <t>Sunrise</t>
        </is>
      </c>
      <c r="G103" s="42" t="inlineStr"/>
      <c r="H103" s="42" t="n">
        <v>167</v>
      </c>
      <c r="I103" s="37" t="inlineStr">
        <is>
          <t>The Unexpected Ribbon</t>
        </is>
      </c>
      <c r="J103" s="42" t="inlineStr">
        <is>
          <t>Spell Bottle</t>
        </is>
      </c>
      <c r="K103" s="37" t="inlineStr">
        <is>
          <t>Rainbow (rare event)</t>
        </is>
      </c>
      <c r="L103" s="42">
        <f>IF(M103="",0,LEN(M103)-LEN(SUBSTITUTE(M103,",",""))+1)</f>
        <v/>
      </c>
      <c r="M103" s="37" t="inlineStr"/>
      <c r="N103" s="42" t="n">
        <v>6</v>
      </c>
      <c r="O103" s="37" t="inlineStr"/>
      <c r="P103" s="37" t="inlineStr"/>
    </row>
    <row r="104">
      <c r="A104" s="42" t="n">
        <v>52</v>
      </c>
      <c r="B104" s="42" t="inlineStr">
        <is>
          <t>July</t>
        </is>
      </c>
      <c r="C104" s="42" t="inlineStr">
        <is>
          <t>Monday</t>
        </is>
      </c>
      <c r="D104" s="42" t="inlineStr">
        <is>
          <t>Waxing Crescent</t>
        </is>
      </c>
      <c r="E104" s="42" t="inlineStr">
        <is>
          <t>Rain</t>
        </is>
      </c>
      <c r="F104" s="42" t="inlineStr">
        <is>
          <t>Nightfall</t>
        </is>
      </c>
      <c r="G104" s="42" t="inlineStr"/>
      <c r="H104" s="42" t="n">
        <v>106</v>
      </c>
      <c r="I104" s="37" t="inlineStr">
        <is>
          <t>The Dreaming Garden</t>
        </is>
      </c>
      <c r="J104" s="42" t="inlineStr">
        <is>
          <t>Sachet</t>
        </is>
      </c>
      <c r="K104" s="37" t="inlineStr">
        <is>
          <t>Monday · Nightfall</t>
        </is>
      </c>
      <c r="L104" s="42">
        <f>IF(M104="",0,LEN(M104)-LEN(SUBSTITUTE(M104,",",""))+1)</f>
        <v/>
      </c>
      <c r="M104" s="37" t="inlineStr"/>
      <c r="N104" s="42" t="n">
        <v>11</v>
      </c>
      <c r="O104" s="37" t="inlineStr"/>
      <c r="P104" s="37" t="inlineStr"/>
    </row>
    <row r="105">
      <c r="A105" s="42" t="n">
        <v>53</v>
      </c>
      <c r="B105" s="42" t="inlineStr">
        <is>
          <t>July</t>
        </is>
      </c>
      <c r="C105" s="42" t="inlineStr">
        <is>
          <t>Tuesday</t>
        </is>
      </c>
      <c r="D105" s="42" t="inlineStr">
        <is>
          <t>Waxing Gibbous</t>
        </is>
      </c>
      <c r="E105" s="42" t="inlineStr">
        <is>
          <t>Clear &amp; sunny</t>
        </is>
      </c>
      <c r="F105" s="42" t="inlineStr">
        <is>
          <t>Nightfall</t>
        </is>
      </c>
      <c r="G105" s="42" t="inlineStr"/>
      <c r="H105" s="42" t="n">
        <v>133</v>
      </c>
      <c r="I105" s="37" t="inlineStr">
        <is>
          <t>The Celestial Mapmaker</t>
        </is>
      </c>
      <c r="J105" s="42" t="inlineStr">
        <is>
          <t>Wand</t>
        </is>
      </c>
      <c r="K105" s="37" t="inlineStr">
        <is>
          <t>Clear starry night</t>
        </is>
      </c>
      <c r="L105" s="42">
        <f>IF(M105="",0,LEN(M105)-LEN(SUBSTITUTE(M105,",",""))+1)</f>
        <v/>
      </c>
      <c r="M105" s="37" t="inlineStr">
        <is>
          <t>Ash branch</t>
        </is>
      </c>
      <c r="N105" s="42" t="n">
        <v>5</v>
      </c>
      <c r="O105" s="37" t="inlineStr"/>
      <c r="P105" s="37" t="inlineStr"/>
    </row>
    <row r="106">
      <c r="A106" s="42" t="n">
        <v>54</v>
      </c>
      <c r="B106" s="42" t="inlineStr">
        <is>
          <t>July</t>
        </is>
      </c>
      <c r="C106" s="42" t="inlineStr">
        <is>
          <t>Wednesday</t>
        </is>
      </c>
      <c r="D106" s="42" t="inlineStr">
        <is>
          <t>Full Moon</t>
        </is>
      </c>
      <c r="E106" s="42" t="inlineStr">
        <is>
          <t>Clear &amp; sunny</t>
        </is>
      </c>
      <c r="F106" s="42" t="inlineStr">
        <is>
          <t>Sunrise</t>
        </is>
      </c>
      <c r="G106" s="42" t="inlineStr"/>
      <c r="H106" s="42" t="n">
        <v>46</v>
      </c>
      <c r="I106" s="37" t="inlineStr">
        <is>
          <t>The Unshaken Flame</t>
        </is>
      </c>
      <c r="J106" s="42" t="inlineStr">
        <is>
          <t>Balm</t>
        </is>
      </c>
      <c r="K106" s="37" t="inlineStr">
        <is>
          <t>Buck Moon (July full moon)</t>
        </is>
      </c>
      <c r="L106" s="42">
        <f>IF(M106="",0,LEN(M106)-LEN(SUBSTITUTE(M106,",",""))+1)</f>
        <v/>
      </c>
      <c r="M106" s="37" t="inlineStr">
        <is>
          <t>Buck Moon</t>
        </is>
      </c>
      <c r="N106" s="42" t="n">
        <v>6</v>
      </c>
      <c r="O106" s="37" t="inlineStr"/>
      <c r="P106" s="37" t="inlineStr"/>
    </row>
    <row r="107">
      <c r="A107" s="42" t="n">
        <v>54</v>
      </c>
      <c r="B107" s="42" t="inlineStr">
        <is>
          <t>July</t>
        </is>
      </c>
      <c r="C107" s="42" t="inlineStr">
        <is>
          <t>Wednesday</t>
        </is>
      </c>
      <c r="D107" s="42" t="inlineStr">
        <is>
          <t>Full Moon</t>
        </is>
      </c>
      <c r="E107" s="42" t="inlineStr">
        <is>
          <t>Clear &amp; sunny</t>
        </is>
      </c>
      <c r="F107" s="42" t="inlineStr">
        <is>
          <t>Nightfall</t>
        </is>
      </c>
      <c r="G107" s="42" t="inlineStr">
        <is>
          <t>Yes</t>
        </is>
      </c>
      <c r="H107" s="42" t="n">
        <v>63</v>
      </c>
      <c r="I107" s="37" t="inlineStr">
        <is>
          <t>Constellation Calling</t>
        </is>
      </c>
      <c r="J107" s="42" t="inlineStr">
        <is>
          <t>Spell Bottle</t>
        </is>
      </c>
      <c r="K107" s="37" t="inlineStr">
        <is>
          <t>Clear starry night · Full Moon</t>
        </is>
      </c>
      <c r="L107" s="42">
        <f>IF(M107="",0,LEN(M107)-LEN(SUBSTITUTE(M107,",",""))+1)</f>
        <v/>
      </c>
      <c r="M107" s="37" t="inlineStr">
        <is>
          <t>Silver glitter, Web Dew</t>
        </is>
      </c>
      <c r="N107" s="42" t="n">
        <v>7</v>
      </c>
      <c r="O107" s="37" t="inlineStr"/>
      <c r="P107" s="37" t="inlineStr"/>
    </row>
    <row r="108">
      <c r="A108" s="42" t="n">
        <v>55</v>
      </c>
      <c r="B108" s="42" t="inlineStr">
        <is>
          <t>July</t>
        </is>
      </c>
      <c r="C108" s="42" t="inlineStr">
        <is>
          <t>Thursday</t>
        </is>
      </c>
      <c r="D108" s="42" t="inlineStr">
        <is>
          <t>Waning Gibbous</t>
        </is>
      </c>
      <c r="E108" s="42" t="inlineStr">
        <is>
          <t>Rain</t>
        </is>
      </c>
      <c r="F108" s="42" t="inlineStr">
        <is>
          <t>Noon</t>
        </is>
      </c>
      <c r="G108" s="42" t="inlineStr"/>
      <c r="H108" s="42" t="n">
        <v>22</v>
      </c>
      <c r="I108" s="37" t="inlineStr">
        <is>
          <t>The Quiet Exorcism</t>
        </is>
      </c>
      <c r="J108" s="42" t="inlineStr">
        <is>
          <t>Incense</t>
        </is>
      </c>
      <c r="K108" s="37" t="inlineStr">
        <is>
          <t>Waning Moon · Rain</t>
        </is>
      </c>
      <c r="L108" s="42">
        <f>IF(M108="",0,LEN(M108)-LEN(SUBSTITUTE(M108,",",""))+1)</f>
        <v/>
      </c>
      <c r="M108" s="37" t="inlineStr"/>
      <c r="N108" s="42" t="n">
        <v>9</v>
      </c>
      <c r="O108" s="37" t="inlineStr"/>
      <c r="P108" s="37" t="inlineStr"/>
    </row>
    <row r="109">
      <c r="A109" s="42" t="n">
        <v>55</v>
      </c>
      <c r="B109" s="42" t="inlineStr">
        <is>
          <t>July</t>
        </is>
      </c>
      <c r="C109" s="42" t="inlineStr">
        <is>
          <t>Thursday</t>
        </is>
      </c>
      <c r="D109" s="42" t="inlineStr">
        <is>
          <t>Waning Gibbous</t>
        </is>
      </c>
      <c r="E109" s="42" t="inlineStr">
        <is>
          <t>Rain</t>
        </is>
      </c>
      <c r="F109" s="42" t="inlineStr">
        <is>
          <t>Nightfall</t>
        </is>
      </c>
      <c r="G109" s="42" t="inlineStr"/>
      <c r="H109" s="42" t="n">
        <v>10</v>
      </c>
      <c r="I109" s="37" t="inlineStr">
        <is>
          <t>Petals After Rain</t>
        </is>
      </c>
      <c r="J109" s="42" t="inlineStr">
        <is>
          <t>Balm</t>
        </is>
      </c>
      <c r="K109" s="37" t="inlineStr">
        <is>
          <t>Rain · Waning Gibbous</t>
        </is>
      </c>
      <c r="L109" s="42">
        <f>IF(M109="",0,LEN(M109)-LEN(SUBSTITUTE(M109,",",""))+1)</f>
        <v/>
      </c>
      <c r="M109" s="37" t="inlineStr"/>
      <c r="N109" s="42" t="n">
        <v>8</v>
      </c>
      <c r="O109" s="37" t="inlineStr"/>
      <c r="P109" s="37" t="inlineStr"/>
    </row>
    <row r="110">
      <c r="A110" s="42" t="n">
        <v>56</v>
      </c>
      <c r="B110" s="42" t="inlineStr">
        <is>
          <t>July</t>
        </is>
      </c>
      <c r="C110" s="42" t="inlineStr">
        <is>
          <t>Friday</t>
        </is>
      </c>
      <c r="D110" s="42" t="inlineStr">
        <is>
          <t>Waning Crescent</t>
        </is>
      </c>
      <c r="E110" s="42" t="inlineStr">
        <is>
          <t>Clear &amp; sunny</t>
        </is>
      </c>
      <c r="F110" s="42" t="inlineStr">
        <is>
          <t>Sunrise</t>
        </is>
      </c>
      <c r="G110" s="42" t="inlineStr"/>
      <c r="H110" s="42" t="n">
        <v>211</v>
      </c>
      <c r="I110" s="37" t="inlineStr">
        <is>
          <t>The Glittering Entrance</t>
        </is>
      </c>
      <c r="J110" s="42" t="inlineStr">
        <is>
          <t>Glamour</t>
        </is>
      </c>
      <c r="K110" s="37" t="inlineStr">
        <is>
          <t>Friday · Sunrise</t>
        </is>
      </c>
      <c r="L110" s="42">
        <f>IF(M110="",0,LEN(M110)-LEN(SUBSTITUTE(M110,",",""))+1)</f>
        <v/>
      </c>
      <c r="M110" s="37" t="inlineStr"/>
      <c r="N110" s="42" t="n">
        <v>8</v>
      </c>
      <c r="O110" s="37" t="inlineStr"/>
      <c r="P110" s="37" t="inlineStr"/>
    </row>
    <row r="111">
      <c r="A111" s="42" t="n">
        <v>56</v>
      </c>
      <c r="B111" s="42" t="inlineStr">
        <is>
          <t>July</t>
        </is>
      </c>
      <c r="C111" s="42" t="inlineStr">
        <is>
          <t>Friday</t>
        </is>
      </c>
      <c r="D111" s="42" t="inlineStr">
        <is>
          <t>Waning Crescent</t>
        </is>
      </c>
      <c r="E111" s="42" t="inlineStr">
        <is>
          <t>Clear &amp; sunny</t>
        </is>
      </c>
      <c r="F111" s="42" t="inlineStr">
        <is>
          <t>Nightfall</t>
        </is>
      </c>
      <c r="G111" s="42" t="inlineStr"/>
      <c r="H111" s="42" t="n">
        <v>147</v>
      </c>
      <c r="I111" s="37" t="inlineStr">
        <is>
          <t>Stardust Permission Slip</t>
        </is>
      </c>
      <c r="J111" s="42" t="inlineStr">
        <is>
          <t>Charm</t>
        </is>
      </c>
      <c r="K111" s="37" t="inlineStr">
        <is>
          <t>Clear starry night</t>
        </is>
      </c>
      <c r="L111" s="42">
        <f>IF(M111="",0,LEN(M111)-LEN(SUBSTITUTE(M111,",",""))+1)</f>
        <v/>
      </c>
      <c r="M111" s="37" t="inlineStr"/>
      <c r="N111" s="42" t="n">
        <v>5</v>
      </c>
      <c r="O111" s="37" t="inlineStr"/>
      <c r="P111" s="37" t="inlineStr"/>
    </row>
    <row r="112">
      <c r="A112" s="42" t="n">
        <v>57</v>
      </c>
      <c r="B112" s="42" t="inlineStr">
        <is>
          <t>August</t>
        </is>
      </c>
      <c r="C112" s="42" t="inlineStr">
        <is>
          <t>Saturday</t>
        </is>
      </c>
      <c r="D112" s="42" t="inlineStr">
        <is>
          <t>New Moon</t>
        </is>
      </c>
      <c r="E112" s="42" t="inlineStr">
        <is>
          <t>Clear &amp; sunny</t>
        </is>
      </c>
      <c r="F112" s="42" t="inlineStr">
        <is>
          <t>Sunrise</t>
        </is>
      </c>
      <c r="G112" s="42" t="inlineStr"/>
      <c r="H112" s="42" t="n">
        <v>158</v>
      </c>
      <c r="I112" s="37" t="inlineStr">
        <is>
          <t>Pocketful of Sunbeams</t>
        </is>
      </c>
      <c r="J112" s="42" t="inlineStr">
        <is>
          <t>Sachet</t>
        </is>
      </c>
      <c r="K112" s="37" t="inlineStr">
        <is>
          <t>Sunrise · Clear &amp; sunny</t>
        </is>
      </c>
      <c r="L112" s="42">
        <f>IF(M112="",0,LEN(M112)-LEN(SUBSTITUTE(M112,",",""))+1)</f>
        <v/>
      </c>
      <c r="M112" s="37" t="inlineStr"/>
      <c r="N112" s="42" t="n">
        <v>8</v>
      </c>
      <c r="O112" s="37" t="inlineStr"/>
      <c r="P112" s="37" t="inlineStr"/>
    </row>
    <row r="113">
      <c r="A113" s="42" t="n">
        <v>57</v>
      </c>
      <c r="B113" s="42" t="inlineStr">
        <is>
          <t>August</t>
        </is>
      </c>
      <c r="C113" s="42" t="inlineStr">
        <is>
          <t>Saturday</t>
        </is>
      </c>
      <c r="D113" s="42" t="inlineStr">
        <is>
          <t>New Moon</t>
        </is>
      </c>
      <c r="E113" s="42" t="inlineStr">
        <is>
          <t>Clear &amp; sunny</t>
        </is>
      </c>
      <c r="F113" s="42" t="inlineStr">
        <is>
          <t>Noon</t>
        </is>
      </c>
      <c r="G113" s="42" t="inlineStr"/>
      <c r="H113" s="42" t="n">
        <v>228</v>
      </c>
      <c r="I113" s="37" t="inlineStr">
        <is>
          <t>The Accidental Star</t>
        </is>
      </c>
      <c r="J113" s="42" t="inlineStr">
        <is>
          <t>Rune</t>
        </is>
      </c>
      <c r="K113" s="37" t="inlineStr">
        <is>
          <t>Shooting star (rare event)</t>
        </is>
      </c>
      <c r="L113" s="42">
        <f>IF(M113="",0,LEN(M113)-LEN(SUBSTITUTE(M113,",",""))+1)</f>
        <v/>
      </c>
      <c r="M113" s="37" t="inlineStr">
        <is>
          <t>Shooting stars</t>
        </is>
      </c>
      <c r="N113" s="42" t="n">
        <v>3</v>
      </c>
      <c r="O113" s="37" t="inlineStr"/>
      <c r="P113" s="37" t="inlineStr"/>
    </row>
    <row r="114">
      <c r="A114" s="42" t="n">
        <v>57</v>
      </c>
      <c r="B114" s="42" t="inlineStr">
        <is>
          <t>August</t>
        </is>
      </c>
      <c r="C114" s="42" t="inlineStr">
        <is>
          <t>Saturday</t>
        </is>
      </c>
      <c r="D114" s="42" t="inlineStr">
        <is>
          <t>New Moon</t>
        </is>
      </c>
      <c r="E114" s="42" t="inlineStr">
        <is>
          <t>Clear &amp; sunny</t>
        </is>
      </c>
      <c r="F114" s="42" t="inlineStr">
        <is>
          <t>Twilight</t>
        </is>
      </c>
      <c r="G114" s="42" t="inlineStr"/>
      <c r="H114" s="42" t="n">
        <v>186</v>
      </c>
      <c r="I114" s="37" t="inlineStr">
        <is>
          <t>The Unapologetic Gate</t>
        </is>
      </c>
      <c r="J114" s="42" t="inlineStr">
        <is>
          <t>Sigil</t>
        </is>
      </c>
      <c r="K114" s="37" t="inlineStr">
        <is>
          <t>Saturday</t>
        </is>
      </c>
      <c r="L114" s="42">
        <f>IF(M114="",0,LEN(M114)-LEN(SUBSTITUTE(M114,",",""))+1)</f>
        <v/>
      </c>
      <c r="M114" s="37" t="inlineStr">
        <is>
          <t>Red ink</t>
        </is>
      </c>
      <c r="N114" s="42" t="n">
        <v>4</v>
      </c>
      <c r="O114" s="37" t="inlineStr"/>
      <c r="P114" s="37" t="inlineStr"/>
    </row>
    <row r="115">
      <c r="A115" s="42" t="n">
        <v>58</v>
      </c>
      <c r="B115" s="42" t="inlineStr">
        <is>
          <t>August</t>
        </is>
      </c>
      <c r="C115" s="42" t="inlineStr">
        <is>
          <t>Sunday</t>
        </is>
      </c>
      <c r="D115" s="42" t="inlineStr">
        <is>
          <t>Waxing Crescent</t>
        </is>
      </c>
      <c r="E115" s="42" t="inlineStr">
        <is>
          <t>Clear &amp; sunny</t>
        </is>
      </c>
      <c r="F115" s="42" t="inlineStr">
        <is>
          <t>Sunrise</t>
        </is>
      </c>
      <c r="G115" s="42" t="inlineStr"/>
      <c r="H115" s="42" t="n">
        <v>224</v>
      </c>
      <c r="I115" s="37" t="inlineStr">
        <is>
          <t>The Finishing Charm</t>
        </is>
      </c>
      <c r="J115" s="42" t="inlineStr">
        <is>
          <t>Amulet</t>
        </is>
      </c>
      <c r="K115" s="37" t="inlineStr">
        <is>
          <t>Any time</t>
        </is>
      </c>
      <c r="L115" s="42">
        <f>IF(M115="",0,LEN(M115)-LEN(SUBSTITUTE(M115,",",""))+1)</f>
        <v/>
      </c>
      <c r="M115" s="37" t="inlineStr"/>
      <c r="N115" s="42" t="n">
        <v>3</v>
      </c>
      <c r="O115" s="37" t="inlineStr"/>
      <c r="P115" s="37" t="inlineStr"/>
    </row>
    <row r="116">
      <c r="A116" s="42" t="n">
        <v>58</v>
      </c>
      <c r="B116" s="42" t="inlineStr">
        <is>
          <t>August</t>
        </is>
      </c>
      <c r="C116" s="42" t="inlineStr">
        <is>
          <t>Sunday</t>
        </is>
      </c>
      <c r="D116" s="42" t="inlineStr">
        <is>
          <t>Waxing Crescent</t>
        </is>
      </c>
      <c r="E116" s="42" t="inlineStr">
        <is>
          <t>Clear &amp; sunny</t>
        </is>
      </c>
      <c r="F116" s="42" t="inlineStr">
        <is>
          <t>Noon</t>
        </is>
      </c>
      <c r="G116" s="42" t="inlineStr"/>
      <c r="H116" s="42" t="n">
        <v>193</v>
      </c>
      <c r="I116" s="37" t="inlineStr">
        <is>
          <t>The Full-Sized Flame</t>
        </is>
      </c>
      <c r="J116" s="42" t="inlineStr">
        <is>
          <t>Powder</t>
        </is>
      </c>
      <c r="K116" s="37" t="inlineStr">
        <is>
          <t>Sunday</t>
        </is>
      </c>
      <c r="L116" s="42">
        <f>IF(M116="",0,LEN(M116)-LEN(SUBSTITUTE(M116,",",""))+1)</f>
        <v/>
      </c>
      <c r="M116" s="37" t="inlineStr"/>
      <c r="N116" s="42" t="n">
        <v>7</v>
      </c>
      <c r="O116" s="37" t="inlineStr"/>
      <c r="P116" s="37" t="inlineStr"/>
    </row>
    <row r="117">
      <c r="A117" s="42" t="n">
        <v>59</v>
      </c>
      <c r="B117" s="42" t="inlineStr">
        <is>
          <t>August</t>
        </is>
      </c>
      <c r="C117" s="42" t="inlineStr">
        <is>
          <t>Monday</t>
        </is>
      </c>
      <c r="D117" s="42" t="inlineStr">
        <is>
          <t>Waxing Gibbous</t>
        </is>
      </c>
      <c r="E117" s="42" t="inlineStr">
        <is>
          <t>Thunderstorm</t>
        </is>
      </c>
      <c r="F117" s="42" t="inlineStr">
        <is>
          <t>Sunrise</t>
        </is>
      </c>
      <c r="G117" s="42" t="inlineStr"/>
      <c r="H117" s="42" t="n">
        <v>230</v>
      </c>
      <c r="I117" s="37" t="inlineStr">
        <is>
          <t>The Sticker Spell</t>
        </is>
      </c>
      <c r="J117" s="42" t="inlineStr">
        <is>
          <t>Witch's Ladder</t>
        </is>
      </c>
      <c r="K117" s="37" t="inlineStr">
        <is>
          <t>Any time</t>
        </is>
      </c>
      <c r="L117" s="42">
        <f>IF(M117="",0,LEN(M117)-LEN(SUBSTITUTE(M117,",",""))+1)</f>
        <v/>
      </c>
      <c r="M117" s="37" t="inlineStr"/>
      <c r="N117" s="42" t="n">
        <v>3</v>
      </c>
      <c r="O117" s="37" t="inlineStr"/>
      <c r="P117" s="37" t="inlineStr"/>
    </row>
    <row r="118">
      <c r="A118" s="42" t="n">
        <v>59</v>
      </c>
      <c r="B118" s="42" t="inlineStr">
        <is>
          <t>August</t>
        </is>
      </c>
      <c r="C118" s="42" t="inlineStr">
        <is>
          <t>Monday</t>
        </is>
      </c>
      <c r="D118" s="42" t="inlineStr">
        <is>
          <t>Waxing Gibbous</t>
        </is>
      </c>
      <c r="E118" s="42" t="inlineStr">
        <is>
          <t>Thunderstorm</t>
        </is>
      </c>
      <c r="F118" s="42" t="inlineStr">
        <is>
          <t>Noon</t>
        </is>
      </c>
      <c r="G118" s="42" t="inlineStr"/>
      <c r="H118" s="42" t="n">
        <v>225</v>
      </c>
      <c r="I118" s="37" t="inlineStr">
        <is>
          <t>The Tiny Treasure Hunt</t>
        </is>
      </c>
      <c r="J118" s="42" t="inlineStr">
        <is>
          <t>Spell Bottle</t>
        </is>
      </c>
      <c r="K118" s="37" t="inlineStr">
        <is>
          <t>Any time</t>
        </is>
      </c>
      <c r="L118" s="42">
        <f>IF(M118="",0,LEN(M118)-LEN(SUBSTITUTE(M118,",",""))+1)</f>
        <v/>
      </c>
      <c r="M118" s="37" t="inlineStr"/>
      <c r="N118" s="42" t="n">
        <v>4</v>
      </c>
      <c r="O118" s="37" t="inlineStr"/>
      <c r="P118" s="37" t="inlineStr"/>
    </row>
    <row r="119">
      <c r="A119" s="42" t="n">
        <v>60</v>
      </c>
      <c r="B119" s="42" t="inlineStr">
        <is>
          <t>August</t>
        </is>
      </c>
      <c r="C119" s="42" t="inlineStr">
        <is>
          <t>Tuesday</t>
        </is>
      </c>
      <c r="D119" s="42" t="inlineStr">
        <is>
          <t>Full Moon</t>
        </is>
      </c>
      <c r="E119" s="42" t="inlineStr">
        <is>
          <t>Clear &amp; sunny</t>
        </is>
      </c>
      <c r="F119" s="42" t="inlineStr">
        <is>
          <t>Sunrise</t>
        </is>
      </c>
      <c r="G119" s="42" t="inlineStr">
        <is>
          <t>Yes</t>
        </is>
      </c>
      <c r="H119" s="42" t="n">
        <v>141</v>
      </c>
      <c r="I119" s="37" t="inlineStr">
        <is>
          <t>Orbit of Becoming</t>
        </is>
      </c>
      <c r="J119" s="42" t="inlineStr">
        <is>
          <t>Poppet</t>
        </is>
      </c>
      <c r="K119" s="37" t="inlineStr">
        <is>
          <t>Sturgeon Moon (August full moon)</t>
        </is>
      </c>
      <c r="L119" s="42">
        <f>IF(M119="",0,LEN(M119)-LEN(SUBSTITUTE(M119,",",""))+1)</f>
        <v/>
      </c>
      <c r="M119" s="37" t="inlineStr">
        <is>
          <t>Sturgeon Moon</t>
        </is>
      </c>
      <c r="N119" s="42" t="n">
        <v>4</v>
      </c>
      <c r="O119" s="37" t="inlineStr"/>
      <c r="P119" s="37" t="inlineStr"/>
    </row>
    <row r="120">
      <c r="A120" s="42" t="n">
        <v>60</v>
      </c>
      <c r="B120" s="42" t="inlineStr">
        <is>
          <t>August</t>
        </is>
      </c>
      <c r="C120" s="42" t="inlineStr">
        <is>
          <t>Tuesday</t>
        </is>
      </c>
      <c r="D120" s="42" t="inlineStr">
        <is>
          <t>Full Moon</t>
        </is>
      </c>
      <c r="E120" s="42" t="inlineStr">
        <is>
          <t>Clear &amp; sunny</t>
        </is>
      </c>
      <c r="F120" s="42" t="inlineStr">
        <is>
          <t>Nightfall</t>
        </is>
      </c>
      <c r="G120" s="42" t="inlineStr"/>
      <c r="H120" s="42" t="n">
        <v>142</v>
      </c>
      <c r="I120" s="37" t="inlineStr">
        <is>
          <t>Velvet Firmament</t>
        </is>
      </c>
      <c r="J120" s="42" t="inlineStr">
        <is>
          <t>Soap</t>
        </is>
      </c>
      <c r="K120" s="37" t="inlineStr">
        <is>
          <t>Full Moon · Clear starry night</t>
        </is>
      </c>
      <c r="L120" s="42">
        <f>IF(M120="",0,LEN(M120)-LEN(SUBSTITUTE(M120,",",""))+1)</f>
        <v/>
      </c>
      <c r="M120" s="37" t="inlineStr"/>
      <c r="N120" s="42" t="n">
        <v>5</v>
      </c>
      <c r="O120" s="37" t="inlineStr"/>
      <c r="P120" s="37" t="inlineStr"/>
    </row>
    <row r="121">
      <c r="A121" s="42" t="n">
        <v>61</v>
      </c>
      <c r="B121" s="42" t="inlineStr">
        <is>
          <t>August</t>
        </is>
      </c>
      <c r="C121" s="42" t="inlineStr">
        <is>
          <t>Wednesday</t>
        </is>
      </c>
      <c r="D121" s="42" t="inlineStr">
        <is>
          <t>Waning Gibbous</t>
        </is>
      </c>
      <c r="E121" s="42" t="inlineStr">
        <is>
          <t>Rain</t>
        </is>
      </c>
      <c r="F121" s="42" t="inlineStr">
        <is>
          <t>Sunrise</t>
        </is>
      </c>
      <c r="G121" s="42" t="inlineStr">
        <is>
          <t>Yes</t>
        </is>
      </c>
      <c r="H121" s="42" t="n">
        <v>148</v>
      </c>
      <c r="I121" s="37" t="inlineStr">
        <is>
          <t>The Lunar Keepsake</t>
        </is>
      </c>
      <c r="J121" s="42" t="inlineStr">
        <is>
          <t>Amulet</t>
        </is>
      </c>
      <c r="K121" s="37" t="inlineStr">
        <is>
          <t>Sunrise the morning after a Full Moon</t>
        </is>
      </c>
      <c r="L121" s="42">
        <f>IF(M121="",0,LEN(M121)-LEN(SUBSTITUTE(M121,",",""))+1)</f>
        <v/>
      </c>
      <c r="M121" s="37" t="inlineStr"/>
      <c r="N121" s="42" t="n">
        <v>7</v>
      </c>
      <c r="O121" s="37" t="inlineStr"/>
      <c r="P121" s="37" t="inlineStr"/>
    </row>
    <row r="122">
      <c r="A122" s="42" t="n">
        <v>61</v>
      </c>
      <c r="B122" s="42" t="inlineStr">
        <is>
          <t>August</t>
        </is>
      </c>
      <c r="C122" s="42" t="inlineStr">
        <is>
          <t>Wednesday</t>
        </is>
      </c>
      <c r="D122" s="42" t="inlineStr">
        <is>
          <t>Waning Gibbous</t>
        </is>
      </c>
      <c r="E122" s="42" t="inlineStr">
        <is>
          <t>Rain</t>
        </is>
      </c>
      <c r="F122" s="42" t="inlineStr">
        <is>
          <t>Sunrise</t>
        </is>
      </c>
      <c r="G122" s="42" t="inlineStr">
        <is>
          <t>Yes</t>
        </is>
      </c>
      <c r="H122" s="42" t="n">
        <v>152</v>
      </c>
      <c r="I122" s="37" t="inlineStr">
        <is>
          <t>The Traveling Teacup</t>
        </is>
      </c>
      <c r="J122" s="42" t="inlineStr">
        <is>
          <t>Amulet</t>
        </is>
      </c>
      <c r="K122" s="37" t="inlineStr">
        <is>
          <t>Wednesday</t>
        </is>
      </c>
      <c r="L122" s="42">
        <f>IF(M122="",0,LEN(M122)-LEN(SUBSTITUTE(M122,",",""))+1)</f>
        <v/>
      </c>
      <c r="M122" s="37" t="inlineStr">
        <is>
          <t>Teacup charm</t>
        </is>
      </c>
      <c r="N122" s="42" t="n">
        <v>5</v>
      </c>
      <c r="O122" s="37" t="inlineStr"/>
      <c r="P122" s="37" t="inlineStr"/>
    </row>
    <row r="123">
      <c r="A123" s="42" t="n">
        <v>62</v>
      </c>
      <c r="B123" s="42" t="inlineStr">
        <is>
          <t>August</t>
        </is>
      </c>
      <c r="C123" s="42" t="inlineStr">
        <is>
          <t>Thursday</t>
        </is>
      </c>
      <c r="D123" s="42" t="inlineStr">
        <is>
          <t>Waning Crescent</t>
        </is>
      </c>
      <c r="E123" s="42" t="inlineStr">
        <is>
          <t>Fog / Mist</t>
        </is>
      </c>
      <c r="F123" s="42" t="inlineStr">
        <is>
          <t>Sunrise</t>
        </is>
      </c>
      <c r="G123" s="42" t="inlineStr"/>
      <c r="H123" s="42" t="n">
        <v>80</v>
      </c>
      <c r="I123" s="37" t="inlineStr">
        <is>
          <t>The Open Studio</t>
        </is>
      </c>
      <c r="J123" s="42" t="inlineStr">
        <is>
          <t>Spell Bottle</t>
        </is>
      </c>
      <c r="K123" s="37" t="inlineStr">
        <is>
          <t>Thursday</t>
        </is>
      </c>
      <c r="L123" s="42">
        <f>IF(M123="",0,LEN(M123)-LEN(SUBSTITUTE(M123,",",""))+1)</f>
        <v/>
      </c>
      <c r="M123" s="37" t="inlineStr"/>
      <c r="N123" s="42" t="n">
        <v>8</v>
      </c>
      <c r="O123" s="37" t="inlineStr"/>
      <c r="P123" s="37" t="inlineStr"/>
    </row>
    <row r="124">
      <c r="A124" s="42" t="n">
        <v>62</v>
      </c>
      <c r="B124" s="42" t="inlineStr">
        <is>
          <t>August</t>
        </is>
      </c>
      <c r="C124" s="42" t="inlineStr">
        <is>
          <t>Thursday</t>
        </is>
      </c>
      <c r="D124" s="42" t="inlineStr">
        <is>
          <t>Waning Crescent</t>
        </is>
      </c>
      <c r="E124" s="42" t="inlineStr">
        <is>
          <t>Fog / Mist</t>
        </is>
      </c>
      <c r="F124" s="42" t="inlineStr">
        <is>
          <t>Nightfall</t>
        </is>
      </c>
      <c r="G124" s="42" t="inlineStr"/>
      <c r="H124" s="42" t="n">
        <v>170</v>
      </c>
      <c r="I124" s="37" t="inlineStr">
        <is>
          <t>The Doorstep Clover</t>
        </is>
      </c>
      <c r="J124" s="42" t="inlineStr">
        <is>
          <t>Talisman</t>
        </is>
      </c>
      <c r="K124" s="37" t="inlineStr">
        <is>
          <t>Thursday · Nightfall</t>
        </is>
      </c>
      <c r="L124" s="42">
        <f>IF(M124="",0,LEN(M124)-LEN(SUBSTITUTE(M124,",",""))+1)</f>
        <v/>
      </c>
      <c r="M124" s="37" t="inlineStr"/>
      <c r="N124" s="42" t="n">
        <v>7</v>
      </c>
      <c r="O124" s="37" t="inlineStr"/>
      <c r="P124" s="37" t="inlineStr"/>
    </row>
    <row r="125">
      <c r="A125" s="42" t="n">
        <v>63</v>
      </c>
      <c r="B125" s="42" t="inlineStr">
        <is>
          <t>September</t>
        </is>
      </c>
      <c r="C125" s="42" t="inlineStr">
        <is>
          <t>Friday</t>
        </is>
      </c>
      <c r="D125" s="42" t="inlineStr">
        <is>
          <t>New Moon</t>
        </is>
      </c>
      <c r="E125" s="42" t="inlineStr">
        <is>
          <t>Clear &amp; sunny</t>
        </is>
      </c>
      <c r="F125" s="42" t="inlineStr">
        <is>
          <t>Sunrise</t>
        </is>
      </c>
      <c r="G125" s="42" t="inlineStr"/>
      <c r="H125" s="42" t="n">
        <v>239</v>
      </c>
      <c r="I125" s="37" t="inlineStr">
        <is>
          <t>The Keepsake Minute</t>
        </is>
      </c>
      <c r="J125" s="42" t="inlineStr">
        <is>
          <t>Water</t>
        </is>
      </c>
      <c r="K125" s="37" t="inlineStr">
        <is>
          <t>Any time</t>
        </is>
      </c>
      <c r="L125" s="42">
        <f>IF(M125="",0,LEN(M125)-LEN(SUBSTITUTE(M125,",",""))+1)</f>
        <v/>
      </c>
      <c r="M125" s="37" t="inlineStr"/>
      <c r="N125" s="42" t="n">
        <v>4</v>
      </c>
      <c r="O125" s="37" t="inlineStr"/>
      <c r="P125" s="37" t="inlineStr"/>
    </row>
    <row r="126">
      <c r="A126" s="42" t="n">
        <v>63</v>
      </c>
      <c r="B126" s="42" t="inlineStr">
        <is>
          <t>September</t>
        </is>
      </c>
      <c r="C126" s="42" t="inlineStr">
        <is>
          <t>Friday</t>
        </is>
      </c>
      <c r="D126" s="42" t="inlineStr">
        <is>
          <t>New Moon</t>
        </is>
      </c>
      <c r="E126" s="42" t="inlineStr">
        <is>
          <t>Clear &amp; sunny</t>
        </is>
      </c>
      <c r="F126" s="42" t="inlineStr">
        <is>
          <t>Noon</t>
        </is>
      </c>
      <c r="G126" s="42" t="inlineStr"/>
      <c r="H126" s="42" t="n">
        <v>119</v>
      </c>
      <c r="I126" s="37" t="inlineStr">
        <is>
          <t>The Thousandth Version</t>
        </is>
      </c>
      <c r="J126" s="42" t="inlineStr">
        <is>
          <t>Glamour</t>
        </is>
      </c>
      <c r="K126" s="37" t="inlineStr">
        <is>
          <t>New Moon</t>
        </is>
      </c>
      <c r="L126" s="42">
        <f>IF(M126="",0,LEN(M126)-LEN(SUBSTITUTE(M126,",",""))+1)</f>
        <v/>
      </c>
      <c r="M126" s="37" t="inlineStr"/>
      <c r="N126" s="42" t="n">
        <v>7</v>
      </c>
      <c r="O126" s="37" t="inlineStr"/>
      <c r="P126" s="37" t="inlineStr"/>
    </row>
    <row r="127">
      <c r="A127" s="42" t="n">
        <v>63</v>
      </c>
      <c r="B127" s="42" t="inlineStr">
        <is>
          <t>September</t>
        </is>
      </c>
      <c r="C127" s="42" t="inlineStr">
        <is>
          <t>Friday</t>
        </is>
      </c>
      <c r="D127" s="42" t="inlineStr">
        <is>
          <t>New Moon</t>
        </is>
      </c>
      <c r="E127" s="42" t="inlineStr">
        <is>
          <t>Clear &amp; sunny</t>
        </is>
      </c>
      <c r="F127" s="42" t="inlineStr">
        <is>
          <t>Nightfall</t>
        </is>
      </c>
      <c r="G127" s="42" t="inlineStr"/>
      <c r="H127" s="42" t="n">
        <v>120</v>
      </c>
      <c r="I127" s="37" t="inlineStr">
        <is>
          <t>The Mirror Below</t>
        </is>
      </c>
      <c r="J127" s="42" t="inlineStr">
        <is>
          <t>Hand Mirror</t>
        </is>
      </c>
      <c r="K127" s="37" t="inlineStr">
        <is>
          <t>Dark Moon · Nightfall</t>
        </is>
      </c>
      <c r="L127" s="42">
        <f>IF(M127="",0,LEN(M127)-LEN(SUBSTITUTE(M127,",",""))+1)</f>
        <v/>
      </c>
      <c r="M127" s="37" t="inlineStr"/>
      <c r="N127" s="42" t="n">
        <v>7</v>
      </c>
      <c r="O127" s="37" t="inlineStr"/>
      <c r="P127" s="37" t="inlineStr"/>
    </row>
    <row r="128">
      <c r="A128" s="42" t="n">
        <v>64</v>
      </c>
      <c r="B128" s="42" t="inlineStr">
        <is>
          <t>September</t>
        </is>
      </c>
      <c r="C128" s="42" t="inlineStr">
        <is>
          <t>Saturday</t>
        </is>
      </c>
      <c r="D128" s="42" t="inlineStr">
        <is>
          <t>Waxing Crescent</t>
        </is>
      </c>
      <c r="E128" s="42" t="inlineStr">
        <is>
          <t>Windy</t>
        </is>
      </c>
      <c r="F128" s="42" t="inlineStr">
        <is>
          <t>Sunrise</t>
        </is>
      </c>
      <c r="G128" s="42" t="inlineStr"/>
      <c r="H128" s="42" t="n">
        <v>101</v>
      </c>
      <c r="I128" s="37" t="inlineStr">
        <is>
          <t>The Golden Ordinary</t>
        </is>
      </c>
      <c r="J128" s="42" t="inlineStr">
        <is>
          <t>Potion</t>
        </is>
      </c>
      <c r="K128" s="37" t="inlineStr">
        <is>
          <t>Mabon</t>
        </is>
      </c>
      <c r="L128" s="42">
        <f>IF(M128="",0,LEN(M128)-LEN(SUBSTITUTE(M128,",",""))+1)</f>
        <v/>
      </c>
      <c r="M128" s="37" t="inlineStr">
        <is>
          <t>Mabon</t>
        </is>
      </c>
      <c r="N128" s="42" t="n">
        <v>8</v>
      </c>
      <c r="O128" s="37" t="inlineStr">
        <is>
          <t>Edmund #71</t>
        </is>
      </c>
      <c r="P128" s="37" t="inlineStr"/>
    </row>
    <row r="129">
      <c r="A129" s="42" t="n">
        <v>64</v>
      </c>
      <c r="B129" s="42" t="inlineStr">
        <is>
          <t>September</t>
        </is>
      </c>
      <c r="C129" s="42" t="inlineStr">
        <is>
          <t>Saturday</t>
        </is>
      </c>
      <c r="D129" s="42" t="inlineStr">
        <is>
          <t>Waxing Crescent</t>
        </is>
      </c>
      <c r="E129" s="42" t="inlineStr">
        <is>
          <t>Windy</t>
        </is>
      </c>
      <c r="F129" s="42" t="inlineStr">
        <is>
          <t>Nightfall</t>
        </is>
      </c>
      <c r="G129" s="42" t="inlineStr"/>
      <c r="H129" s="42" t="n">
        <v>231</v>
      </c>
      <c r="I129" s="37" t="inlineStr">
        <is>
          <t>The Pocket Quest</t>
        </is>
      </c>
      <c r="J129" s="42" t="inlineStr">
        <is>
          <t>Talisman</t>
        </is>
      </c>
      <c r="K129" s="37" t="inlineStr">
        <is>
          <t>Clear starry night</t>
        </is>
      </c>
      <c r="L129" s="42">
        <f>IF(M129="",0,LEN(M129)-LEN(SUBSTITUTE(M129,",",""))+1)</f>
        <v/>
      </c>
      <c r="M129" s="37" t="inlineStr">
        <is>
          <t>Twig</t>
        </is>
      </c>
      <c r="N129" s="42" t="n">
        <v>4</v>
      </c>
      <c r="O129" s="37" t="inlineStr"/>
      <c r="P129" s="37" t="inlineStr"/>
    </row>
    <row r="130">
      <c r="A130" s="42" t="n">
        <v>65</v>
      </c>
      <c r="B130" s="42" t="inlineStr">
        <is>
          <t>September</t>
        </is>
      </c>
      <c r="C130" s="42" t="inlineStr">
        <is>
          <t>Sunday</t>
        </is>
      </c>
      <c r="D130" s="42" t="inlineStr">
        <is>
          <t>Waxing Gibbous</t>
        </is>
      </c>
      <c r="E130" s="42" t="inlineStr">
        <is>
          <t>Clear &amp; sunny</t>
        </is>
      </c>
      <c r="F130" s="42" t="inlineStr">
        <is>
          <t>Noon</t>
        </is>
      </c>
      <c r="G130" s="42" t="inlineStr"/>
      <c r="H130" s="42" t="n">
        <v>237</v>
      </c>
      <c r="I130" s="37" t="inlineStr">
        <is>
          <t>The Side-Quest Spark</t>
        </is>
      </c>
      <c r="J130" s="42" t="inlineStr">
        <is>
          <t>Wand</t>
        </is>
      </c>
      <c r="K130" s="37" t="inlineStr">
        <is>
          <t>Any time</t>
        </is>
      </c>
      <c r="L130" s="42">
        <f>IF(M130="",0,LEN(M130)-LEN(SUBSTITUTE(M130,",",""))+1)</f>
        <v/>
      </c>
      <c r="M130" s="37" t="inlineStr"/>
      <c r="N130" s="42" t="n">
        <v>3</v>
      </c>
      <c r="O130" s="37" t="inlineStr"/>
      <c r="P130" s="37" t="inlineStr"/>
    </row>
    <row r="131">
      <c r="A131" s="42" t="n">
        <v>66</v>
      </c>
      <c r="B131" s="42" t="inlineStr">
        <is>
          <t>September</t>
        </is>
      </c>
      <c r="C131" s="42" t="inlineStr">
        <is>
          <t>Monday</t>
        </is>
      </c>
      <c r="D131" s="42" t="inlineStr">
        <is>
          <t>Full Moon</t>
        </is>
      </c>
      <c r="E131" s="42" t="inlineStr">
        <is>
          <t>Clear &amp; sunny</t>
        </is>
      </c>
      <c r="F131" s="42" t="inlineStr">
        <is>
          <t>Sunrise</t>
        </is>
      </c>
      <c r="G131" s="42" t="inlineStr"/>
      <c r="H131" s="42" t="n">
        <v>40</v>
      </c>
      <c r="I131" s="37" t="inlineStr">
        <is>
          <t>The Giving Star</t>
        </is>
      </c>
      <c r="J131" s="42" t="inlineStr">
        <is>
          <t>Charm</t>
        </is>
      </c>
      <c r="K131" s="37" t="inlineStr">
        <is>
          <t>Harvest Moon (September full moon)</t>
        </is>
      </c>
      <c r="L131" s="42">
        <f>IF(M131="",0,LEN(M131)-LEN(SUBSTITUTE(M131,",",""))+1)</f>
        <v/>
      </c>
      <c r="M131" s="37" t="inlineStr">
        <is>
          <t>Harvest Moon</t>
        </is>
      </c>
      <c r="N131" s="42" t="n">
        <v>7</v>
      </c>
      <c r="O131" s="37" t="inlineStr"/>
      <c r="P131" s="37" t="inlineStr"/>
    </row>
    <row r="132">
      <c r="A132" s="42" t="n">
        <v>66</v>
      </c>
      <c r="B132" s="42" t="inlineStr">
        <is>
          <t>September</t>
        </is>
      </c>
      <c r="C132" s="42" t="inlineStr">
        <is>
          <t>Monday</t>
        </is>
      </c>
      <c r="D132" s="42" t="inlineStr">
        <is>
          <t>Full Moon</t>
        </is>
      </c>
      <c r="E132" s="42" t="inlineStr">
        <is>
          <t>Clear &amp; sunny</t>
        </is>
      </c>
      <c r="F132" s="42" t="inlineStr">
        <is>
          <t>Sunrise</t>
        </is>
      </c>
      <c r="G132" s="42" t="inlineStr"/>
      <c r="H132" s="42" t="n">
        <v>112</v>
      </c>
      <c r="I132" s="37" t="inlineStr">
        <is>
          <t>Ink Beneath the Moon</t>
        </is>
      </c>
      <c r="J132" s="42" t="inlineStr">
        <is>
          <t>Wand</t>
        </is>
      </c>
      <c r="K132" s="37" t="inlineStr">
        <is>
          <t>Monday · Full Moon</t>
        </is>
      </c>
      <c r="L132" s="42">
        <f>IF(M132="",0,LEN(M132)-LEN(SUBSTITUTE(M132,",",""))+1)</f>
        <v/>
      </c>
      <c r="M132" s="37" t="inlineStr">
        <is>
          <t>Quill</t>
        </is>
      </c>
      <c r="N132" s="42" t="n">
        <v>7</v>
      </c>
      <c r="O132" s="37" t="inlineStr"/>
      <c r="P132" s="37" t="inlineStr"/>
    </row>
    <row r="133">
      <c r="A133" s="42" t="n">
        <v>66</v>
      </c>
      <c r="B133" s="42" t="inlineStr">
        <is>
          <t>September</t>
        </is>
      </c>
      <c r="C133" s="42" t="inlineStr">
        <is>
          <t>Monday</t>
        </is>
      </c>
      <c r="D133" s="42" t="inlineStr">
        <is>
          <t>Full Moon</t>
        </is>
      </c>
      <c r="E133" s="42" t="inlineStr">
        <is>
          <t>Clear &amp; sunny</t>
        </is>
      </c>
      <c r="F133" s="42" t="inlineStr">
        <is>
          <t>Noon</t>
        </is>
      </c>
      <c r="G133" s="42" t="inlineStr"/>
      <c r="H133" s="42" t="n">
        <v>3</v>
      </c>
      <c r="I133" s="37" t="inlineStr">
        <is>
          <t>Two Hearts, One Hearth</t>
        </is>
      </c>
      <c r="J133" s="42" t="inlineStr">
        <is>
          <t>Spell Bottle</t>
        </is>
      </c>
      <c r="K133" s="37" t="inlineStr">
        <is>
          <t>Monday · Full Moon</t>
        </is>
      </c>
      <c r="L133" s="42">
        <f>IF(M133="",0,LEN(M133)-LEN(SUBSTITUTE(M133,",",""))+1)</f>
        <v/>
      </c>
      <c r="M133" s="37" t="inlineStr">
        <is>
          <t>Apple, Cedar chips</t>
        </is>
      </c>
      <c r="N133" s="42" t="n">
        <v>9</v>
      </c>
      <c r="O133" s="37" t="inlineStr"/>
      <c r="P133" s="37" t="inlineStr"/>
    </row>
    <row r="134">
      <c r="A134" s="42" t="n">
        <v>66</v>
      </c>
      <c r="B134" s="42" t="inlineStr">
        <is>
          <t>September</t>
        </is>
      </c>
      <c r="C134" s="42" t="inlineStr">
        <is>
          <t>Monday</t>
        </is>
      </c>
      <c r="D134" s="42" t="inlineStr">
        <is>
          <t>Full Moon</t>
        </is>
      </c>
      <c r="E134" s="42" t="inlineStr">
        <is>
          <t>Clear &amp; sunny</t>
        </is>
      </c>
      <c r="F134" s="42" t="inlineStr">
        <is>
          <t>Nightfall</t>
        </is>
      </c>
      <c r="G134" s="42" t="inlineStr">
        <is>
          <t>Yes</t>
        </is>
      </c>
      <c r="H134" s="42" t="n">
        <v>115</v>
      </c>
      <c r="I134" s="37" t="inlineStr">
        <is>
          <t>The Silver Sleepgate</t>
        </is>
      </c>
      <c r="J134" s="42" t="inlineStr">
        <is>
          <t>Spell Bottle</t>
        </is>
      </c>
      <c r="K134" s="37" t="inlineStr">
        <is>
          <t>Monday · Full Moon · Nightfall</t>
        </is>
      </c>
      <c r="L134" s="42">
        <f>IF(M134="",0,LEN(M134)-LEN(SUBSTITUTE(M134,",",""))+1)</f>
        <v/>
      </c>
      <c r="M134" s="37" t="inlineStr"/>
      <c r="N134" s="42" t="n">
        <v>11</v>
      </c>
      <c r="O134" s="37" t="inlineStr"/>
      <c r="P134" s="37" t="inlineStr"/>
    </row>
    <row r="135">
      <c r="A135" s="42" t="n">
        <v>67</v>
      </c>
      <c r="B135" s="42" t="inlineStr">
        <is>
          <t>September</t>
        </is>
      </c>
      <c r="C135" s="42" t="inlineStr">
        <is>
          <t>Tuesday</t>
        </is>
      </c>
      <c r="D135" s="42" t="inlineStr">
        <is>
          <t>Waning Gibbous</t>
        </is>
      </c>
      <c r="E135" s="42" t="inlineStr">
        <is>
          <t>Rain</t>
        </is>
      </c>
      <c r="F135" s="42" t="inlineStr">
        <is>
          <t>Sunrise</t>
        </is>
      </c>
      <c r="G135" s="42" t="inlineStr"/>
      <c r="H135" s="42" t="n">
        <v>187</v>
      </c>
      <c r="I135" s="37" t="inlineStr">
        <is>
          <t>The Unseated Guest</t>
        </is>
      </c>
      <c r="J135" s="42" t="inlineStr">
        <is>
          <t>Poppet</t>
        </is>
      </c>
      <c r="K135" s="37" t="inlineStr">
        <is>
          <t>Rain</t>
        </is>
      </c>
      <c r="L135" s="42">
        <f>IF(M135="",0,LEN(M135)-LEN(SUBSTITUTE(M135,",",""))+1)</f>
        <v/>
      </c>
      <c r="M135" s="37" t="inlineStr"/>
      <c r="N135" s="42" t="n">
        <v>5</v>
      </c>
      <c r="O135" s="37" t="inlineStr"/>
      <c r="P135" s="37" t="inlineStr"/>
    </row>
    <row r="136">
      <c r="A136" s="42" t="n">
        <v>67</v>
      </c>
      <c r="B136" s="42" t="inlineStr">
        <is>
          <t>September</t>
        </is>
      </c>
      <c r="C136" s="42" t="inlineStr">
        <is>
          <t>Tuesday</t>
        </is>
      </c>
      <c r="D136" s="42" t="inlineStr">
        <is>
          <t>Waning Gibbous</t>
        </is>
      </c>
      <c r="E136" s="42" t="inlineStr">
        <is>
          <t>Rain</t>
        </is>
      </c>
      <c r="F136" s="42" t="inlineStr">
        <is>
          <t>Noon</t>
        </is>
      </c>
      <c r="G136" s="42" t="inlineStr"/>
      <c r="H136" s="42" t="n">
        <v>178</v>
      </c>
      <c r="I136" s="37" t="inlineStr">
        <is>
          <t>The Rain-Rinse Ritual</t>
        </is>
      </c>
      <c r="J136" s="42" t="inlineStr">
        <is>
          <t>Soap</t>
        </is>
      </c>
      <c r="K136" s="37" t="inlineStr">
        <is>
          <t>Rain</t>
        </is>
      </c>
      <c r="L136" s="42">
        <f>IF(M136="",0,LEN(M136)-LEN(SUBSTITUTE(M136,",",""))+1)</f>
        <v/>
      </c>
      <c r="M136" s="37" t="inlineStr"/>
      <c r="N136" s="42" t="n">
        <v>4</v>
      </c>
      <c r="O136" s="37" t="inlineStr"/>
      <c r="P136" s="37" t="inlineStr"/>
    </row>
    <row r="137">
      <c r="A137" s="42" t="n">
        <v>67</v>
      </c>
      <c r="B137" s="42" t="inlineStr">
        <is>
          <t>September</t>
        </is>
      </c>
      <c r="C137" s="42" t="inlineStr">
        <is>
          <t>Tuesday</t>
        </is>
      </c>
      <c r="D137" s="42" t="inlineStr">
        <is>
          <t>Waning Gibbous</t>
        </is>
      </c>
      <c r="E137" s="42" t="inlineStr">
        <is>
          <t>Rain</t>
        </is>
      </c>
      <c r="F137" s="42" t="inlineStr">
        <is>
          <t>Nightfall</t>
        </is>
      </c>
      <c r="G137" s="42" t="inlineStr"/>
      <c r="H137" s="42" t="n">
        <v>198</v>
      </c>
      <c r="I137" s="37" t="inlineStr">
        <is>
          <t>The Forgiving Tide</t>
        </is>
      </c>
      <c r="J137" s="42" t="inlineStr">
        <is>
          <t>Bath Salt</t>
        </is>
      </c>
      <c r="K137" s="37" t="inlineStr">
        <is>
          <t>Waning Gibbous</t>
        </is>
      </c>
      <c r="L137" s="42">
        <f>IF(M137="",0,LEN(M137)-LEN(SUBSTITUTE(M137,",",""))+1)</f>
        <v/>
      </c>
      <c r="M137" s="37" t="inlineStr">
        <is>
          <t>Seaweed</t>
        </is>
      </c>
      <c r="N137" s="42" t="n">
        <v>6</v>
      </c>
      <c r="O137" s="37" t="inlineStr"/>
      <c r="P137" s="37" t="inlineStr"/>
    </row>
    <row r="138">
      <c r="A138" s="42" t="n">
        <v>68</v>
      </c>
      <c r="B138" s="42" t="inlineStr">
        <is>
          <t>September</t>
        </is>
      </c>
      <c r="C138" s="42" t="inlineStr">
        <is>
          <t>Wednesday</t>
        </is>
      </c>
      <c r="D138" s="42" t="inlineStr">
        <is>
          <t>Waning Crescent</t>
        </is>
      </c>
      <c r="E138" s="42" t="inlineStr">
        <is>
          <t>Cloudy</t>
        </is>
      </c>
      <c r="F138" s="42" t="inlineStr">
        <is>
          <t>Sunrise</t>
        </is>
      </c>
      <c r="G138" s="42" t="inlineStr"/>
      <c r="H138" s="42" t="n">
        <v>162</v>
      </c>
      <c r="I138" s="37" t="inlineStr">
        <is>
          <t>The Errand Sprite</t>
        </is>
      </c>
      <c r="J138" s="42" t="inlineStr">
        <is>
          <t>Potion</t>
        </is>
      </c>
      <c r="K138" s="37" t="inlineStr">
        <is>
          <t>Wednesday · Sunrise</t>
        </is>
      </c>
      <c r="L138" s="42">
        <f>IF(M138="",0,LEN(M138)-LEN(SUBSTITUTE(M138,",",""))+1)</f>
        <v/>
      </c>
      <c r="M138" s="37" t="inlineStr"/>
      <c r="N138" s="42" t="n">
        <v>6</v>
      </c>
      <c r="O138" s="37" t="inlineStr"/>
      <c r="P138" s="37" t="inlineStr"/>
    </row>
    <row r="139">
      <c r="A139" s="42" t="n">
        <v>68</v>
      </c>
      <c r="B139" s="42" t="inlineStr">
        <is>
          <t>September</t>
        </is>
      </c>
      <c r="C139" s="42" t="inlineStr">
        <is>
          <t>Wednesday</t>
        </is>
      </c>
      <c r="D139" s="42" t="inlineStr">
        <is>
          <t>Waning Crescent</t>
        </is>
      </c>
      <c r="E139" s="42" t="inlineStr">
        <is>
          <t>Cloudy</t>
        </is>
      </c>
      <c r="F139" s="42" t="inlineStr">
        <is>
          <t>Noon</t>
        </is>
      </c>
      <c r="G139" s="42" t="inlineStr"/>
      <c r="H139" s="42" t="n">
        <v>184</v>
      </c>
      <c r="I139" s="37" t="inlineStr">
        <is>
          <t>The Guiltless Garden</t>
        </is>
      </c>
      <c r="J139" s="42" t="inlineStr">
        <is>
          <t>Water</t>
        </is>
      </c>
      <c r="K139" s="37" t="inlineStr">
        <is>
          <t>after Rain</t>
        </is>
      </c>
      <c r="L139" s="42">
        <f>IF(M139="",0,LEN(M139)-LEN(SUBSTITUTE(M139,",",""))+1)</f>
        <v/>
      </c>
      <c r="M139" s="37" t="inlineStr"/>
      <c r="N139" s="42" t="n">
        <v>6</v>
      </c>
      <c r="O139" s="37" t="inlineStr"/>
      <c r="P139" s="37" t="inlineStr"/>
    </row>
    <row r="140">
      <c r="A140" s="42" t="n">
        <v>69</v>
      </c>
      <c r="B140" s="42" t="inlineStr">
        <is>
          <t>October</t>
        </is>
      </c>
      <c r="C140" s="42" t="inlineStr">
        <is>
          <t>Thursday</t>
        </is>
      </c>
      <c r="D140" s="42" t="inlineStr">
        <is>
          <t>New Moon</t>
        </is>
      </c>
      <c r="E140" s="42" t="inlineStr">
        <is>
          <t>Rain</t>
        </is>
      </c>
      <c r="F140" s="42" t="inlineStr">
        <is>
          <t>Sunrise</t>
        </is>
      </c>
      <c r="G140" s="42" t="inlineStr"/>
      <c r="H140" s="42" t="n">
        <v>121</v>
      </c>
      <c r="I140" s="37" t="inlineStr">
        <is>
          <t>The First Crescent</t>
        </is>
      </c>
      <c r="J140" s="42" t="inlineStr">
        <is>
          <t>Sigil</t>
        </is>
      </c>
      <c r="K140" s="37" t="inlineStr">
        <is>
          <t>New Moon</t>
        </is>
      </c>
      <c r="L140" s="42">
        <f>IF(M140="",0,LEN(M140)-LEN(SUBSTITUTE(M140,",",""))+1)</f>
        <v/>
      </c>
      <c r="M140" s="37" t="inlineStr"/>
      <c r="N140" s="42" t="n">
        <v>7</v>
      </c>
      <c r="O140" s="37" t="inlineStr"/>
      <c r="P140" s="37" t="inlineStr"/>
    </row>
    <row r="141">
      <c r="A141" s="42" t="n">
        <v>69</v>
      </c>
      <c r="B141" s="42" t="inlineStr">
        <is>
          <t>October</t>
        </is>
      </c>
      <c r="C141" s="42" t="inlineStr">
        <is>
          <t>Thursday</t>
        </is>
      </c>
      <c r="D141" s="42" t="inlineStr">
        <is>
          <t>New Moon</t>
        </is>
      </c>
      <c r="E141" s="42" t="inlineStr">
        <is>
          <t>Rain</t>
        </is>
      </c>
      <c r="F141" s="42" t="inlineStr">
        <is>
          <t>Noon</t>
        </is>
      </c>
      <c r="G141" s="42" t="inlineStr"/>
      <c r="H141" s="42" t="n">
        <v>215</v>
      </c>
      <c r="I141" s="37" t="inlineStr">
        <is>
          <t>The Lucky Pixel</t>
        </is>
      </c>
      <c r="J141" s="42" t="inlineStr">
        <is>
          <t>Talisman</t>
        </is>
      </c>
      <c r="K141" s="37" t="inlineStr">
        <is>
          <t>Thursday</t>
        </is>
      </c>
      <c r="L141" s="42">
        <f>IF(M141="",0,LEN(M141)-LEN(SUBSTITUTE(M141,",",""))+1)</f>
        <v/>
      </c>
      <c r="M141" s="37" t="inlineStr">
        <is>
          <t>Square button</t>
        </is>
      </c>
      <c r="N141" s="42" t="n">
        <v>6</v>
      </c>
      <c r="O141" s="37" t="inlineStr"/>
      <c r="P141" s="37" t="inlineStr"/>
    </row>
    <row r="142">
      <c r="A142" s="42" t="n">
        <v>72</v>
      </c>
      <c r="B142" s="42" t="inlineStr">
        <is>
          <t>October</t>
        </is>
      </c>
      <c r="C142" s="42" t="inlineStr">
        <is>
          <t>Sunday</t>
        </is>
      </c>
      <c r="D142" s="42" t="inlineStr">
        <is>
          <t>Full Moon</t>
        </is>
      </c>
      <c r="E142" s="42" t="inlineStr">
        <is>
          <t>Clear &amp; sunny</t>
        </is>
      </c>
      <c r="F142" s="42" t="inlineStr">
        <is>
          <t>Sunrise</t>
        </is>
      </c>
      <c r="G142" s="42" t="inlineStr">
        <is>
          <t>Yes</t>
        </is>
      </c>
      <c r="H142" s="42" t="n">
        <v>83</v>
      </c>
      <c r="I142" s="37" t="inlineStr">
        <is>
          <t>The Gallery of Becoming</t>
        </is>
      </c>
      <c r="J142" s="42" t="inlineStr">
        <is>
          <t>Sigil</t>
        </is>
      </c>
      <c r="K142" s="37" t="inlineStr">
        <is>
          <t>Sunday · Full Moon</t>
        </is>
      </c>
      <c r="L142" s="42">
        <f>IF(M142="",0,LEN(M142)-LEN(SUBSTITUTE(M142,",",""))+1)</f>
        <v/>
      </c>
      <c r="M142" s="37" t="inlineStr"/>
      <c r="N142" s="42" t="n">
        <v>7</v>
      </c>
      <c r="O142" s="37" t="inlineStr"/>
      <c r="P142" s="37" t="inlineStr"/>
    </row>
    <row r="143">
      <c r="A143" s="42" t="n">
        <v>73</v>
      </c>
      <c r="B143" s="42" t="inlineStr">
        <is>
          <t>October</t>
        </is>
      </c>
      <c r="C143" s="42" t="inlineStr">
        <is>
          <t>Monday</t>
        </is>
      </c>
      <c r="D143" s="42" t="inlineStr">
        <is>
          <t>Waning Gibbous</t>
        </is>
      </c>
      <c r="E143" s="42" t="inlineStr">
        <is>
          <t>Fog / Mist</t>
        </is>
      </c>
      <c r="F143" s="42" t="inlineStr">
        <is>
          <t>Sunrise</t>
        </is>
      </c>
      <c r="G143" s="42" t="inlineStr"/>
      <c r="H143" s="42" t="n">
        <v>117</v>
      </c>
      <c r="I143" s="37" t="inlineStr">
        <is>
          <t>The Cocoon Key</t>
        </is>
      </c>
      <c r="J143" s="42" t="inlineStr">
        <is>
          <t>Poppet</t>
        </is>
      </c>
      <c r="K143" s="37" t="inlineStr">
        <is>
          <t>Samhain · Waning Moon</t>
        </is>
      </c>
      <c r="L143" s="42">
        <f>IF(M143="",0,LEN(M143)-LEN(SUBSTITUTE(M143,",",""))+1)</f>
        <v/>
      </c>
      <c r="M143" s="37" t="inlineStr"/>
      <c r="N143" s="42" t="n">
        <v>9</v>
      </c>
      <c r="O143" s="37" t="inlineStr"/>
      <c r="P143" s="37" t="inlineStr"/>
    </row>
    <row r="144">
      <c r="A144" s="42" t="n">
        <v>73</v>
      </c>
      <c r="B144" s="42" t="inlineStr">
        <is>
          <t>October</t>
        </is>
      </c>
      <c r="C144" s="42" t="inlineStr">
        <is>
          <t>Monday</t>
        </is>
      </c>
      <c r="D144" s="42" t="inlineStr">
        <is>
          <t>Waning Gibbous</t>
        </is>
      </c>
      <c r="E144" s="42" t="inlineStr">
        <is>
          <t>Fog / Mist</t>
        </is>
      </c>
      <c r="F144" s="42" t="inlineStr">
        <is>
          <t>Noon</t>
        </is>
      </c>
      <c r="G144" s="42" t="inlineStr"/>
      <c r="H144" s="42" t="n">
        <v>191</v>
      </c>
      <c r="I144" s="37" t="inlineStr">
        <is>
          <t>The Forgotten Room</t>
        </is>
      </c>
      <c r="J144" s="42" t="inlineStr">
        <is>
          <t>Sachet</t>
        </is>
      </c>
      <c r="K144" s="37" t="inlineStr">
        <is>
          <t>Fog / Mist</t>
        </is>
      </c>
      <c r="L144" s="42">
        <f>IF(M144="",0,LEN(M144)-LEN(SUBSTITUTE(M144,",",""))+1)</f>
        <v/>
      </c>
      <c r="M144" s="37" t="inlineStr">
        <is>
          <t>Locket</t>
        </is>
      </c>
      <c r="N144" s="42" t="n">
        <v>5</v>
      </c>
      <c r="O144" s="37" t="inlineStr"/>
      <c r="P144" s="37" t="inlineStr"/>
    </row>
    <row r="145">
      <c r="A145" s="42" t="n">
        <v>74</v>
      </c>
      <c r="B145" s="42" t="inlineStr">
        <is>
          <t>October</t>
        </is>
      </c>
      <c r="C145" s="42" t="inlineStr">
        <is>
          <t>Tuesday</t>
        </is>
      </c>
      <c r="D145" s="42" t="inlineStr">
        <is>
          <t>Waning Crescent</t>
        </is>
      </c>
      <c r="E145" s="42" t="inlineStr">
        <is>
          <t>Clear &amp; sunny</t>
        </is>
      </c>
      <c r="F145" s="42" t="inlineStr">
        <is>
          <t>Sunrise</t>
        </is>
      </c>
      <c r="G145" s="42" t="inlineStr"/>
      <c r="H145" s="42" t="n">
        <v>201</v>
      </c>
      <c r="I145" s="37" t="inlineStr">
        <is>
          <t>The Old Shield, Laid Down</t>
        </is>
      </c>
      <c r="J145" s="42" t="inlineStr">
        <is>
          <t>Witch Salt</t>
        </is>
      </c>
      <c r="K145" s="37" t="inlineStr">
        <is>
          <t>Waning Moon</t>
        </is>
      </c>
      <c r="L145" s="42">
        <f>IF(M145="",0,LEN(M145)-LEN(SUBSTITUTE(M145,",",""))+1)</f>
        <v/>
      </c>
      <c r="M145" s="37" t="inlineStr"/>
      <c r="N145" s="42" t="n">
        <v>8</v>
      </c>
      <c r="O145" s="37" t="inlineStr"/>
      <c r="P145" s="37" t="inlineStr"/>
    </row>
    <row r="146">
      <c r="A146" s="42" t="n">
        <v>74</v>
      </c>
      <c r="B146" s="42" t="inlineStr">
        <is>
          <t>October</t>
        </is>
      </c>
      <c r="C146" s="42" t="inlineStr">
        <is>
          <t>Tuesday</t>
        </is>
      </c>
      <c r="D146" s="42" t="inlineStr">
        <is>
          <t>Waning Crescent</t>
        </is>
      </c>
      <c r="E146" s="42" t="inlineStr">
        <is>
          <t>Clear &amp; sunny</t>
        </is>
      </c>
      <c r="F146" s="42" t="inlineStr">
        <is>
          <t>Noon</t>
        </is>
      </c>
      <c r="G146" s="42" t="inlineStr"/>
      <c r="H146" s="42" t="n">
        <v>196</v>
      </c>
      <c r="I146" s="37" t="inlineStr">
        <is>
          <t>The Retired Myth</t>
        </is>
      </c>
      <c r="J146" s="42" t="inlineStr">
        <is>
          <t>Spell Bottle</t>
        </is>
      </c>
      <c r="K146" s="37" t="inlineStr">
        <is>
          <t>Waning Crescent</t>
        </is>
      </c>
      <c r="L146" s="42">
        <f>IF(M146="",0,LEN(M146)-LEN(SUBSTITUTE(M146,",",""))+1)</f>
        <v/>
      </c>
      <c r="M146" s="37" t="inlineStr"/>
      <c r="N146" s="42" t="n">
        <v>7</v>
      </c>
      <c r="O146" s="37" t="inlineStr"/>
      <c r="P146" s="37" t="inlineStr"/>
    </row>
    <row r="147">
      <c r="A147" s="42" t="n">
        <v>75</v>
      </c>
      <c r="B147" s="42" t="inlineStr">
        <is>
          <t>October</t>
        </is>
      </c>
      <c r="C147" s="42" t="inlineStr">
        <is>
          <t>Wednesday</t>
        </is>
      </c>
      <c r="D147" s="42" t="inlineStr">
        <is>
          <t>New Moon</t>
        </is>
      </c>
      <c r="E147" s="42" t="inlineStr">
        <is>
          <t>Clear &amp; sunny</t>
        </is>
      </c>
      <c r="F147" s="42" t="inlineStr">
        <is>
          <t>Sunrise</t>
        </is>
      </c>
      <c r="G147" s="42" t="inlineStr"/>
      <c r="H147" s="42" t="n">
        <v>226</v>
      </c>
      <c r="I147" s="37" t="inlineStr">
        <is>
          <t>The Quicksilver Quip</t>
        </is>
      </c>
      <c r="J147" s="42" t="inlineStr">
        <is>
          <t>Tea</t>
        </is>
      </c>
      <c r="K147" s="37" t="inlineStr">
        <is>
          <t>Wednesday</t>
        </is>
      </c>
      <c r="L147" s="42">
        <f>IF(M147="",0,LEN(M147)-LEN(SUBSTITUTE(M147,",",""))+1)</f>
        <v/>
      </c>
      <c r="M147" s="37" t="inlineStr"/>
      <c r="N147" s="42" t="n">
        <v>6</v>
      </c>
      <c r="O147" s="37" t="inlineStr"/>
      <c r="P147" s="37" t="inlineStr"/>
    </row>
    <row r="148">
      <c r="A148" s="42" t="n">
        <v>75</v>
      </c>
      <c r="B148" s="42" t="inlineStr">
        <is>
          <t>October</t>
        </is>
      </c>
      <c r="C148" s="42" t="inlineStr">
        <is>
          <t>Wednesday</t>
        </is>
      </c>
      <c r="D148" s="42" t="inlineStr">
        <is>
          <t>New Moon</t>
        </is>
      </c>
      <c r="E148" s="42" t="inlineStr">
        <is>
          <t>Clear &amp; sunny</t>
        </is>
      </c>
      <c r="F148" s="42" t="inlineStr">
        <is>
          <t>Noon</t>
        </is>
      </c>
      <c r="G148" s="42" t="inlineStr"/>
      <c r="H148" s="42" t="n">
        <v>213</v>
      </c>
      <c r="I148" s="37" t="inlineStr">
        <is>
          <t>The Lost-and-Found Familiar</t>
        </is>
      </c>
      <c r="J148" s="42" t="inlineStr">
        <is>
          <t>Wand</t>
        </is>
      </c>
      <c r="K148" s="37" t="inlineStr">
        <is>
          <t>Wednesday</t>
        </is>
      </c>
      <c r="L148" s="42">
        <f>IF(M148="",0,LEN(M148)-LEN(SUBSTITUTE(M148,",",""))+1)</f>
        <v/>
      </c>
      <c r="M148" s="37" t="inlineStr"/>
      <c r="N148" s="42" t="n">
        <v>5</v>
      </c>
      <c r="O148" s="37" t="inlineStr"/>
      <c r="P148" s="37" t="inlineStr"/>
    </row>
    <row r="149">
      <c r="A149" s="42" t="n">
        <v>75</v>
      </c>
      <c r="B149" s="42" t="inlineStr">
        <is>
          <t>October</t>
        </is>
      </c>
      <c r="C149" s="42" t="inlineStr">
        <is>
          <t>Wednesday</t>
        </is>
      </c>
      <c r="D149" s="42" t="inlineStr">
        <is>
          <t>New Moon</t>
        </is>
      </c>
      <c r="E149" s="42" t="inlineStr">
        <is>
          <t>Clear &amp; sunny</t>
        </is>
      </c>
      <c r="F149" s="42" t="inlineStr">
        <is>
          <t>Twilight</t>
        </is>
      </c>
      <c r="G149" s="42" t="inlineStr"/>
      <c r="H149" s="42" t="n">
        <v>204</v>
      </c>
      <c r="I149" s="37" t="inlineStr">
        <is>
          <t>The Velvet Truth</t>
        </is>
      </c>
      <c r="J149" s="42" t="inlineStr">
        <is>
          <t>Hand Mirror</t>
        </is>
      </c>
      <c r="K149" s="37" t="inlineStr">
        <is>
          <t>Wednesday</t>
        </is>
      </c>
      <c r="L149" s="42">
        <f>IF(M149="",0,LEN(M149)-LEN(SUBSTITUTE(M149,",",""))+1)</f>
        <v/>
      </c>
      <c r="M149" s="37" t="inlineStr"/>
      <c r="N149" s="42" t="n">
        <v>5</v>
      </c>
      <c r="O149" s="37" t="inlineStr"/>
      <c r="P149" s="37" t="inlineStr"/>
    </row>
    <row r="150">
      <c r="A150" s="42" t="n">
        <v>75</v>
      </c>
      <c r="B150" s="42" t="inlineStr">
        <is>
          <t>October</t>
        </is>
      </c>
      <c r="C150" s="42" t="inlineStr">
        <is>
          <t>Wednesday</t>
        </is>
      </c>
      <c r="D150" s="42" t="inlineStr">
        <is>
          <t>New Moon</t>
        </is>
      </c>
      <c r="E150" s="42" t="inlineStr">
        <is>
          <t>Clear &amp; sunny</t>
        </is>
      </c>
      <c r="F150" s="42" t="inlineStr">
        <is>
          <t>Nightfall</t>
        </is>
      </c>
      <c r="G150" s="42" t="inlineStr"/>
      <c r="H150" s="42" t="n">
        <v>190</v>
      </c>
      <c r="I150" s="37" t="inlineStr">
        <is>
          <t>The Unpinned Mask</t>
        </is>
      </c>
      <c r="J150" s="42" t="inlineStr">
        <is>
          <t>Glamour</t>
        </is>
      </c>
      <c r="K150" s="37" t="inlineStr">
        <is>
          <t>Samhain</t>
        </is>
      </c>
      <c r="L150" s="42">
        <f>IF(M150="",0,LEN(M150)-LEN(SUBSTITUTE(M150,",",""))+1)</f>
        <v/>
      </c>
      <c r="M150" s="37" t="inlineStr"/>
      <c r="N150" s="42" t="n">
        <v>5</v>
      </c>
      <c r="O150" s="37" t="inlineStr"/>
      <c r="P150" s="37" t="inlineStr"/>
    </row>
  </sheetData>
  <autoFilter ref="A1:P150"/>
  <conditionalFormatting sqref="L2:L150">
    <cfRule type="expression" priority="1" dxfId="7">
      <formula>L2&gt;=5</formula>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8" customWidth="1" style="18" min="1" max="1"/>
    <col width="12" customWidth="1" style="18" min="2" max="2"/>
    <col width="38" customWidth="1" style="18" min="3" max="3"/>
    <col width="14" customWidth="1" style="18" min="4" max="4"/>
    <col width="12" customWidth="1" style="18" min="5" max="5"/>
    <col width="8" customWidth="1" style="18" min="6" max="6"/>
    <col width="8" customWidth="1" style="18" min="7" max="7"/>
  </cols>
  <sheetData>
    <row r="1">
      <c r="A1" s="35" t="inlineStr">
        <is>
          <t>Due day</t>
        </is>
      </c>
      <c r="B1" s="35" t="inlineStr">
        <is>
          <t>Customer</t>
        </is>
      </c>
      <c r="C1" s="35" t="inlineStr">
        <is>
          <t>Recipe</t>
        </is>
      </c>
      <c r="D1" s="35" t="inlineStr">
        <is>
          <t>New without walk-ins</t>
        </is>
      </c>
      <c r="E1" s="35" t="inlineStr">
        <is>
          <t>New with plan</t>
        </is>
      </c>
      <c r="F1" s="35" t="inlineStr">
        <is>
          <t>Drop</t>
        </is>
      </c>
      <c r="G1" s="35" t="inlineStr">
        <is>
          <t>Flag</t>
        </is>
      </c>
    </row>
    <row r="2">
      <c r="A2" s="38" t="n">
        <v>1</v>
      </c>
      <c r="B2" s="38" t="inlineStr">
        <is>
          <t>Hester</t>
        </is>
      </c>
      <c r="C2" s="38" t="inlineStr">
        <is>
          <t>#111 The Language of Ravens</t>
        </is>
      </c>
      <c r="D2" s="38" t="n">
        <v>3</v>
      </c>
      <c r="E2" s="38" t="n">
        <v>3</v>
      </c>
      <c r="F2" s="38">
        <f>D2-E2</f>
        <v/>
      </c>
      <c r="G2" s="38">
        <f>IF(E2&gt;=5,"Check","")</f>
        <v/>
      </c>
    </row>
    <row r="3">
      <c r="A3" s="38" t="n">
        <v>2</v>
      </c>
      <c r="B3" s="38" t="inlineStr">
        <is>
          <t>Edmund</t>
        </is>
      </c>
      <c r="C3" s="38" t="inlineStr">
        <is>
          <t>#95 Lavender Hour</t>
        </is>
      </c>
      <c r="D3" s="38" t="n">
        <v>0</v>
      </c>
      <c r="E3" s="38" t="n">
        <v>0</v>
      </c>
      <c r="F3" s="38">
        <f>D3-E3</f>
        <v/>
      </c>
      <c r="G3" s="38">
        <f>IF(E3&gt;=5,"Check","")</f>
        <v/>
      </c>
    </row>
    <row r="4">
      <c r="A4" s="38" t="n">
        <v>3</v>
      </c>
      <c r="B4" s="38" t="inlineStr">
        <is>
          <t>Dottie</t>
        </is>
      </c>
      <c r="C4" s="38" t="inlineStr">
        <is>
          <t>#153 The Order of Little Things</t>
        </is>
      </c>
      <c r="D4" s="38" t="n">
        <v>0</v>
      </c>
      <c r="E4" s="38" t="n">
        <v>0</v>
      </c>
      <c r="F4" s="38">
        <f>D4-E4</f>
        <v/>
      </c>
      <c r="G4" s="38">
        <f>IF(E4&gt;=5,"Check","")</f>
        <v/>
      </c>
    </row>
    <row r="5">
      <c r="A5" s="38" t="n">
        <v>5</v>
      </c>
      <c r="B5" s="38" t="inlineStr">
        <is>
          <t>Goldie</t>
        </is>
      </c>
      <c r="C5" s="38" t="inlineStr">
        <is>
          <t>#58 The Velvet Tongue</t>
        </is>
      </c>
      <c r="D5" s="38" t="n">
        <v>3</v>
      </c>
      <c r="E5" s="38" t="n">
        <v>3</v>
      </c>
      <c r="F5" s="38">
        <f>D5-E5</f>
        <v/>
      </c>
      <c r="G5" s="38">
        <f>IF(E5&gt;=5,"Check","")</f>
        <v/>
      </c>
    </row>
    <row r="6">
      <c r="A6" s="38" t="n">
        <v>9</v>
      </c>
      <c r="B6" s="38" t="inlineStr">
        <is>
          <t>Dottie</t>
        </is>
      </c>
      <c r="C6" s="38" t="inlineStr">
        <is>
          <t>#161 The Fresh Linen Familiar</t>
        </is>
      </c>
      <c r="D6" s="38" t="n">
        <v>2</v>
      </c>
      <c r="E6" s="38" t="n">
        <v>1</v>
      </c>
      <c r="F6" s="38">
        <f>D6-E6</f>
        <v/>
      </c>
      <c r="G6" s="38">
        <f>IF(E6&gt;=5,"Check","")</f>
        <v/>
      </c>
    </row>
    <row r="7">
      <c r="A7" s="38" t="n">
        <v>10</v>
      </c>
      <c r="B7" s="38" t="inlineStr">
        <is>
          <t>Rosalind</t>
        </is>
      </c>
      <c r="C7" s="38" t="inlineStr">
        <is>
          <t>#23 The Midnight Sentinel</t>
        </is>
      </c>
      <c r="D7" s="38" t="n">
        <v>2</v>
      </c>
      <c r="E7" s="38" t="n">
        <v>2</v>
      </c>
      <c r="F7" s="38">
        <f>D7-E7</f>
        <v/>
      </c>
      <c r="G7" s="38">
        <f>IF(E7&gt;=5,"Check","")</f>
        <v/>
      </c>
    </row>
    <row r="8">
      <c r="A8" s="38" t="n">
        <v>12</v>
      </c>
      <c r="B8" s="38" t="inlineStr">
        <is>
          <t>Morwenna</t>
        </is>
      </c>
      <c r="C8" s="38" t="inlineStr">
        <is>
          <t>#21 Wayfarer's Ward</t>
        </is>
      </c>
      <c r="D8" s="38" t="n">
        <v>6</v>
      </c>
      <c r="E8" s="38" t="n">
        <v>4</v>
      </c>
      <c r="F8" s="38">
        <f>D8-E8</f>
        <v/>
      </c>
      <c r="G8" s="38">
        <f>IF(E8&gt;=5,"Check","")</f>
        <v/>
      </c>
    </row>
    <row r="9">
      <c r="A9" s="38" t="n">
        <v>12</v>
      </c>
      <c r="B9" s="38" t="inlineStr">
        <is>
          <t>Hester</t>
        </is>
      </c>
      <c r="C9" s="38" t="inlineStr">
        <is>
          <t>#68 A Thousand Little Lights</t>
        </is>
      </c>
      <c r="D9" s="38" t="n">
        <v>6</v>
      </c>
      <c r="E9" s="38" t="n">
        <v>3</v>
      </c>
      <c r="F9" s="38">
        <f>D9-E9</f>
        <v/>
      </c>
      <c r="G9" s="38">
        <f>IF(E9&gt;=5,"Check","")</f>
        <v/>
      </c>
    </row>
    <row r="10">
      <c r="A10" s="38" t="n">
        <v>16</v>
      </c>
      <c r="B10" s="38" t="inlineStr">
        <is>
          <t>Felix</t>
        </is>
      </c>
      <c r="C10" s="38" t="inlineStr">
        <is>
          <t>#36 Fortune Favors the Bold</t>
        </is>
      </c>
      <c r="D10" s="38" t="n">
        <v>5</v>
      </c>
      <c r="E10" s="38" t="n">
        <v>4</v>
      </c>
      <c r="F10" s="38">
        <f>D10-E10</f>
        <v/>
      </c>
      <c r="G10" s="38">
        <f>IF(E10&gt;=5,"Check","")</f>
        <v/>
      </c>
    </row>
    <row r="11">
      <c r="A11" s="38" t="n">
        <v>16</v>
      </c>
      <c r="B11" s="38" t="inlineStr">
        <is>
          <t>Ivy</t>
        </is>
      </c>
      <c r="C11" s="38" t="inlineStr">
        <is>
          <t>#229 The Little Spotlight</t>
        </is>
      </c>
      <c r="D11" s="38" t="n">
        <v>1</v>
      </c>
      <c r="E11" s="38" t="n">
        <v>1</v>
      </c>
      <c r="F11" s="38">
        <f>D11-E11</f>
        <v/>
      </c>
      <c r="G11" s="38">
        <f>IF(E11&gt;=5,"Check","")</f>
        <v/>
      </c>
    </row>
    <row r="12">
      <c r="A12" s="38" t="n">
        <v>17</v>
      </c>
      <c r="B12" s="38" t="inlineStr">
        <is>
          <t>Noor</t>
        </is>
      </c>
      <c r="C12" s="38" t="inlineStr">
        <is>
          <t>#172 The Sleepy Stardrop</t>
        </is>
      </c>
      <c r="D12" s="38" t="n">
        <v>0</v>
      </c>
      <c r="E12" s="38" t="n">
        <v>0</v>
      </c>
      <c r="F12" s="38">
        <f>D12-E12</f>
        <v/>
      </c>
      <c r="G12" s="38">
        <f>IF(E12&gt;=5,"Check","")</f>
        <v/>
      </c>
    </row>
    <row r="13">
      <c r="A13" s="38" t="n">
        <v>18</v>
      </c>
      <c r="B13" s="38" t="inlineStr">
        <is>
          <t>Felix</t>
        </is>
      </c>
      <c r="C13" s="38" t="inlineStr">
        <is>
          <t>#151 Rise, Little Flame</t>
        </is>
      </c>
      <c r="D13" s="38" t="n">
        <v>3</v>
      </c>
      <c r="E13" s="38" t="n">
        <v>0</v>
      </c>
      <c r="F13" s="38">
        <f>D13-E13</f>
        <v/>
      </c>
      <c r="G13" s="38">
        <f>IF(E13&gt;=5,"Check","")</f>
        <v/>
      </c>
    </row>
    <row r="14">
      <c r="A14" s="38" t="n">
        <v>18</v>
      </c>
      <c r="B14" s="38" t="inlineStr">
        <is>
          <t>Edmund</t>
        </is>
      </c>
      <c r="C14" s="38" t="inlineStr">
        <is>
          <t>#96 The Last Candle</t>
        </is>
      </c>
      <c r="D14" s="38" t="n">
        <v>2</v>
      </c>
      <c r="E14" s="38" t="n">
        <v>1</v>
      </c>
      <c r="F14" s="38">
        <f>D14-E14</f>
        <v/>
      </c>
      <c r="G14" s="38">
        <f>IF(E14&gt;=5,"Check","")</f>
        <v/>
      </c>
    </row>
    <row r="15">
      <c r="A15" s="38" t="n">
        <v>19</v>
      </c>
      <c r="B15" s="38" t="inlineStr">
        <is>
          <t>Noor</t>
        </is>
      </c>
      <c r="C15" s="38" t="inlineStr">
        <is>
          <t>#86 The Owl's Lantern</t>
        </is>
      </c>
      <c r="D15" s="38" t="n">
        <v>2</v>
      </c>
      <c r="E15" s="38" t="n">
        <v>1</v>
      </c>
      <c r="F15" s="38">
        <f>D15-E15</f>
        <v/>
      </c>
      <c r="G15" s="38">
        <f>IF(E15&gt;=5,"Check","")</f>
        <v/>
      </c>
    </row>
    <row r="16">
      <c r="A16" s="38" t="n">
        <v>21</v>
      </c>
      <c r="B16" s="38" t="inlineStr">
        <is>
          <t>Dottie</t>
        </is>
      </c>
      <c r="C16" s="38" t="inlineStr">
        <is>
          <t>#166 The Pocket-Sized Hearth</t>
        </is>
      </c>
      <c r="D16" s="38" t="n">
        <v>2</v>
      </c>
      <c r="E16" s="38" t="n">
        <v>0</v>
      </c>
      <c r="F16" s="38">
        <f>D16-E16</f>
        <v/>
      </c>
      <c r="G16" s="38">
        <f>IF(E16&gt;=5,"Check","")</f>
        <v/>
      </c>
    </row>
    <row r="17">
      <c r="A17" s="38" t="n">
        <v>21</v>
      </c>
      <c r="B17" s="38" t="inlineStr">
        <is>
          <t>Hester</t>
        </is>
      </c>
      <c r="C17" s="38" t="inlineStr">
        <is>
          <t>#135 The Green Comet</t>
        </is>
      </c>
      <c r="D17" s="38" t="n">
        <v>6</v>
      </c>
      <c r="E17" s="38" t="n">
        <v>2</v>
      </c>
      <c r="F17" s="38">
        <f>D17-E17</f>
        <v/>
      </c>
      <c r="G17" s="38">
        <f>IF(E17&gt;=5,"Check","")</f>
        <v/>
      </c>
    </row>
    <row r="18">
      <c r="A18" s="38" t="n">
        <v>21</v>
      </c>
      <c r="B18" s="38" t="inlineStr">
        <is>
          <t>Rosalind</t>
        </is>
      </c>
      <c r="C18" s="38" t="inlineStr">
        <is>
          <t>#155 The Blanket Fort Blessing</t>
        </is>
      </c>
      <c r="D18" s="38" t="n">
        <v>2</v>
      </c>
      <c r="E18" s="38" t="n">
        <v>0</v>
      </c>
      <c r="F18" s="38">
        <f>D18-E18</f>
        <v/>
      </c>
      <c r="G18" s="38">
        <f>IF(E18&gt;=5,"Check","")</f>
        <v/>
      </c>
    </row>
    <row r="19">
      <c r="A19" s="38" t="n">
        <v>24</v>
      </c>
      <c r="B19" s="38" t="inlineStr">
        <is>
          <t>Morwenna</t>
        </is>
      </c>
      <c r="C19" s="38" t="inlineStr">
        <is>
          <t>#124 The Shadowed Halo</t>
        </is>
      </c>
      <c r="D19" s="38" t="n">
        <v>6</v>
      </c>
      <c r="E19" s="38" t="n">
        <v>1</v>
      </c>
      <c r="F19" s="38">
        <f>D19-E19</f>
        <v/>
      </c>
      <c r="G19" s="38">
        <f>IF(E19&gt;=5,"Check","")</f>
        <v/>
      </c>
    </row>
    <row r="20">
      <c r="A20" s="38" t="n">
        <v>25</v>
      </c>
      <c r="B20" s="38" t="inlineStr">
        <is>
          <t>Morwenna</t>
        </is>
      </c>
      <c r="C20" s="38" t="inlineStr">
        <is>
          <t>#145 The Tidal Heart</t>
        </is>
      </c>
      <c r="D20" s="38" t="n">
        <v>4</v>
      </c>
      <c r="E20" s="38" t="n">
        <v>3</v>
      </c>
      <c r="F20" s="38">
        <f>D20-E20</f>
        <v/>
      </c>
      <c r="G20" s="38">
        <f>IF(E20&gt;=5,"Check","")</f>
        <v/>
      </c>
    </row>
    <row r="21">
      <c r="A21" s="38" t="n">
        <v>26</v>
      </c>
      <c r="B21" s="38" t="inlineStr">
        <is>
          <t>Dottie</t>
        </is>
      </c>
      <c r="C21" s="38" t="inlineStr">
        <is>
          <t>#235 The Sweetness Permission</t>
        </is>
      </c>
      <c r="D21" s="38" t="n">
        <v>1</v>
      </c>
      <c r="E21" s="38" t="n">
        <v>1</v>
      </c>
      <c r="F21" s="38">
        <f>D21-E21</f>
        <v/>
      </c>
      <c r="G21" s="38">
        <f>IF(E21&gt;=5,"Check","")</f>
        <v/>
      </c>
    </row>
    <row r="22">
      <c r="A22" s="38" t="n">
        <v>26</v>
      </c>
      <c r="B22" s="38" t="inlineStr">
        <is>
          <t>Goldie</t>
        </is>
      </c>
      <c r="C22" s="38" t="inlineStr">
        <is>
          <t>#219 The Hello Spell</t>
        </is>
      </c>
      <c r="D22" s="38" t="n">
        <v>4</v>
      </c>
      <c r="E22" s="38" t="n">
        <v>1</v>
      </c>
      <c r="F22" s="38">
        <f>D22-E22</f>
        <v/>
      </c>
      <c r="G22" s="38">
        <f>IF(E22&gt;=5,"Check","")</f>
        <v/>
      </c>
    </row>
    <row r="23">
      <c r="A23" s="38" t="n">
        <v>26</v>
      </c>
      <c r="B23" s="38" t="inlineStr">
        <is>
          <t>Sam</t>
        </is>
      </c>
      <c r="C23" s="38" t="inlineStr">
        <is>
          <t>#221 The Soundtrack Summoner</t>
        </is>
      </c>
      <c r="D23" s="38" t="n">
        <v>1</v>
      </c>
      <c r="E23" s="38" t="n">
        <v>0</v>
      </c>
      <c r="F23" s="38">
        <f>D23-E23</f>
        <v/>
      </c>
      <c r="G23" s="38">
        <f>IF(E23&gt;=5,"Check","")</f>
        <v/>
      </c>
    </row>
    <row r="24">
      <c r="A24" s="38" t="n">
        <v>27</v>
      </c>
      <c r="B24" s="38" t="inlineStr">
        <is>
          <t>Felix</t>
        </is>
      </c>
      <c r="C24" s="38" t="inlineStr">
        <is>
          <t>#34 The Crowned Path</t>
        </is>
      </c>
      <c r="D24" s="38" t="n">
        <v>5</v>
      </c>
      <c r="E24" s="38" t="n">
        <v>3</v>
      </c>
      <c r="F24" s="38">
        <f>D24-E24</f>
        <v/>
      </c>
      <c r="G24" s="38">
        <f>IF(E24&gt;=5,"Check","")</f>
        <v/>
      </c>
    </row>
    <row r="25">
      <c r="A25" s="38" t="n">
        <v>28</v>
      </c>
      <c r="B25" s="38" t="inlineStr">
        <is>
          <t>Edmund</t>
        </is>
      </c>
      <c r="C25" s="38" t="inlineStr">
        <is>
          <t>#208 The Rain-Rooted Heart</t>
        </is>
      </c>
      <c r="D25" s="38" t="n">
        <v>5</v>
      </c>
      <c r="E25" s="38" t="n">
        <v>1</v>
      </c>
      <c r="F25" s="38">
        <f>D25-E25</f>
        <v/>
      </c>
      <c r="G25" s="38">
        <f>IF(E25&gt;=5,"Check","")</f>
        <v/>
      </c>
    </row>
    <row r="26">
      <c r="A26" s="38" t="n">
        <v>28</v>
      </c>
      <c r="B26" s="38" t="inlineStr">
        <is>
          <t>Ivy</t>
        </is>
      </c>
      <c r="C26" s="38" t="inlineStr">
        <is>
          <t>#218 The Outfit Oracle</t>
        </is>
      </c>
      <c r="D26" s="38" t="n">
        <v>3</v>
      </c>
      <c r="E26" s="38" t="n">
        <v>2</v>
      </c>
      <c r="F26" s="38">
        <f>D26-E26</f>
        <v/>
      </c>
      <c r="G26" s="38">
        <f>IF(E26&gt;=5,"Check","")</f>
        <v/>
      </c>
    </row>
    <row r="27">
      <c r="A27" s="38" t="n">
        <v>28</v>
      </c>
      <c r="B27" s="38" t="inlineStr">
        <is>
          <t>Edmund</t>
        </is>
      </c>
      <c r="C27" s="38" t="inlineStr">
        <is>
          <t>#69 Company of the Moon</t>
        </is>
      </c>
      <c r="D27" s="38" t="n">
        <v>4</v>
      </c>
      <c r="E27" s="38" t="n">
        <v>1</v>
      </c>
      <c r="F27" s="38">
        <f>D27-E27</f>
        <v/>
      </c>
      <c r="G27" s="38">
        <f>IF(E27&gt;=5,"Check","")</f>
        <v/>
      </c>
    </row>
    <row r="28">
      <c r="A28" s="38" t="n">
        <v>28</v>
      </c>
      <c r="B28" s="38" t="inlineStr">
        <is>
          <t>Goldie</t>
        </is>
      </c>
      <c r="C28" s="38" t="inlineStr">
        <is>
          <t>#7 The Blushing Star</t>
        </is>
      </c>
      <c r="D28" s="38" t="n">
        <v>4</v>
      </c>
      <c r="E28" s="38" t="n">
        <v>1</v>
      </c>
      <c r="F28" s="38">
        <f>D28-E28</f>
        <v/>
      </c>
      <c r="G28" s="38">
        <f>IF(E28&gt;=5,"Check","")</f>
        <v/>
      </c>
    </row>
    <row r="29">
      <c r="A29" s="38" t="n">
        <v>29</v>
      </c>
      <c r="B29" s="38" t="inlineStr">
        <is>
          <t>Hester</t>
        </is>
      </c>
      <c r="C29" s="38" t="inlineStr">
        <is>
          <t>#150 The Promise of Blue Hour</t>
        </is>
      </c>
      <c r="D29" s="38" t="n">
        <v>3</v>
      </c>
      <c r="E29" s="38" t="n">
        <v>0</v>
      </c>
      <c r="F29" s="38">
        <f>D29-E29</f>
        <v/>
      </c>
      <c r="G29" s="38">
        <f>IF(E29&gt;=5,"Check","")</f>
        <v/>
      </c>
    </row>
    <row r="30">
      <c r="A30" s="38" t="n">
        <v>30</v>
      </c>
      <c r="B30" s="38" t="inlineStr">
        <is>
          <t>Morwenna</t>
        </is>
      </c>
      <c r="C30" s="38" t="inlineStr">
        <is>
          <t>#113 The Little Moon Temple</t>
        </is>
      </c>
      <c r="D30" s="38" t="n">
        <v>2</v>
      </c>
      <c r="E30" s="38" t="n">
        <v>0</v>
      </c>
      <c r="F30" s="38">
        <f>D30-E30</f>
        <v/>
      </c>
      <c r="G30" s="38">
        <f>IF(E30&gt;=5,"Check","")</f>
        <v/>
      </c>
    </row>
    <row r="31">
      <c r="A31" s="38" t="n">
        <v>30</v>
      </c>
      <c r="B31" s="38" t="inlineStr">
        <is>
          <t>Rosalind</t>
        </is>
      </c>
      <c r="C31" s="38" t="inlineStr">
        <is>
          <t>#171 The Pillow Fort Moon</t>
        </is>
      </c>
      <c r="D31" s="38" t="n">
        <v>2</v>
      </c>
      <c r="E31" s="38" t="n">
        <v>0</v>
      </c>
      <c r="F31" s="38">
        <f>D31-E31</f>
        <v/>
      </c>
      <c r="G31" s="38">
        <f>IF(E31&gt;=5,"Check","")</f>
        <v/>
      </c>
    </row>
    <row r="32">
      <c r="A32" s="38" t="n">
        <v>31</v>
      </c>
      <c r="B32" s="38" t="inlineStr">
        <is>
          <t>Noor</t>
        </is>
      </c>
      <c r="C32" s="38" t="inlineStr">
        <is>
          <t>#64 The Open Lantern</t>
        </is>
      </c>
      <c r="D32" s="38" t="n">
        <v>0</v>
      </c>
      <c r="E32" s="38" t="n">
        <v>0</v>
      </c>
      <c r="F32" s="38">
        <f>D32-E32</f>
        <v/>
      </c>
      <c r="G32" s="38">
        <f>IF(E32&gt;=5,"Check","")</f>
        <v/>
      </c>
    </row>
    <row r="33">
      <c r="A33" s="38" t="n">
        <v>32</v>
      </c>
      <c r="B33" s="38" t="inlineStr">
        <is>
          <t>Ivy</t>
        </is>
      </c>
      <c r="C33" s="38" t="inlineStr">
        <is>
          <t>#20 The Unclouded Eye</t>
        </is>
      </c>
      <c r="D33" s="38" t="n">
        <v>3</v>
      </c>
      <c r="E33" s="38" t="n">
        <v>2</v>
      </c>
      <c r="F33" s="38">
        <f>D33-E33</f>
        <v/>
      </c>
      <c r="G33" s="38">
        <f>IF(E33&gt;=5,"Check","")</f>
        <v/>
      </c>
    </row>
    <row r="34">
      <c r="A34" s="38" t="n">
        <v>32</v>
      </c>
      <c r="B34" s="38" t="inlineStr">
        <is>
          <t>Sam</t>
        </is>
      </c>
      <c r="C34" s="38" t="inlineStr">
        <is>
          <t>#232 The Critical-Hit Charm</t>
        </is>
      </c>
      <c r="D34" s="38" t="n">
        <v>4</v>
      </c>
      <c r="E34" s="38" t="n">
        <v>2</v>
      </c>
      <c r="F34" s="38">
        <f>D34-E34</f>
        <v/>
      </c>
      <c r="G34" s="38">
        <f>IF(E34&gt;=5,"Check","")</f>
        <v/>
      </c>
    </row>
    <row r="35">
      <c r="A35" s="38" t="n">
        <v>34</v>
      </c>
      <c r="B35" s="38" t="inlineStr">
        <is>
          <t>Dottie</t>
        </is>
      </c>
      <c r="C35" s="38" t="inlineStr">
        <is>
          <t>#159 Rain on the Windowsill</t>
        </is>
      </c>
      <c r="D35" s="38" t="n">
        <v>1</v>
      </c>
      <c r="E35" s="38" t="n">
        <v>0</v>
      </c>
      <c r="F35" s="38">
        <f>D35-E35</f>
        <v/>
      </c>
      <c r="G35" s="38">
        <f>IF(E35&gt;=5,"Check","")</f>
        <v/>
      </c>
    </row>
    <row r="36">
      <c r="A36" s="38" t="n">
        <v>35</v>
      </c>
      <c r="B36" s="38" t="inlineStr">
        <is>
          <t>Edmund</t>
        </is>
      </c>
      <c r="C36" s="38" t="inlineStr">
        <is>
          <t>#98 The Soft Return</t>
        </is>
      </c>
      <c r="D36" s="38" t="n">
        <v>1</v>
      </c>
      <c r="E36" s="38" t="n">
        <v>1</v>
      </c>
      <c r="F36" s="38">
        <f>D36-E36</f>
        <v/>
      </c>
      <c r="G36" s="38">
        <f>IF(E36&gt;=5,"Check","")</f>
        <v/>
      </c>
    </row>
    <row r="37">
      <c r="A37" s="38" t="n">
        <v>36</v>
      </c>
      <c r="B37" s="38" t="inlineStr">
        <is>
          <t>Morwenna</t>
        </is>
      </c>
      <c r="C37" s="38" t="inlineStr">
        <is>
          <t>#16 The Iron Moon</t>
        </is>
      </c>
      <c r="D37" s="38" t="n">
        <v>4</v>
      </c>
      <c r="E37" s="38" t="n">
        <v>1</v>
      </c>
      <c r="F37" s="38">
        <f>D37-E37</f>
        <v/>
      </c>
      <c r="G37" s="38">
        <f>IF(E37&gt;=5,"Check","")</f>
        <v/>
      </c>
    </row>
    <row r="38">
      <c r="A38" s="38" t="n">
        <v>37</v>
      </c>
      <c r="B38" s="38" t="inlineStr">
        <is>
          <t>Felix</t>
        </is>
      </c>
      <c r="C38" s="38" t="inlineStr">
        <is>
          <t>#163 The Unhurried Hour</t>
        </is>
      </c>
      <c r="D38" s="38" t="n">
        <v>0</v>
      </c>
      <c r="E38" s="38" t="n">
        <v>0</v>
      </c>
      <c r="F38" s="38">
        <f>D38-E38</f>
        <v/>
      </c>
      <c r="G38" s="38">
        <f>IF(E38&gt;=5,"Check","")</f>
        <v/>
      </c>
    </row>
    <row r="39">
      <c r="A39" s="38" t="n">
        <v>38</v>
      </c>
      <c r="B39" s="38" t="inlineStr">
        <is>
          <t>Morwenna</t>
        </is>
      </c>
      <c r="C39" s="38" t="inlineStr">
        <is>
          <t>#26 Sanctuary in Blue</t>
        </is>
      </c>
      <c r="D39" s="38" t="n">
        <v>2</v>
      </c>
      <c r="E39" s="38" t="n">
        <v>1</v>
      </c>
      <c r="F39" s="38">
        <f>D39-E39</f>
        <v/>
      </c>
      <c r="G39" s="38">
        <f>IF(E39&gt;=5,"Check","")</f>
        <v/>
      </c>
    </row>
    <row r="40">
      <c r="A40" s="38" t="n">
        <v>39</v>
      </c>
      <c r="B40" s="38" t="inlineStr">
        <is>
          <t>Rosalind</t>
        </is>
      </c>
      <c r="C40" s="38" t="inlineStr">
        <is>
          <t>#173 One Tiny Task at a Time</t>
        </is>
      </c>
      <c r="D40" s="38" t="n">
        <v>2</v>
      </c>
      <c r="E40" s="38" t="n">
        <v>1</v>
      </c>
      <c r="F40" s="38">
        <f>D40-E40</f>
        <v/>
      </c>
      <c r="G40" s="38">
        <f>IF(E40&gt;=5,"Check","")</f>
        <v/>
      </c>
    </row>
    <row r="41">
      <c r="A41" s="38" t="n">
        <v>39</v>
      </c>
      <c r="B41" s="38" t="inlineStr">
        <is>
          <t>Felix</t>
        </is>
      </c>
      <c r="C41" s="38" t="inlineStr">
        <is>
          <t>#182 The Door You Know</t>
        </is>
      </c>
      <c r="D41" s="38" t="n">
        <v>1</v>
      </c>
      <c r="E41" s="38" t="n">
        <v>1</v>
      </c>
      <c r="F41" s="38">
        <f>D41-E41</f>
        <v/>
      </c>
      <c r="G41" s="38">
        <f>IF(E41&gt;=5,"Check","")</f>
        <v/>
      </c>
    </row>
    <row r="42">
      <c r="A42" s="38" t="n">
        <v>39</v>
      </c>
      <c r="B42" s="38" t="inlineStr">
        <is>
          <t>Hester</t>
        </is>
      </c>
      <c r="C42" s="38" t="inlineStr">
        <is>
          <t>#6 Venus in Bloom</t>
        </is>
      </c>
      <c r="D42" s="38" t="n">
        <v>4</v>
      </c>
      <c r="E42" s="38" t="n">
        <v>0</v>
      </c>
      <c r="F42" s="38">
        <f>D42-E42</f>
        <v/>
      </c>
      <c r="G42" s="38">
        <f>IF(E42&gt;=5,"Check","")</f>
        <v/>
      </c>
    </row>
    <row r="43">
      <c r="A43" s="38" t="n">
        <v>41</v>
      </c>
      <c r="B43" s="38" t="inlineStr">
        <is>
          <t>Dottie</t>
        </is>
      </c>
      <c r="C43" s="38" t="inlineStr">
        <is>
          <t>#154 The Silver Shopping Star</t>
        </is>
      </c>
      <c r="D43" s="38" t="n">
        <v>3</v>
      </c>
      <c r="E43" s="38" t="n">
        <v>1</v>
      </c>
      <c r="F43" s="38">
        <f>D43-E43</f>
        <v/>
      </c>
      <c r="G43" s="38">
        <f>IF(E43&gt;=5,"Check","")</f>
        <v/>
      </c>
    </row>
    <row r="44">
      <c r="A44" s="38" t="n">
        <v>42</v>
      </c>
      <c r="B44" s="38" t="inlineStr">
        <is>
          <t>Goldie</t>
        </is>
      </c>
      <c r="C44" s="38" t="inlineStr">
        <is>
          <t>#12 The Lover's Mirror</t>
        </is>
      </c>
      <c r="D44" s="38" t="n">
        <v>2</v>
      </c>
      <c r="E44" s="38" t="n">
        <v>0</v>
      </c>
      <c r="F44" s="38">
        <f>D44-E44</f>
        <v/>
      </c>
      <c r="G44" s="38">
        <f>IF(E44&gt;=5,"Check","")</f>
        <v/>
      </c>
    </row>
    <row r="45">
      <c r="A45" s="38" t="n">
        <v>42</v>
      </c>
      <c r="B45" s="38" t="inlineStr">
        <is>
          <t>Morwenna</t>
        </is>
      </c>
      <c r="C45" s="38" t="inlineStr">
        <is>
          <t>#140 The Moonlit Appointment</t>
        </is>
      </c>
      <c r="D45" s="38" t="n">
        <v>0</v>
      </c>
      <c r="E45" s="38" t="n">
        <v>0</v>
      </c>
      <c r="F45" s="38">
        <f>D45-E45</f>
        <v/>
      </c>
      <c r="G45" s="38">
        <f>IF(E45&gt;=5,"Check","")</f>
        <v/>
      </c>
    </row>
    <row r="46">
      <c r="A46" s="38" t="n">
        <v>42</v>
      </c>
      <c r="B46" s="38" t="inlineStr">
        <is>
          <t>Goldie</t>
        </is>
      </c>
      <c r="C46" s="38" t="inlineStr">
        <is>
          <t>#238 The Personal Fan Club</t>
        </is>
      </c>
      <c r="D46" s="38" t="n">
        <v>1</v>
      </c>
      <c r="E46" s="38" t="n">
        <v>0</v>
      </c>
      <c r="F46" s="38">
        <f>D46-E46</f>
        <v/>
      </c>
      <c r="G46" s="38">
        <f>IF(E46&gt;=5,"Check","")</f>
        <v/>
      </c>
    </row>
    <row r="47">
      <c r="A47" s="38" t="n">
        <v>43</v>
      </c>
      <c r="B47" s="38" t="inlineStr">
        <is>
          <t>Noor</t>
        </is>
      </c>
      <c r="C47" s="38" t="inlineStr">
        <is>
          <t>#89 Done Is Enchanted</t>
        </is>
      </c>
      <c r="D47" s="38" t="n">
        <v>2</v>
      </c>
      <c r="E47" s="38" t="n">
        <v>0</v>
      </c>
      <c r="F47" s="38">
        <f>D47-E47</f>
        <v/>
      </c>
      <c r="G47" s="38">
        <f>IF(E47&gt;=5,"Check","")</f>
        <v/>
      </c>
    </row>
    <row r="48">
      <c r="A48" s="38" t="n">
        <v>46</v>
      </c>
      <c r="B48" s="38" t="inlineStr">
        <is>
          <t>Sam</t>
        </is>
      </c>
      <c r="C48" s="38" t="inlineStr">
        <is>
          <t>#76 The Muse Unlocked</t>
        </is>
      </c>
      <c r="D48" s="38" t="n">
        <v>0</v>
      </c>
      <c r="E48" s="38" t="n">
        <v>0</v>
      </c>
      <c r="F48" s="38">
        <f>D48-E48</f>
        <v/>
      </c>
      <c r="G48" s="38">
        <f>IF(E48&gt;=5,"Check","")</f>
        <v/>
      </c>
    </row>
    <row r="49">
      <c r="A49" s="38" t="n">
        <v>46</v>
      </c>
      <c r="B49" s="38" t="inlineStr">
        <is>
          <t>Noor</t>
        </is>
      </c>
      <c r="C49" s="38" t="inlineStr">
        <is>
          <t>#77 Brainstorm Stardust</t>
        </is>
      </c>
      <c r="D49" s="38" t="n">
        <v>3</v>
      </c>
      <c r="E49" s="38" t="n">
        <v>2</v>
      </c>
      <c r="F49" s="38">
        <f>D49-E49</f>
        <v/>
      </c>
      <c r="G49" s="38">
        <f>IF(E49&gt;=5,"Check","")</f>
        <v/>
      </c>
    </row>
    <row r="50">
      <c r="A50" s="38" t="n">
        <v>47</v>
      </c>
      <c r="B50" s="38" t="inlineStr">
        <is>
          <t>Noor</t>
        </is>
      </c>
      <c r="C50" s="38" t="inlineStr">
        <is>
          <t>#82 The Clear Quartz Hour</t>
        </is>
      </c>
      <c r="D50" s="38" t="n">
        <v>1</v>
      </c>
      <c r="E50" s="38" t="n">
        <v>0</v>
      </c>
      <c r="F50" s="38">
        <f>D50-E50</f>
        <v/>
      </c>
      <c r="G50" s="38">
        <f>IF(E50&gt;=5,"Check","")</f>
        <v/>
      </c>
    </row>
    <row r="51">
      <c r="A51" s="38" t="n">
        <v>47</v>
      </c>
      <c r="B51" s="38" t="inlineStr">
        <is>
          <t>Hester</t>
        </is>
      </c>
      <c r="C51" s="38" t="inlineStr">
        <is>
          <t>#137 Solstice Honey</t>
        </is>
      </c>
      <c r="D51" s="38" t="n">
        <v>4</v>
      </c>
      <c r="E51" s="38" t="n">
        <v>1</v>
      </c>
      <c r="F51" s="38">
        <f>D51-E51</f>
        <v/>
      </c>
      <c r="G51" s="38">
        <f>IF(E51&gt;=5,"Check","")</f>
        <v/>
      </c>
    </row>
    <row r="52">
      <c r="A52" s="38" t="n">
        <v>47</v>
      </c>
      <c r="B52" s="38" t="inlineStr">
        <is>
          <t>Dottie</t>
        </is>
      </c>
      <c r="C52" s="38" t="inlineStr">
        <is>
          <t>#75 The Honeybee Feast</t>
        </is>
      </c>
      <c r="D52" s="38" t="n">
        <v>2</v>
      </c>
      <c r="E52" s="38" t="n">
        <v>2</v>
      </c>
      <c r="F52" s="38">
        <f>D52-E52</f>
        <v/>
      </c>
      <c r="G52" s="38">
        <f>IF(E52&gt;=5,"Check","")</f>
        <v/>
      </c>
    </row>
    <row r="53">
      <c r="A53" s="38" t="n">
        <v>47</v>
      </c>
      <c r="B53" s="38" t="inlineStr">
        <is>
          <t>Sam</t>
        </is>
      </c>
      <c r="C53" s="38" t="inlineStr">
        <is>
          <t>#223 The Rhythm of Doing</t>
        </is>
      </c>
      <c r="D53" s="38" t="n">
        <v>0</v>
      </c>
      <c r="E53" s="38" t="n">
        <v>0</v>
      </c>
      <c r="F53" s="38">
        <f>D53-E53</f>
        <v/>
      </c>
      <c r="G53" s="38">
        <f>IF(E53&gt;=5,"Check","")</f>
        <v/>
      </c>
    </row>
    <row r="54">
      <c r="A54" s="38" t="n">
        <v>48</v>
      </c>
      <c r="B54" s="38" t="inlineStr">
        <is>
          <t>Goldie</t>
        </is>
      </c>
      <c r="C54" s="38" t="inlineStr">
        <is>
          <t>#11 Strawberry Moon</t>
        </is>
      </c>
      <c r="D54" s="38" t="n">
        <v>2</v>
      </c>
      <c r="E54" s="38" t="n">
        <v>2</v>
      </c>
      <c r="F54" s="38">
        <f>D54-E54</f>
        <v/>
      </c>
      <c r="G54" s="38">
        <f>IF(E54&gt;=5,"Check","")</f>
        <v/>
      </c>
    </row>
    <row r="55">
      <c r="A55" s="38" t="n">
        <v>48</v>
      </c>
      <c r="B55" s="38" t="inlineStr">
        <is>
          <t>Morwenna</t>
        </is>
      </c>
      <c r="C55" s="38" t="inlineStr">
        <is>
          <t>#60 A Body Made of Stars</t>
        </is>
      </c>
      <c r="D55" s="38" t="n">
        <v>5</v>
      </c>
      <c r="E55" s="38" t="n">
        <v>0</v>
      </c>
      <c r="F55" s="38">
        <f>D55-E55</f>
        <v/>
      </c>
      <c r="G55" s="38">
        <f>IF(E55&gt;=5,"Check","")</f>
        <v/>
      </c>
    </row>
    <row r="56">
      <c r="A56" s="38" t="n">
        <v>49</v>
      </c>
      <c r="B56" s="38" t="inlineStr">
        <is>
          <t>Ivy</t>
        </is>
      </c>
      <c r="C56" s="38" t="inlineStr">
        <is>
          <t>#53 The Enchanted Wardrobe</t>
        </is>
      </c>
      <c r="D56" s="38" t="n">
        <v>2</v>
      </c>
      <c r="E56" s="38" t="n">
        <v>1</v>
      </c>
      <c r="F56" s="38">
        <f>D56-E56</f>
        <v/>
      </c>
      <c r="G56" s="38">
        <f>IF(E56&gt;=5,"Check","")</f>
        <v/>
      </c>
    </row>
    <row r="57">
      <c r="A57" s="38" t="n">
        <v>50</v>
      </c>
      <c r="B57" s="38" t="inlineStr">
        <is>
          <t>Noor</t>
        </is>
      </c>
      <c r="C57" s="38" t="inlineStr">
        <is>
          <t>#189 The Cracked Porcelain Crown</t>
        </is>
      </c>
      <c r="D57" s="38" t="n">
        <v>0</v>
      </c>
      <c r="E57" s="38" t="n">
        <v>0</v>
      </c>
      <c r="F57" s="38">
        <f>D57-E57</f>
        <v/>
      </c>
      <c r="G57" s="38">
        <f>IF(E57&gt;=5,"Check","")</f>
        <v/>
      </c>
    </row>
    <row r="58">
      <c r="A58" s="38" t="n">
        <v>51</v>
      </c>
      <c r="B58" s="38" t="inlineStr">
        <is>
          <t>Felix</t>
        </is>
      </c>
      <c r="C58" s="38" t="inlineStr">
        <is>
          <t>#87 The Fool's Golden Star</t>
        </is>
      </c>
      <c r="D58" s="38" t="n">
        <v>3</v>
      </c>
      <c r="E58" s="38" t="n">
        <v>2</v>
      </c>
      <c r="F58" s="38">
        <f>D58-E58</f>
        <v/>
      </c>
      <c r="G58" s="38">
        <f>IF(E58&gt;=5,"Check","")</f>
        <v/>
      </c>
    </row>
    <row r="59">
      <c r="A59" s="38" t="n">
        <v>51</v>
      </c>
      <c r="B59" s="38" t="inlineStr">
        <is>
          <t>Edmund</t>
        </is>
      </c>
      <c r="C59" s="38" t="inlineStr">
        <is>
          <t>#156 The Supper of Small Wonders</t>
        </is>
      </c>
      <c r="D59" s="38" t="n">
        <v>0</v>
      </c>
      <c r="E59" s="38" t="n">
        <v>0</v>
      </c>
      <c r="F59" s="38">
        <f>D59-E59</f>
        <v/>
      </c>
      <c r="G59" s="38">
        <f>IF(E59&gt;=5,"Check","")</f>
        <v/>
      </c>
    </row>
    <row r="60">
      <c r="A60" s="38" t="n">
        <v>52</v>
      </c>
      <c r="B60" s="38" t="inlineStr">
        <is>
          <t>Dottie</t>
        </is>
      </c>
      <c r="C60" s="38" t="inlineStr">
        <is>
          <t>#227 The Cozy-Cute Conjuring</t>
        </is>
      </c>
      <c r="D60" s="38" t="n">
        <v>4</v>
      </c>
      <c r="E60" s="38" t="n">
        <v>4</v>
      </c>
      <c r="F60" s="38">
        <f>D60-E60</f>
        <v/>
      </c>
      <c r="G60" s="38">
        <f>IF(E60&gt;=5,"Check","")</f>
        <v/>
      </c>
    </row>
    <row r="61">
      <c r="A61" s="38" t="n">
        <v>54</v>
      </c>
      <c r="B61" s="38" t="inlineStr">
        <is>
          <t>Morwenna</t>
        </is>
      </c>
      <c r="C61" s="38" t="inlineStr">
        <is>
          <t>#125 A Thousand Open Eyes</t>
        </is>
      </c>
      <c r="D61" s="38" t="n">
        <v>0</v>
      </c>
      <c r="E61" s="38" t="n">
        <v>0</v>
      </c>
      <c r="F61" s="38">
        <f>D61-E61</f>
        <v/>
      </c>
      <c r="G61" s="38">
        <f>IF(E61&gt;=5,"Check","")</f>
        <v/>
      </c>
    </row>
    <row r="62">
      <c r="A62" s="38" t="n">
        <v>55</v>
      </c>
      <c r="B62" s="38" t="inlineStr">
        <is>
          <t>Felix</t>
        </is>
      </c>
      <c r="C62" s="38" t="inlineStr">
        <is>
          <t>#33 Key to the Golden Hour</t>
        </is>
      </c>
      <c r="D62" s="38" t="n">
        <v>3</v>
      </c>
      <c r="E62" s="38" t="n">
        <v>0</v>
      </c>
      <c r="F62" s="38">
        <f>D62-E62</f>
        <v/>
      </c>
      <c r="G62" s="38">
        <f>IF(E62&gt;=5,"Check","")</f>
        <v/>
      </c>
    </row>
    <row r="63">
      <c r="A63" s="38" t="n">
        <v>55</v>
      </c>
      <c r="B63" s="38" t="inlineStr">
        <is>
          <t>Ivy</t>
        </is>
      </c>
      <c r="C63" s="38" t="inlineStr">
        <is>
          <t>#188 The Green-Eyed Lantern</t>
        </is>
      </c>
      <c r="D63" s="38" t="n">
        <v>1</v>
      </c>
      <c r="E63" s="38" t="n">
        <v>0</v>
      </c>
      <c r="F63" s="38">
        <f>D63-E63</f>
        <v/>
      </c>
      <c r="G63" s="38">
        <f>IF(E63&gt;=5,"Check","")</f>
        <v/>
      </c>
    </row>
    <row r="64">
      <c r="A64" s="38" t="n">
        <v>56</v>
      </c>
      <c r="B64" s="38" t="inlineStr">
        <is>
          <t>Hester</t>
        </is>
      </c>
      <c r="C64" s="38" t="inlineStr">
        <is>
          <t>#45 The Honeyed Hearth</t>
        </is>
      </c>
      <c r="D64" s="38" t="n">
        <v>5</v>
      </c>
      <c r="E64" s="38" t="n">
        <v>2</v>
      </c>
      <c r="F64" s="38">
        <f>D64-E64</f>
        <v/>
      </c>
      <c r="G64" s="38">
        <f>IF(E64&gt;=5,"Check","")</f>
        <v/>
      </c>
    </row>
    <row r="65">
      <c r="A65" s="38" t="n">
        <v>58</v>
      </c>
      <c r="B65" s="38" t="inlineStr">
        <is>
          <t>Rosalind</t>
        </is>
      </c>
      <c r="C65" s="38" t="inlineStr">
        <is>
          <t>#176 The Sunday Softening</t>
        </is>
      </c>
      <c r="D65" s="38" t="n">
        <v>1</v>
      </c>
      <c r="E65" s="38" t="n">
        <v>0</v>
      </c>
      <c r="F65" s="38">
        <f>D65-E65</f>
        <v/>
      </c>
      <c r="G65" s="38">
        <f>IF(E65&gt;=5,"Check","")</f>
        <v/>
      </c>
    </row>
    <row r="66">
      <c r="A66" s="38" t="n">
        <v>59</v>
      </c>
      <c r="B66" s="38" t="inlineStr">
        <is>
          <t>Sam</t>
        </is>
      </c>
      <c r="C66" s="38" t="inlineStr">
        <is>
          <t>#240 The Glitterbomb Muse</t>
        </is>
      </c>
      <c r="D66" s="38" t="n">
        <v>1</v>
      </c>
      <c r="E66" s="38" t="n">
        <v>0</v>
      </c>
      <c r="F66" s="38">
        <f>D66-E66</f>
        <v/>
      </c>
      <c r="G66" s="38">
        <f>IF(E66&gt;=5,"Check","")</f>
        <v/>
      </c>
    </row>
    <row r="67">
      <c r="A67" s="38" t="n">
        <v>60</v>
      </c>
      <c r="B67" s="38" t="inlineStr">
        <is>
          <t>Ivy</t>
        </is>
      </c>
      <c r="C67" s="38" t="inlineStr">
        <is>
          <t>#51 One of a Kind</t>
        </is>
      </c>
      <c r="D67" s="38" t="n">
        <v>4</v>
      </c>
      <c r="E67" s="38" t="n">
        <v>2</v>
      </c>
      <c r="F67" s="38">
        <f>D67-E67</f>
        <v/>
      </c>
      <c r="G67" s="38">
        <f>IF(E67&gt;=5,"Check","")</f>
        <v/>
      </c>
    </row>
    <row r="68">
      <c r="A68" s="38" t="n">
        <v>61</v>
      </c>
      <c r="B68" s="38" t="inlineStr">
        <is>
          <t>Morwenna</t>
        </is>
      </c>
      <c r="C68" s="38" t="inlineStr">
        <is>
          <t>#122 The Waning Veil</t>
        </is>
      </c>
      <c r="D68" s="38" t="n">
        <v>1</v>
      </c>
      <c r="E68" s="38" t="n">
        <v>0</v>
      </c>
      <c r="F68" s="38">
        <f>D68-E68</f>
        <v/>
      </c>
      <c r="G68" s="38">
        <f>IF(E68&gt;=5,"Check","")</f>
        <v/>
      </c>
    </row>
    <row r="69">
      <c r="A69" s="38" t="n">
        <v>61</v>
      </c>
      <c r="B69" s="38" t="inlineStr">
        <is>
          <t>Goldie</t>
        </is>
      </c>
      <c r="C69" s="38" t="inlineStr">
        <is>
          <t>#157 The Honeyed Hello</t>
        </is>
      </c>
      <c r="D69" s="38" t="n">
        <v>0</v>
      </c>
      <c r="E69" s="38" t="n">
        <v>0</v>
      </c>
      <c r="F69" s="38">
        <f>D69-E69</f>
        <v/>
      </c>
      <c r="G69" s="38">
        <f>IF(E69&gt;=5,"Check","")</f>
        <v/>
      </c>
    </row>
    <row r="70">
      <c r="A70" s="38" t="n">
        <v>62</v>
      </c>
      <c r="B70" s="38" t="inlineStr">
        <is>
          <t>Noor</t>
        </is>
      </c>
      <c r="C70" s="38" t="inlineStr">
        <is>
          <t>#206 The Clear Bell</t>
        </is>
      </c>
      <c r="D70" s="38" t="n">
        <v>0</v>
      </c>
      <c r="E70" s="38" t="n">
        <v>0</v>
      </c>
      <c r="F70" s="38">
        <f>D70-E70</f>
        <v/>
      </c>
      <c r="G70" s="38">
        <f>IF(E70&gt;=5,"Check","")</f>
        <v/>
      </c>
    </row>
    <row r="71">
      <c r="A71" s="38" t="n">
        <v>64</v>
      </c>
      <c r="B71" s="38" t="inlineStr">
        <is>
          <t>Edmund</t>
        </is>
      </c>
      <c r="C71" s="38" t="inlineStr">
        <is>
          <t>#71 The Woven Village</t>
        </is>
      </c>
      <c r="D71" s="38" t="n">
        <v>3</v>
      </c>
      <c r="E71" s="38" t="n">
        <v>0</v>
      </c>
      <c r="F71" s="38">
        <f>D71-E71</f>
        <v/>
      </c>
      <c r="G71" s="38">
        <f>IF(E71&gt;=5,"Check","")</f>
        <v/>
      </c>
    </row>
    <row r="72">
      <c r="A72" s="38" t="n">
        <v>65</v>
      </c>
      <c r="B72" s="38" t="inlineStr">
        <is>
          <t>Sam</t>
        </is>
      </c>
      <c r="C72" s="38" t="inlineStr">
        <is>
          <t>#84 The Artist's Entrance</t>
        </is>
      </c>
      <c r="D72" s="38" t="n">
        <v>1</v>
      </c>
      <c r="E72" s="38" t="n">
        <v>0</v>
      </c>
      <c r="F72" s="38">
        <f>D72-E72</f>
        <v/>
      </c>
      <c r="G72" s="38">
        <f>IF(E72&gt;=5,"Check","")</f>
        <v/>
      </c>
    </row>
    <row r="73">
      <c r="A73" s="38" t="n">
        <v>65</v>
      </c>
      <c r="B73" s="38" t="inlineStr">
        <is>
          <t>Hester</t>
        </is>
      </c>
      <c r="C73" s="38" t="inlineStr">
        <is>
          <t>#197 The Two-Sided Star</t>
        </is>
      </c>
      <c r="D73" s="38" t="n">
        <v>3</v>
      </c>
      <c r="E73" s="38" t="n">
        <v>1</v>
      </c>
      <c r="F73" s="38">
        <f>D73-E73</f>
        <v/>
      </c>
      <c r="G73" s="38">
        <f>IF(E73&gt;=5,"Check","")</f>
        <v/>
      </c>
    </row>
    <row r="74">
      <c r="A74" s="38" t="n">
        <v>65</v>
      </c>
      <c r="B74" s="38" t="inlineStr">
        <is>
          <t>Dottie</t>
        </is>
      </c>
      <c r="C74" s="38" t="inlineStr">
        <is>
          <t>#175 The Everyday Jester</t>
        </is>
      </c>
      <c r="D74" s="38" t="n">
        <v>3</v>
      </c>
      <c r="E74" s="38" t="n">
        <v>0</v>
      </c>
      <c r="F74" s="38">
        <f>D74-E74</f>
        <v/>
      </c>
      <c r="G74" s="38">
        <f>IF(E74&gt;=5,"Check","")</f>
        <v/>
      </c>
    </row>
    <row r="75">
      <c r="A75" s="38" t="n">
        <v>66</v>
      </c>
      <c r="B75" s="38" t="inlineStr">
        <is>
          <t>Goldie</t>
        </is>
      </c>
      <c r="C75" s="38" t="inlineStr">
        <is>
          <t>#8 Heartspeak</t>
        </is>
      </c>
      <c r="D75" s="38" t="n">
        <v>3</v>
      </c>
      <c r="E75" s="38" t="n">
        <v>0</v>
      </c>
      <c r="F75" s="38">
        <f>D75-E75</f>
        <v/>
      </c>
      <c r="G75" s="38">
        <f>IF(E75&gt;=5,"Check","")</f>
        <v/>
      </c>
    </row>
    <row r="76">
      <c r="A76" s="38" t="n">
        <v>66</v>
      </c>
      <c r="B76" s="38" t="inlineStr">
        <is>
          <t>Morwenna</t>
        </is>
      </c>
      <c r="C76" s="38" t="inlineStr">
        <is>
          <t>#139 The North Star Within</t>
        </is>
      </c>
      <c r="D76" s="38" t="n">
        <v>1</v>
      </c>
      <c r="E76" s="38" t="n">
        <v>0</v>
      </c>
      <c r="F76" s="38">
        <f>D76-E76</f>
        <v/>
      </c>
      <c r="G76" s="38">
        <f>IF(E76&gt;=5,"Check","")</f>
        <v/>
      </c>
    </row>
    <row r="77">
      <c r="A77" s="38" t="n">
        <v>69</v>
      </c>
      <c r="B77" s="38" t="inlineStr">
        <is>
          <t>Noor</t>
        </is>
      </c>
      <c r="C77" s="38" t="inlineStr">
        <is>
          <t>#203 The First-Draft Witch</t>
        </is>
      </c>
      <c r="D77" s="38" t="n">
        <v>0</v>
      </c>
      <c r="E77" s="38" t="n">
        <v>0</v>
      </c>
      <c r="F77" s="38">
        <f>D77-E77</f>
        <v/>
      </c>
      <c r="G77" s="38">
        <f>IF(E77&gt;=5,"Check","")</f>
        <v/>
      </c>
    </row>
    <row r="78">
      <c r="A78" s="38" t="n">
        <v>70</v>
      </c>
      <c r="B78" s="38" t="inlineStr">
        <is>
          <t>Goldie</t>
        </is>
      </c>
      <c r="C78" s="38" t="inlineStr">
        <is>
          <t>#216 The Compliment Constellation</t>
        </is>
      </c>
      <c r="D78" s="38" t="n">
        <v>0</v>
      </c>
      <c r="E78" s="38" t="n">
        <v>0</v>
      </c>
      <c r="F78" s="38">
        <f>D78-E78</f>
        <v/>
      </c>
      <c r="G78" s="38">
        <f>IF(E78&gt;=5,"Check","")</f>
        <v/>
      </c>
    </row>
    <row r="79">
      <c r="A79" s="38" t="n">
        <v>70</v>
      </c>
      <c r="B79" s="38" t="inlineStr">
        <is>
          <t>Goldie</t>
        </is>
      </c>
      <c r="C79" s="38" t="inlineStr">
        <is>
          <t>#2 The Velvet Thread</t>
        </is>
      </c>
      <c r="D79" s="38" t="n">
        <v>2</v>
      </c>
      <c r="E79" s="38" t="n">
        <v>0</v>
      </c>
      <c r="F79" s="38">
        <f>D79-E79</f>
        <v/>
      </c>
      <c r="G79" s="38">
        <f>IF(E79&gt;=5,"Check","")</f>
        <v/>
      </c>
    </row>
    <row r="80">
      <c r="A80" s="38" t="n">
        <v>71</v>
      </c>
      <c r="B80" s="38" t="inlineStr">
        <is>
          <t>Dottie</t>
        </is>
      </c>
      <c r="C80" s="38" t="inlineStr">
        <is>
          <t>#42 The Golden Nest</t>
        </is>
      </c>
      <c r="D80" s="38" t="n">
        <v>1</v>
      </c>
      <c r="E80" s="38" t="n">
        <v>0</v>
      </c>
      <c r="F80" s="38">
        <f>D80-E80</f>
        <v/>
      </c>
      <c r="G80" s="38">
        <f>IF(E80&gt;=5,"Check","")</f>
        <v/>
      </c>
    </row>
    <row r="81">
      <c r="A81" s="38" t="n">
        <v>71</v>
      </c>
      <c r="B81" s="38" t="inlineStr">
        <is>
          <t>Edmund</t>
        </is>
      </c>
      <c r="C81" s="38" t="inlineStr">
        <is>
          <t>#130 The Amber Hour</t>
        </is>
      </c>
      <c r="D81" s="38" t="n">
        <v>0</v>
      </c>
      <c r="E81" s="38" t="n">
        <v>0</v>
      </c>
      <c r="F81" s="38">
        <f>D81-E81</f>
        <v/>
      </c>
      <c r="G81" s="38">
        <f>IF(E81&gt;=5,"Check","")</f>
        <v/>
      </c>
    </row>
    <row r="82">
      <c r="A82" s="38" t="n">
        <v>71</v>
      </c>
      <c r="B82" s="38" t="inlineStr">
        <is>
          <t>Dottie</t>
        </is>
      </c>
      <c r="C82" s="38" t="inlineStr">
        <is>
          <t>#234 The Pajama Moon</t>
        </is>
      </c>
      <c r="D82" s="38" t="n">
        <v>0</v>
      </c>
      <c r="E82" s="38" t="n">
        <v>0</v>
      </c>
      <c r="F82" s="38">
        <f>D82-E82</f>
        <v/>
      </c>
      <c r="G82" s="38">
        <f>IF(E82&gt;=5,"Check","")</f>
        <v/>
      </c>
    </row>
    <row r="83">
      <c r="A83" s="38" t="n">
        <v>72</v>
      </c>
      <c r="B83" s="38" t="inlineStr">
        <is>
          <t>Morwenna</t>
        </is>
      </c>
      <c r="C83" s="38" t="inlineStr">
        <is>
          <t>#138 The Copper Moon</t>
        </is>
      </c>
      <c r="D83" s="38" t="n">
        <v>2</v>
      </c>
      <c r="E83" s="38" t="n">
        <v>1</v>
      </c>
      <c r="F83" s="38">
        <f>D83-E83</f>
        <v/>
      </c>
      <c r="G83" s="38">
        <f>IF(E83&gt;=5,"Check","")</f>
        <v/>
      </c>
    </row>
    <row r="84">
      <c r="A84" s="38" t="n">
        <v>72</v>
      </c>
      <c r="B84" s="38" t="inlineStr">
        <is>
          <t>Rosalind</t>
        </is>
      </c>
      <c r="C84" s="38" t="inlineStr">
        <is>
          <t>#105 Permission to Be</t>
        </is>
      </c>
      <c r="D84" s="38" t="n">
        <v>0</v>
      </c>
      <c r="E84" s="38" t="n">
        <v>0</v>
      </c>
      <c r="F84" s="38">
        <f>D84-E84</f>
        <v/>
      </c>
      <c r="G84" s="38">
        <f>IF(E84&gt;=5,"Check","")</f>
        <v/>
      </c>
    </row>
    <row r="85">
      <c r="A85" s="38" t="n">
        <v>72</v>
      </c>
      <c r="B85" s="38" t="inlineStr">
        <is>
          <t>Felix</t>
        </is>
      </c>
      <c r="C85" s="38" t="inlineStr">
        <is>
          <t>#209 The Worth Beyond Work</t>
        </is>
      </c>
      <c r="D85" s="38" t="n">
        <v>0</v>
      </c>
      <c r="E85" s="38" t="n">
        <v>0</v>
      </c>
      <c r="F85" s="38">
        <f>D85-E85</f>
        <v/>
      </c>
      <c r="G85" s="38">
        <f>IF(E85&gt;=5,"Check","")</f>
        <v/>
      </c>
    </row>
    <row r="86">
      <c r="A86" s="38" t="n">
        <v>73</v>
      </c>
      <c r="B86" s="38" t="inlineStr">
        <is>
          <t>Ivy</t>
        </is>
      </c>
      <c r="C86" s="38" t="inlineStr">
        <is>
          <t>#54 The Only Moon</t>
        </is>
      </c>
      <c r="D86" s="38" t="n">
        <v>1</v>
      </c>
      <c r="E86" s="38" t="n">
        <v>0</v>
      </c>
      <c r="F86" s="38">
        <f>D86-E86</f>
        <v/>
      </c>
      <c r="G86" s="38">
        <f>IF(E86&gt;=5,"Check","")</f>
        <v/>
      </c>
    </row>
    <row r="87">
      <c r="A87" s="38" t="n">
        <v>74</v>
      </c>
      <c r="B87" s="38" t="inlineStr">
        <is>
          <t>Hester</t>
        </is>
      </c>
      <c r="C87" s="38" t="inlineStr">
        <is>
          <t>#100 The Unwritten Page</t>
        </is>
      </c>
      <c r="D87" s="38" t="n">
        <v>1</v>
      </c>
      <c r="E87" s="38" t="n">
        <v>0</v>
      </c>
      <c r="F87" s="38">
        <f>D87-E87</f>
        <v/>
      </c>
      <c r="G87" s="38">
        <f>IF(E87&gt;=5,"Check","")</f>
        <v/>
      </c>
    </row>
    <row r="88">
      <c r="A88" s="38" t="n">
        <v>74</v>
      </c>
      <c r="B88" s="38" t="inlineStr">
        <is>
          <t>Felix</t>
        </is>
      </c>
      <c r="C88" s="38" t="inlineStr">
        <is>
          <t>#220 The Sweet Little Detour</t>
        </is>
      </c>
      <c r="D88" s="38" t="n">
        <v>0</v>
      </c>
      <c r="E88" s="38" t="n">
        <v>0</v>
      </c>
      <c r="F88" s="38">
        <f>D88-E88</f>
        <v/>
      </c>
      <c r="G88" s="38">
        <f>IF(E88&gt;=5,"Check","")</f>
        <v/>
      </c>
    </row>
    <row r="90">
      <c r="B90" s="39" t="inlineStr">
        <is>
          <t>Orders with 5+ new parts</t>
        </is>
      </c>
      <c r="D90" s="38">
        <f>COUNTIF(D2:D88,"&gt;=5")</f>
        <v/>
      </c>
      <c r="E90" s="38">
        <f>COUNTIF(E2:E88,"&gt;=5")</f>
        <v/>
      </c>
    </row>
  </sheetData>
  <conditionalFormatting sqref="G2:G88">
    <cfRule type="expression" priority="1" dxfId="7">
      <formula>G2="Check"</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6" customWidth="1" style="18" min="1" max="1"/>
    <col width="10" customWidth="1" style="18" min="2" max="2"/>
    <col width="32" customWidth="1" style="18" min="3" max="3"/>
    <col width="36" customWidth="1" style="18" min="4" max="4"/>
    <col width="9" customWidth="1" style="18" min="5" max="5"/>
    <col width="18" customWidth="1" style="18" min="6" max="6"/>
    <col width="13" customWidth="1" style="18" min="7" max="7"/>
    <col width="32" customWidth="1" style="18" min="8" max="8"/>
    <col width="40" customWidth="1" style="18" min="9" max="9"/>
    <col width="18" customWidth="1" style="18" min="10" max="10"/>
    <col width="13" customWidth="1" style="18" min="11" max="11"/>
    <col width="32" customWidth="1" style="18" min="12" max="12"/>
    <col width="40" customWidth="1" style="18" min="13" max="13"/>
    <col width="90" customWidth="1" style="18" min="14" max="14"/>
  </cols>
  <sheetData>
    <row r="1">
      <c r="A1" s="33" t="inlineStr">
        <is>
          <t>Day</t>
        </is>
      </c>
      <c r="B1" s="33" t="inlineStr">
        <is>
          <t>Hour</t>
        </is>
      </c>
      <c r="C1" s="33" t="inlineStr">
        <is>
          <t>From</t>
        </is>
      </c>
      <c r="D1" s="33" t="inlineStr">
        <is>
          <t>Title</t>
        </is>
      </c>
      <c r="E1" s="33" t="inlineStr">
        <is>
          <t>Hints (#)</t>
        </is>
      </c>
      <c r="F1" s="33" t="inlineStr">
        <is>
          <t>Ingredient 1</t>
        </is>
      </c>
      <c r="G1" s="33" t="inlineStr">
        <is>
          <t>Keyword 1</t>
        </is>
      </c>
      <c r="H1" s="33" t="inlineStr">
        <is>
          <t>First needed 1</t>
        </is>
      </c>
      <c r="I1" s="33" t="inlineStr">
        <is>
          <t>Why it is hard 1</t>
        </is>
      </c>
      <c r="J1" s="33" t="inlineStr">
        <is>
          <t>Ingredient 2</t>
        </is>
      </c>
      <c r="K1" s="33" t="inlineStr">
        <is>
          <t>Keyword 2</t>
        </is>
      </c>
      <c r="L1" s="33" t="inlineStr">
        <is>
          <t>First needed 2</t>
        </is>
      </c>
      <c r="M1" s="33" t="inlineStr">
        <is>
          <t>Why it is hard 2</t>
        </is>
      </c>
      <c r="N1" s="33" t="inlineStr">
        <is>
          <t>Text</t>
        </is>
      </c>
    </row>
    <row r="2">
      <c r="A2" s="34" t="n">
        <v>1</v>
      </c>
      <c r="B2" s="34" t="inlineStr">
        <is>
          <t>Sunrise</t>
        </is>
      </c>
      <c r="C2" s="34" t="inlineStr">
        <is>
          <t>Mill Lane Apothecary, Wrenmoor</t>
        </is>
      </c>
      <c r="D2" s="34" t="inlineStr">
        <is>
          <t>From the apothecary on Mill Lane</t>
        </is>
      </c>
      <c r="E2" s="34" t="n">
        <v>1</v>
      </c>
      <c r="F2" s="34" t="inlineStr">
        <is>
          <t>Nettle</t>
        </is>
      </c>
      <c r="G2" s="34" t="inlineStr">
        <is>
          <t>healing</t>
        </is>
      </c>
      <c r="H2" s="34" t="inlineStr">
        <is>
          <t>Day 1 · #194 The Inner Housekeeper</t>
        </is>
      </c>
      <c r="I2" s="34" t="inlineStr">
        <is>
          <t>its entry shows no keyword; searching healing finds 3 other herbs &amp; flowers entries instead</t>
        </is>
      </c>
      <c r="J2" s="34" t="inlineStr"/>
      <c r="K2" s="34" t="inlineStr"/>
      <c r="L2" s="34" t="inlineStr"/>
      <c r="M2" s="34" t="inlineStr"/>
      <c r="N2" s="34" t="inlineStr">
        <is>
          <t>To whoever keeps the Emporium now,
Our shelves are bare of nettle, the one herb we can't do without. It stings your fingers when you pick it, and then it builds a worn-out body back up. Nothing does more for healing after a long sickness.
I drink it myself, steeped with a little milk, after a long shift behind the counter, on the days I've looked after everyone in Wrenmoor and forgotten to look after me.
Could you spare us a bundle or two? We'll pay in honey, as we always did.
Agnes, Mill Lane Apothecary, Wrenmoor</t>
        </is>
      </c>
    </row>
    <row r="3">
      <c r="A3" s="34" t="n">
        <v>5</v>
      </c>
      <c r="B3" s="34" t="inlineStr">
        <is>
          <t>Twilight</t>
        </is>
      </c>
      <c r="C3" s="34" t="inlineStr">
        <is>
          <t>The Halloway Baths</t>
        </is>
      </c>
      <c r="D3" s="34" t="inlineStr">
        <is>
          <t>From the bathhouse at Halloway</t>
        </is>
      </c>
      <c r="E3" s="34" t="n">
        <v>2</v>
      </c>
      <c r="F3" s="34" t="inlineStr">
        <is>
          <t>Epsom salt</t>
        </is>
      </c>
      <c r="G3" s="34" t="inlineStr">
        <is>
          <t>cleansing</t>
        </is>
      </c>
      <c r="H3" s="34" t="inlineStr">
        <is>
          <t>Day 9 · #161 The Fresh Linen Familiar</t>
        </is>
      </c>
      <c r="I3" s="34" t="inlineStr">
        <is>
          <t>its entry shows no keyword; searching cleansing finds 2 other pantry: salts, sugars &amp; baking entries instead</t>
        </is>
      </c>
      <c r="J3" s="34" t="inlineStr">
        <is>
          <t>Rose clay</t>
        </is>
      </c>
      <c r="K3" s="34" t="inlineStr">
        <is>
          <t>comfort</t>
        </is>
      </c>
      <c r="L3" s="34" t="inlineStr">
        <is>
          <t>Day 35 · #98 The Soft Return</t>
        </is>
      </c>
      <c r="M3" s="34" t="inlineStr">
        <is>
          <t>its entry shows only self-love; searching comfort finds 3 other pantry: salts, sugars &amp; baking entries instead</t>
        </is>
      </c>
      <c r="N3" s="34" t="inlineStr">
        <is>
          <t>To the Emporium,
Two orders, if you would. Epsom salt, the bitter white crystals that draw the ache out of tired legs. Our laundry maids grate them into the soap for the towels too; they say it makes washday a proper cleansing and the hours go quicker.
And rose clay, the soft pink mud. We press it into little cakes of soap for the old gentlemen who come in after a hard day. They say nothing gives them more comfort before bed.
We have been buying poor stuff from Marrowgate and the guests can tell.
Mr Hugo Fairweather, Manager, the Halloway Baths</t>
        </is>
      </c>
    </row>
    <row r="4">
      <c r="A4" s="34" t="n">
        <v>7</v>
      </c>
      <c r="B4" s="34" t="inlineStr">
        <is>
          <t>Noon</t>
        </is>
      </c>
      <c r="C4" s="34" t="inlineStr">
        <is>
          <t>The Honeywell Beekeepers</t>
        </is>
      </c>
      <c r="D4" s="34" t="inlineStr">
        <is>
          <t>From the beekeepers of Honeywell</t>
        </is>
      </c>
      <c r="E4" s="34" t="n">
        <v>1</v>
      </c>
      <c r="F4" s="34" t="inlineStr">
        <is>
          <t>Sweet pea</t>
        </is>
      </c>
      <c r="G4" s="34" t="inlineStr">
        <is>
          <t>friendship</t>
        </is>
      </c>
      <c r="H4" s="34" t="inlineStr">
        <is>
          <t>Day 12 · #65 Words Like Honey</t>
        </is>
      </c>
      <c r="I4" s="34" t="inlineStr">
        <is>
          <t>its entry shows no keyword; searching friendship finds 1 other herbs &amp; flowers entry instead</t>
        </is>
      </c>
      <c r="J4" s="34" t="inlineStr"/>
      <c r="K4" s="34" t="inlineStr"/>
      <c r="L4" s="34" t="inlineStr"/>
      <c r="M4" s="34" t="inlineStr"/>
      <c r="N4" s="34" t="inlineStr">
        <is>
          <t>Dear Emporium,
We grow sweet peas along the hive fence, the flower everyone sends when they mean thank you. When two neighbours here fall out and can't find the words to make it up, one of us brews a pot of tea with it and sits them down. It has kept friendship sweet on our lane for forty years.
This year the frost took it. If you have dried flowers to spare, we'll pay in comb.
Martha Hale and the Honeywell Beekeepers</t>
        </is>
      </c>
    </row>
    <row r="5">
      <c r="A5" s="34" t="n">
        <v>8</v>
      </c>
      <c r="B5" s="34" t="inlineStr">
        <is>
          <t>Sunrise</t>
        </is>
      </c>
      <c r="C5" s="34" t="inlineStr">
        <is>
          <t>St Aldric's Church, Thornbury</t>
        </is>
      </c>
      <c r="D5" s="34" t="inlineStr">
        <is>
          <t>From the churchwarden at Thornbury</t>
        </is>
      </c>
      <c r="E5" s="34" t="n">
        <v>2</v>
      </c>
      <c r="F5" s="34" t="inlineStr">
        <is>
          <t>Copal</t>
        </is>
      </c>
      <c r="G5" s="34" t="inlineStr">
        <is>
          <t>calm</t>
        </is>
      </c>
      <c r="H5" s="34" t="inlineStr">
        <is>
          <t>Day 18 · #96 The Last Candle</t>
        </is>
      </c>
      <c r="I5" s="34" t="inlineStr">
        <is>
          <t>its entry shows no keyword; searching calm finds 1 other resins &amp; incense entry instead</t>
        </is>
      </c>
      <c r="J5" s="34" t="inlineStr">
        <is>
          <t>Black pepper</t>
        </is>
      </c>
      <c r="K5" s="34" t="inlineStr">
        <is>
          <t>courage</t>
        </is>
      </c>
      <c r="L5" s="34" t="inlineStr">
        <is>
          <t>Day 11 · #50 The Scarlet Entrance</t>
        </is>
      </c>
      <c r="M5" s="34" t="inlineStr">
        <is>
          <t>its entry shows no keyword; searching courage finds 1 other spices entry instead</t>
        </is>
      </c>
      <c r="N5" s="34" t="inlineStr">
        <is>
          <t>To the Emporium,
The vicar has asked me, against my better judgement, to write. He wants copal, the pale sweet resin from overseas. One of our widowers burns a pinch of it every evening at the same hour, and says the house fills with calm, as it did when his wife was alive.
The vicar himself grinds black pepper over his eggs before every parish meeting. He says it gives him the courage to hold a room full of people who all think they know better.
Our grocer has run out of both. I trust this stays between us.
Mr Edgar Penhallow, Churchwarden, Thornbury</t>
        </is>
      </c>
    </row>
    <row r="6">
      <c r="A6" s="34" t="n">
        <v>8</v>
      </c>
      <c r="B6" s="34" t="inlineStr">
        <is>
          <t>Nightfall</t>
        </is>
      </c>
      <c r="C6" s="34" t="inlineStr">
        <is>
          <t>Cloverdale Village School</t>
        </is>
      </c>
      <c r="D6" s="34" t="inlineStr">
        <is>
          <t>From the village school in Cloverdale</t>
        </is>
      </c>
      <c r="E6" s="34" t="n">
        <v>2</v>
      </c>
      <c r="F6" s="34" t="inlineStr">
        <is>
          <t>Daisy</t>
        </is>
      </c>
      <c r="G6" s="34" t="inlineStr">
        <is>
          <t>friendship</t>
        </is>
      </c>
      <c r="H6" s="34" t="inlineStr">
        <is>
          <t>Day 12 · #68 A Thousand Little Lights</t>
        </is>
      </c>
      <c r="I6" s="34" t="inlineStr">
        <is>
          <t>its entry shows only beginnings; searching friendship finds 7 other herbs &amp; flowers entries instead</t>
        </is>
      </c>
      <c r="J6" s="34" t="inlineStr">
        <is>
          <t>Clover</t>
        </is>
      </c>
      <c r="K6" s="34" t="inlineStr">
        <is>
          <t>luck</t>
        </is>
      </c>
      <c r="L6" s="34" t="inlineStr">
        <is>
          <t>Day 20 · #31 Cloverkiss</t>
        </is>
      </c>
      <c r="M6" s="34" t="inlineStr">
        <is>
          <t>its entry shows only friendship; searching luck finds 7 other herbs &amp; flowers entries instead</t>
        </is>
      </c>
      <c r="N6" s="34" t="inlineStr">
        <is>
          <t>Dear Emporium,
The playground has turned unkind this term, and a new girl starts next week. Here the children make a daisy chain for anyone new; it is how friendship starts in Cloverdale. My predecessor even burned dried ones in the classroom when tempers ran high.
The older ones also go hunting for clover, the plain three-leaved kind. Our school cook steeps it into a cordial on sports day, for luck.
The frost has spoilt both. Have you any dried?
Miss Primrose Dell, Cloverdale Village School</t>
        </is>
      </c>
    </row>
    <row r="7">
      <c r="A7" s="34" t="n">
        <v>11</v>
      </c>
      <c r="B7" s="34" t="inlineStr">
        <is>
          <t>Nightfall</t>
        </is>
      </c>
      <c r="C7" s="34" t="inlineStr">
        <is>
          <t>The Starfall Retreat</t>
        </is>
      </c>
      <c r="D7" s="34" t="inlineStr">
        <is>
          <t>From the retreat at Starfall</t>
        </is>
      </c>
      <c r="E7" s="34" t="n">
        <v>1</v>
      </c>
      <c r="F7" s="34" t="inlineStr">
        <is>
          <t>Mint</t>
        </is>
      </c>
      <c r="G7" s="34" t="inlineStr">
        <is>
          <t>calm</t>
        </is>
      </c>
      <c r="H7" s="34" t="inlineStr">
        <is>
          <t>Day 13 · #233 The Casual Enchantment</t>
        </is>
      </c>
      <c r="I7" s="34" t="inlineStr">
        <is>
          <t>its entry shows only energy; searching calm finds 4 other herbs &amp; flowers entries instead</t>
        </is>
      </c>
      <c r="J7" s="34" t="inlineStr"/>
      <c r="K7" s="34" t="inlineStr"/>
      <c r="L7" s="34" t="inlineStr"/>
      <c r="M7" s="34" t="inlineStr"/>
      <c r="N7" s="34" t="inlineStr">
        <is>
          <t>Dear Emporium,
Half our guests now are young people who come up the mountain to look effortlessly unbothered in their photographs, and are anything but. Our founder served them mint by the jug. She said most people think it only wakes you up, but its real gift is calm: a cool head that doesn't have to try.
Have you any dried leaves to spare?
Sister Wren, the Starfall Retreat</t>
        </is>
      </c>
    </row>
    <row r="8">
      <c r="A8" s="34" t="n">
        <v>13</v>
      </c>
      <c r="B8" s="34" t="inlineStr">
        <is>
          <t>Twilight</t>
        </is>
      </c>
      <c r="C8" s="34" t="inlineStr">
        <is>
          <t>Lavinia's Bridal Rooms, Kingsmere</t>
        </is>
      </c>
      <c r="D8" s="34" t="inlineStr">
        <is>
          <t>From a bridal boutique in Kingsmere</t>
        </is>
      </c>
      <c r="E8" s="34" t="n">
        <v>2</v>
      </c>
      <c r="F8" s="34" t="inlineStr">
        <is>
          <t>Orange blossom</t>
        </is>
      </c>
      <c r="G8" s="34" t="inlineStr">
        <is>
          <t>joy</t>
        </is>
      </c>
      <c r="H8" s="34" t="inlineStr">
        <is>
          <t>Day 16 · #55 Celestial Spotlight</t>
        </is>
      </c>
      <c r="I8" s="34" t="inlineStr">
        <is>
          <t>its entry shows no keyword; searching joy finds 7 other herbs &amp; flowers entries instead</t>
        </is>
      </c>
      <c r="J8" s="34" t="inlineStr">
        <is>
          <t>White lily</t>
        </is>
      </c>
      <c r="K8" s="34" t="inlineStr">
        <is>
          <t>beauty</t>
        </is>
      </c>
      <c r="L8" s="34" t="inlineStr">
        <is>
          <t>Day 17 · #52 Swanlight</t>
        </is>
      </c>
      <c r="M8" s="34" t="inlineStr">
        <is>
          <t>its entry shows only truth; searching beauty finds 5 other herbs &amp; flowers entries instead</t>
        </is>
      </c>
      <c r="N8" s="34" t="inlineStr">
        <is>
          <t>Darling shop,
Wedding season is upon us. My brides want orange blossom, dried and ground to a powder for their shoulders, so they shine in every photograph. Their grandmothers said a bride wearing it glows with joy.
And for the bride who wants to walk down the aisle like a swan, a soap of white lily. Nothing gives a quiet bride beauty like it.
Send whatever you can. Kingsmere does not do things by halves.
Lavinia, Lavinia's Bridal Rooms, Kingsmere</t>
        </is>
      </c>
    </row>
    <row r="9">
      <c r="A9" s="34" t="n">
        <v>14</v>
      </c>
      <c r="B9" s="34" t="inlineStr">
        <is>
          <t>Twilight</t>
        </is>
      </c>
      <c r="C9" s="34" t="inlineStr">
        <is>
          <t>Damson Cottage Jams, Plumtree Hollow</t>
        </is>
      </c>
      <c r="D9" s="34" t="inlineStr">
        <is>
          <t>From a jam-maker in Plumtree Hollow</t>
        </is>
      </c>
      <c r="E9" s="34" t="n">
        <v>1</v>
      </c>
      <c r="F9" s="34" t="inlineStr">
        <is>
          <t>Peridot</t>
        </is>
      </c>
      <c r="G9" s="34" t="inlineStr">
        <is>
          <t>growth</t>
        </is>
      </c>
      <c r="H9" s="34" t="inlineStr">
        <is>
          <t>Day 21 · #135 The Green Comet</t>
        </is>
      </c>
      <c r="I9" s="34" t="inlineStr">
        <is>
          <t>its entry shows no keyword; searching growth finds 1 other crystals entry instead</t>
        </is>
      </c>
      <c r="J9" s="34" t="inlineStr"/>
      <c r="K9" s="34" t="inlineStr"/>
      <c r="L9" s="34" t="inlineStr"/>
      <c r="M9" s="34" t="inlineStr"/>
      <c r="N9" s="34" t="inlineStr">
        <is>
          <t>Hello from the Hollow,
When the first green shoots show after a hard winter, my aunt used to sew a peridot into a cloth bag and hang it from the oldest plum tree. She said it was for the first good week of spring, and for growth. The trees never failed her.
The bag rotted and the stone is lost in the long grass. Do you sell them?
Bessie Damson, Plumtree Hollow</t>
        </is>
      </c>
    </row>
    <row r="10">
      <c r="A10" s="34" t="n">
        <v>20</v>
      </c>
      <c r="B10" s="34" t="inlineStr">
        <is>
          <t>Nightfall</t>
        </is>
      </c>
      <c r="C10" s="34" t="inlineStr">
        <is>
          <t>Crumb &amp; Co. Bakery, Whitcombe</t>
        </is>
      </c>
      <c r="D10" s="34" t="inlineStr">
        <is>
          <t>From the bakery in Whitcombe</t>
        </is>
      </c>
      <c r="E10" s="34" t="n">
        <v>2</v>
      </c>
      <c r="F10" s="34" t="inlineStr">
        <is>
          <t>Raisins</t>
        </is>
      </c>
      <c r="G10" s="34" t="inlineStr">
        <is>
          <t>joy</t>
        </is>
      </c>
      <c r="H10" s="34" t="inlineStr">
        <is>
          <t>Day 39 · #90 The Pocket-Sized Triumph</t>
        </is>
      </c>
      <c r="I10" s="34" t="inlineStr">
        <is>
          <t>its entry shows no keyword; searching joy finds 2 other fruits entries instead</t>
        </is>
      </c>
      <c r="J10" s="34" t="inlineStr">
        <is>
          <t>Cocoa</t>
        </is>
      </c>
      <c r="K10" s="34" t="inlineStr">
        <is>
          <t>comfort</t>
        </is>
      </c>
      <c r="L10" s="34" t="inlineStr">
        <is>
          <t>Day 26 · #235 The Sweetness Permission</t>
        </is>
      </c>
      <c r="M10" s="34" t="inlineStr">
        <is>
          <t>its entry shows no keyword; searching comfort finds 3 other pantry: salts, sugars &amp; baking entries instead</t>
        </is>
      </c>
      <c r="N10" s="34" t="inlineStr">
        <is>
          <t>Dear neighbour,
Two things for the winter menu. The raisins we bake into the biscuits we give children who finish their reading charts. Such a small win, but the mothers say it is pure joy to them.
And cocoa, whipped into the spread for our Saturday buns. Ladies come in saying they really shouldn't, and then they do. Nothing is such a comfort in January.
Our supplier in Greywater has gone bust. Could you help?
Mrs Ada Crumb, Crumb &amp; Co., Whitcombe</t>
        </is>
      </c>
    </row>
    <row r="11">
      <c r="A11" s="34" t="n">
        <v>25</v>
      </c>
      <c r="B11" s="34" t="inlineStr">
        <is>
          <t>Sunrise</t>
        </is>
      </c>
      <c r="C11" s="34" t="inlineStr">
        <is>
          <t>Thistle &amp; Sons Wandwrights, Elderhollow</t>
        </is>
      </c>
      <c r="D11" s="34" t="inlineStr">
        <is>
          <t>From the wandwrights in Elderhollow</t>
        </is>
      </c>
      <c r="E11" s="34" t="n">
        <v>2</v>
      </c>
      <c r="F11" s="34" t="inlineStr">
        <is>
          <t>Willow bark</t>
        </is>
      </c>
      <c r="G11" s="34" t="inlineStr">
        <is>
          <t>intuition</t>
        </is>
      </c>
      <c r="H11" s="34" t="inlineStr">
        <is>
          <t>Day 43 · #99 The Open Palm</t>
        </is>
      </c>
      <c r="I11" s="34" t="inlineStr">
        <is>
          <t>its entry shows no keyword; searching intuition finds 2 other herbs &amp; flowers entries instead</t>
        </is>
      </c>
      <c r="J11" s="34" t="inlineStr">
        <is>
          <t>Wormwood</t>
        </is>
      </c>
      <c r="K11" s="34" t="inlineStr">
        <is>
          <t>transformation</t>
        </is>
      </c>
      <c r="L11" s="34" t="inlineStr">
        <is>
          <t>Day 29 · #116 The Phoenix's First Petal</t>
        </is>
      </c>
      <c r="M11" s="34" t="inlineStr">
        <is>
          <t>its entry shows no keyword; searching transformation finds 1 other herbs &amp; flowers entry instead</t>
        </is>
      </c>
      <c r="N11" s="34" t="inlineStr">
        <is>
          <t>Madam,
Two old remedies my grandfather kept. Willow bark, which every grandmother uses for a sore back. He chewed it the winter he lost the old workshop, and said it helped him stop fighting what couldn't be changed. The old witches swore it sharpened their intuition too.
And wormwood, which he steeped in a drink every New Year's Eve, to close one chapter and start the next. For transformation, he said, and not for the faint-hearted.
If you have either, we would pay well.
Silas Thistle, Thistle &amp; Sons Wandwrights, Elderhollow</t>
        </is>
      </c>
    </row>
    <row r="12">
      <c r="A12" s="34" t="n">
        <v>27</v>
      </c>
      <c r="B12" s="34" t="inlineStr">
        <is>
          <t>Noon</t>
        </is>
      </c>
      <c r="C12" s="34" t="inlineStr">
        <is>
          <t>The Crossed Keys Inn, Ashby Cross</t>
        </is>
      </c>
      <c r="D12" s="34" t="inlineStr">
        <is>
          <t>From the coaching inn at Ashby Cross</t>
        </is>
      </c>
      <c r="E12" s="34" t="n">
        <v>1</v>
      </c>
      <c r="F12" s="34" t="inlineStr">
        <is>
          <t>Wooden die</t>
        </is>
      </c>
      <c r="G12" s="34" t="inlineStr">
        <is>
          <t>luck</t>
        </is>
      </c>
      <c r="H12" s="34" t="inlineStr">
        <is>
          <t>Day 32 · #232 The Critical-Hit Charm</t>
        </is>
      </c>
      <c r="I12" s="34" t="inlineStr">
        <is>
          <t>its entry shows no keyword; searching luck finds 1 other findings &amp; tools entry instead</t>
        </is>
      </c>
      <c r="J12" s="34" t="inlineStr"/>
      <c r="K12" s="34" t="inlineStr"/>
      <c r="L12" s="34" t="inlineStr"/>
      <c r="M12" s="34" t="inlineStr"/>
      <c r="N12" s="34" t="inlineStr">
        <is>
          <t>To the Emporium,
Travellers wait here for the coach, and the young ones fill the back room with their long games of dragons and dungeons. One old carter swears by a little wooden die that he had blessed at your shop. He says it gives him luck every time he throws it.
The young ones now want one each, for their games night. Do you still bless them?
Harry Oakes, landlord, the Crossed Keys, Ashby Cross</t>
        </is>
      </c>
    </row>
    <row r="13">
      <c r="A13" s="34" t="n">
        <v>27</v>
      </c>
      <c r="B13" s="34" t="inlineStr">
        <is>
          <t>Nightfall</t>
        </is>
      </c>
      <c r="C13" s="34" t="inlineStr">
        <is>
          <t>The Coastguard Station, Caldwell-on-Sea</t>
        </is>
      </c>
      <c r="D13" s="34" t="inlineStr">
        <is>
          <t>From the coastguard at Caldwell-on-Sea</t>
        </is>
      </c>
      <c r="E13" s="34" t="n">
        <v>1</v>
      </c>
      <c r="F13" s="34" t="inlineStr">
        <is>
          <t>Black tourmaline</t>
        </is>
      </c>
      <c r="G13" s="34" t="inlineStr">
        <is>
          <t>protection</t>
        </is>
      </c>
      <c r="H13" s="34" t="inlineStr">
        <is>
          <t>Day 33 · #29 The Unbroken Quill</t>
        </is>
      </c>
      <c r="I13" s="34" t="inlineStr">
        <is>
          <t>its entry shows no keyword; searching protection finds 3 other crystals entries instead</t>
        </is>
      </c>
      <c r="J13" s="34" t="inlineStr"/>
      <c r="K13" s="34" t="inlineStr"/>
      <c r="L13" s="34" t="inlineStr"/>
      <c r="M13" s="34" t="inlineStr"/>
      <c r="N13" s="34" t="inlineStr">
        <is>
          <t>To the Emporium,
I paint in my spare hours, little boats mostly, and someone at the station keeps meddling with them. My father kept a piece of black tourmaline on his easel. He said it was the only protection a man's work needs from other people's opinions.
Mine went over the side in the last storm. Could you send another?
Officer Jory Penrose, Caldwell-on-Sea</t>
        </is>
      </c>
    </row>
    <row r="14">
      <c r="A14" s="34" t="n">
        <v>38</v>
      </c>
      <c r="B14" s="34" t="inlineStr">
        <is>
          <t>Twilight</t>
        </is>
      </c>
      <c r="C14" s="34" t="inlineStr">
        <is>
          <t>Hedge End Farm, Bramblebee</t>
        </is>
      </c>
      <c r="D14" s="34" t="inlineStr">
        <is>
          <t>From a farm in Bramblebee</t>
        </is>
      </c>
      <c r="E14" s="34" t="n">
        <v>1</v>
      </c>
      <c r="F14" s="34" t="inlineStr">
        <is>
          <t>Rose thorns</t>
        </is>
      </c>
      <c r="G14" s="34" t="inlineStr">
        <is>
          <t>boundaries</t>
        </is>
      </c>
      <c r="H14" s="34" t="inlineStr">
        <is>
          <t>Day 43 · #70 The Empty Chair</t>
        </is>
      </c>
      <c r="I14" s="34" t="inlineStr">
        <is>
          <t>its entry shows no keyword; searching boundaries finds 2 other herbs &amp; flowers entries instead</t>
        </is>
      </c>
      <c r="J14" s="34" t="inlineStr"/>
      <c r="K14" s="34" t="inlineStr"/>
      <c r="L14" s="34" t="inlineStr"/>
      <c r="M14" s="34" t="inlineStr"/>
      <c r="N14" s="34" t="inlineStr">
        <is>
          <t>Hello,
My daughter can't let go of a friend who only ever rings when she wants something. My mother would have braided rose thorns into a knotted cord and hung it by the girl's bed. She said it teaches a soft heart its boundaries.
I have the cord but not the thorns. Have you a jar?
Dora Bramble, Hedge End Farm, Bramblebee</t>
        </is>
      </c>
    </row>
    <row r="15">
      <c r="A15" s="34" t="n">
        <v>44</v>
      </c>
      <c r="B15" s="34" t="inlineStr">
        <is>
          <t>Twilight</t>
        </is>
      </c>
      <c r="C15" s="34" t="inlineStr">
        <is>
          <t>The Cider Fair Committee, Pippin Green</t>
        </is>
      </c>
      <c r="D15" s="34" t="inlineStr">
        <is>
          <t>From the cider fair committee in Pippin Green</t>
        </is>
      </c>
      <c r="E15" s="34" t="n">
        <v>1</v>
      </c>
      <c r="F15" s="34" t="inlineStr">
        <is>
          <t>Bee pollen</t>
        </is>
      </c>
      <c r="G15" s="34" t="inlineStr">
        <is>
          <t>friendship</t>
        </is>
      </c>
      <c r="H15" s="34" t="inlineStr">
        <is>
          <t>Day 47 · #75 The Honeybee Feast</t>
        </is>
      </c>
      <c r="I15" s="34" t="inlineStr">
        <is>
          <t>its entry shows no keyword</t>
        </is>
      </c>
      <c r="J15" s="34" t="inlineStr"/>
      <c r="K15" s="34" t="inlineStr"/>
      <c r="L15" s="34" t="inlineStr"/>
      <c r="M15" s="34" t="inlineStr"/>
      <c r="N15" s="34" t="inlineStr">
        <is>
          <t>Dear Emporium,
Our orchard bees leave bee pollen on everything in May. The old orchard keepers beat it into butter for the fair loaves, and said whoever shares that bread with old friends shares the friendship of the hive.
Our hives had a bad year. Could you send a jar for the fair?
Rhoda Bell, Cider Fair Committee, Pippin Green</t>
        </is>
      </c>
    </row>
    <row r="16">
      <c r="A16" s="34" t="n">
        <v>45</v>
      </c>
      <c r="B16" s="34" t="inlineStr">
        <is>
          <t>Nightfall</t>
        </is>
      </c>
      <c r="C16" s="34" t="inlineStr">
        <is>
          <t>Mrs Pennywhistle's Sweet Shop, Sugarbrook</t>
        </is>
      </c>
      <c r="D16" s="34" t="inlineStr">
        <is>
          <t>From the sweet shop in Sugarbrook</t>
        </is>
      </c>
      <c r="E16" s="34" t="n">
        <v>2</v>
      </c>
      <c r="F16" s="34" t="inlineStr">
        <is>
          <t>Pink glitter</t>
        </is>
      </c>
      <c r="G16" s="34" t="inlineStr">
        <is>
          <t>self-love</t>
        </is>
      </c>
      <c r="H16" s="34" t="inlineStr">
        <is>
          <t>Day 52 · #227 The Cozy-Cute Conjuring</t>
        </is>
      </c>
      <c r="I16" s="34" t="inlineStr">
        <is>
          <t>its entry shows no keyword</t>
        </is>
      </c>
      <c r="J16" s="34" t="inlineStr">
        <is>
          <t>Pink sprinkles</t>
        </is>
      </c>
      <c r="K16" s="34" t="inlineStr">
        <is>
          <t>love</t>
        </is>
      </c>
      <c r="L16" s="34" t="inlineStr">
        <is>
          <t>Day 48 · #11 Strawberry Moon</t>
        </is>
      </c>
      <c r="M16" s="34" t="inlineStr">
        <is>
          <t>its entry shows no keyword; searching love finds 1 other pantry: salts, sugars &amp; baking entry instead</t>
        </is>
      </c>
      <c r="N16" s="34" t="inlineStr">
        <is>
          <t>Dear shop,
There's a girl who comes in after school who has been told to tone it down, and it shows. Her gran used to sprinkle pink glitter along the windowsill of her little room, so the whole place looked instantly sweeter, and said it put a bit of self-love back in the girl.
And the boys buy cupcakes with pink sprinkles on top to hand to someone they fancy, giggling all the way out. My grandmother called those love on a cake.
I'm out of both. I'll send fudge.
Mrs Pennywhistle, Sugarbrook</t>
        </is>
      </c>
    </row>
    <row r="17">
      <c r="A17" s="34" t="n">
        <v>57</v>
      </c>
      <c r="B17" s="34" t="inlineStr">
        <is>
          <t>Nightfall</t>
        </is>
      </c>
      <c r="C17" s="34" t="inlineStr">
        <is>
          <t>Old Things, Buttonwick</t>
        </is>
      </c>
      <c r="D17" s="34" t="inlineStr">
        <is>
          <t>From an antique shop in Buttonwick</t>
        </is>
      </c>
      <c r="E17" s="34" t="n">
        <v>1</v>
      </c>
      <c r="F17" s="34" t="inlineStr">
        <is>
          <t>Square button</t>
        </is>
      </c>
      <c r="G17" s="34" t="inlineStr">
        <is>
          <t>play</t>
        </is>
      </c>
      <c r="H17" s="34" t="inlineStr">
        <is>
          <t>Day 69 · #215 The Lucky Pixel</t>
        </is>
      </c>
      <c r="I17" s="34" t="inlineStr">
        <is>
          <t>its entry shows no keyword; searching play finds 1 other buttons entry instead</t>
        </is>
      </c>
      <c r="J17" s="34" t="inlineStr"/>
      <c r="K17" s="34" t="inlineStr"/>
      <c r="L17" s="34" t="inlineStr"/>
      <c r="M17" s="34" t="inlineStr"/>
      <c r="N17" s="34" t="inlineStr">
        <is>
          <t>Dear neighbour,
A house clearance turned up a box of buttons, and among them one odd square button that must be a lost counter from some old board game. I left it on the counter, and the grandchildren wanted to play all afternoon. The little one swears he won every game while it sat by the board.
I'll hold it for you. Come by.
Mr Ambrose Tuck, Old Things, Buttonwick</t>
        </is>
      </c>
    </row>
    <row r="18">
      <c r="A18" s="34" t="n">
        <v>63</v>
      </c>
      <c r="B18" s="34" t="inlineStr">
        <is>
          <t>Twilight</t>
        </is>
      </c>
      <c r="C18" s="34" t="inlineStr">
        <is>
          <t>Wend Mill, Greywater</t>
        </is>
      </c>
      <c r="D18" s="34" t="inlineStr">
        <is>
          <t>From the mill at Greywater</t>
        </is>
      </c>
      <c r="E18" s="34" t="n">
        <v>1</v>
      </c>
      <c r="F18" s="34" t="inlineStr">
        <is>
          <t>Cedar chips</t>
        </is>
      </c>
      <c r="G18" s="34" t="inlineStr">
        <is>
          <t>home</t>
        </is>
      </c>
      <c r="H18" s="34" t="inlineStr">
        <is>
          <t>Day 66 · #3 Two Hearts, One Hearth</t>
        </is>
      </c>
      <c r="I18" s="34" t="inlineStr">
        <is>
          <t>its entry shows no keyword; searching home finds 1 other herbs &amp; flowers entry instead</t>
        </is>
      </c>
      <c r="J18" s="34" t="inlineStr"/>
      <c r="K18" s="34" t="inlineStr"/>
      <c r="L18" s="34" t="inlineStr"/>
      <c r="M18" s="34" t="inlineStr"/>
      <c r="N18" s="34" t="inlineStr">
        <is>
          <t>To the Emporium,
My mum and dad were married fifty-two years. Dad kept a corked bottle of cedar chips on the mantel, and scattered more in the drawers, until the whole mill house smelled like home. He said it kept them fond of each other through every winter.
My wife and I could use some. Could you send a bag?
Sam Wend, Wend Mill, Greywater</t>
        </is>
      </c>
    </row>
  </sheetData>
  <pageMargins left="0.75" right="0.75" top="1" bottom="1" header="0.5" footer="0.5"/>
</worksheet>
</file>

<file path=xl/worksheets/sheet10.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14" customWidth="1" style="17" min="2" max="2"/>
    <col width="30" customWidth="1" style="17" min="3" max="3"/>
    <col width="12" customWidth="1" style="17" min="4" max="4"/>
    <col width="30" customWidth="1" style="17" min="5" max="5"/>
  </cols>
  <sheetData>
    <row r="1" ht="21.75" customHeight="1" s="18">
      <c r="A1" s="26" t="inlineStr">
        <is>
          <t>Candle colour</t>
        </is>
      </c>
      <c r="B1" s="26" t="inlineStr">
        <is>
          <t>Used in # spells</t>
        </is>
      </c>
      <c r="C1" s="26" t="inlineStr">
        <is>
          <t>Image file</t>
        </is>
      </c>
      <c r="D1" s="26" t="inlineStr">
        <is>
          <t>Status</t>
        </is>
      </c>
      <c r="E1" s="26" t="inlineStr">
        <is>
          <t>Notes</t>
        </is>
      </c>
    </row>
    <row r="2" ht="15" customHeight="1" s="18">
      <c r="A2" s="27" t="inlineStr">
        <is>
          <t>White</t>
        </is>
      </c>
      <c r="B2" s="27">
        <f>COUNTIF(Recipes!$E$2:$E$241,A2)</f>
        <v/>
      </c>
      <c r="C2" s="27" t="inlineStr">
        <is>
          <t>candle_white.png</t>
        </is>
      </c>
      <c r="D2" s="28" t="inlineStr">
        <is>
          <t>To do</t>
        </is>
      </c>
      <c r="E2" s="27" t="n"/>
    </row>
    <row r="3" ht="15" customHeight="1" s="18">
      <c r="A3" s="27" t="inlineStr">
        <is>
          <t>Black</t>
        </is>
      </c>
      <c r="B3" s="27">
        <f>COUNTIF(Recipes!$E$2:$E$241,A3)</f>
        <v/>
      </c>
      <c r="C3" s="27" t="inlineStr">
        <is>
          <t>candle_black.png</t>
        </is>
      </c>
      <c r="D3" s="28" t="inlineStr">
        <is>
          <t>To do</t>
        </is>
      </c>
      <c r="E3" s="27" t="n"/>
    </row>
    <row r="4" ht="15" customHeight="1" s="18">
      <c r="A4" s="27" t="inlineStr">
        <is>
          <t>Red</t>
        </is>
      </c>
      <c r="B4" s="27">
        <f>COUNTIF(Recipes!$E$2:$E$241,A4)</f>
        <v/>
      </c>
      <c r="C4" s="27" t="inlineStr">
        <is>
          <t>candle_red.png</t>
        </is>
      </c>
      <c r="D4" s="28" t="inlineStr">
        <is>
          <t>To do</t>
        </is>
      </c>
      <c r="E4" s="27" t="n"/>
    </row>
    <row r="5" ht="15" customHeight="1" s="18">
      <c r="A5" s="27" t="inlineStr">
        <is>
          <t>Pink</t>
        </is>
      </c>
      <c r="B5" s="27">
        <f>COUNTIF(Recipes!$E$2:$E$241,A5)</f>
        <v/>
      </c>
      <c r="C5" s="27" t="inlineStr">
        <is>
          <t>candle_pink.png</t>
        </is>
      </c>
      <c r="D5" s="28" t="inlineStr">
        <is>
          <t>To do</t>
        </is>
      </c>
      <c r="E5" s="27" t="n"/>
    </row>
    <row r="6" ht="15" customHeight="1" s="18">
      <c r="A6" s="27" t="inlineStr">
        <is>
          <t>Orange</t>
        </is>
      </c>
      <c r="B6" s="27">
        <f>COUNTIF(Recipes!$E$2:$E$241,A6)</f>
        <v/>
      </c>
      <c r="C6" s="27" t="inlineStr">
        <is>
          <t>candle_orange.png</t>
        </is>
      </c>
      <c r="D6" s="28" t="inlineStr">
        <is>
          <t>To do</t>
        </is>
      </c>
      <c r="E6" s="27" t="n"/>
    </row>
    <row r="7" ht="15" customHeight="1" s="18">
      <c r="A7" s="27" t="inlineStr">
        <is>
          <t>Yellow</t>
        </is>
      </c>
      <c r="B7" s="27">
        <f>COUNTIF(Recipes!$E$2:$E$241,A7)</f>
        <v/>
      </c>
      <c r="C7" s="27" t="inlineStr">
        <is>
          <t>candle_yellow.png</t>
        </is>
      </c>
      <c r="D7" s="28" t="inlineStr">
        <is>
          <t>To do</t>
        </is>
      </c>
      <c r="E7" s="27" t="n"/>
    </row>
    <row r="8" ht="15" customHeight="1" s="18">
      <c r="A8" s="27" t="inlineStr">
        <is>
          <t>Gold</t>
        </is>
      </c>
      <c r="B8" s="27">
        <f>COUNTIF(Recipes!$E$2:$E$241,A8)</f>
        <v/>
      </c>
      <c r="C8" s="27" t="inlineStr">
        <is>
          <t>candle_gold.png</t>
        </is>
      </c>
      <c r="D8" s="28" t="inlineStr">
        <is>
          <t>To do</t>
        </is>
      </c>
      <c r="E8" s="27" t="n"/>
    </row>
    <row r="9" ht="15" customHeight="1" s="18">
      <c r="A9" s="27" t="inlineStr">
        <is>
          <t>Green</t>
        </is>
      </c>
      <c r="B9" s="27">
        <f>COUNTIF(Recipes!$E$2:$E$241,A9)</f>
        <v/>
      </c>
      <c r="C9" s="27" t="inlineStr">
        <is>
          <t>candle_green.png</t>
        </is>
      </c>
      <c r="D9" s="28" t="inlineStr">
        <is>
          <t>To do</t>
        </is>
      </c>
      <c r="E9" s="27" t="n"/>
    </row>
    <row r="10" ht="15" customHeight="1" s="18">
      <c r="A10" s="27" t="inlineStr">
        <is>
          <t>Light blue</t>
        </is>
      </c>
      <c r="B10" s="27">
        <f>COUNTIF(Recipes!$E$2:$E$241,A10)</f>
        <v/>
      </c>
      <c r="C10" s="27" t="inlineStr">
        <is>
          <t>candle_light_blue.png</t>
        </is>
      </c>
      <c r="D10" s="28" t="inlineStr">
        <is>
          <t>To do</t>
        </is>
      </c>
      <c r="E10" s="27" t="n"/>
    </row>
    <row r="11" ht="15" customHeight="1" s="18">
      <c r="A11" s="27" t="inlineStr">
        <is>
          <t>Blue</t>
        </is>
      </c>
      <c r="B11" s="27">
        <f>COUNTIF(Recipes!$E$2:$E$241,A11)</f>
        <v/>
      </c>
      <c r="C11" s="27" t="inlineStr">
        <is>
          <t>candle_blue.png</t>
        </is>
      </c>
      <c r="D11" s="28" t="inlineStr">
        <is>
          <t>To do</t>
        </is>
      </c>
      <c r="E11" s="27" t="n"/>
    </row>
    <row r="12" ht="15" customHeight="1" s="18">
      <c r="A12" s="27" t="inlineStr">
        <is>
          <t>Purple</t>
        </is>
      </c>
      <c r="B12" s="27">
        <f>COUNTIF(Recipes!$E$2:$E$241,A12)</f>
        <v/>
      </c>
      <c r="C12" s="27" t="inlineStr">
        <is>
          <t>candle_purple.png</t>
        </is>
      </c>
      <c r="D12" s="28" t="inlineStr">
        <is>
          <t>To do</t>
        </is>
      </c>
      <c r="E12" s="27" t="n"/>
    </row>
    <row r="13" ht="15" customHeight="1" s="18">
      <c r="A13" s="27" t="inlineStr">
        <is>
          <t>Lavender</t>
        </is>
      </c>
      <c r="B13" s="27">
        <f>COUNTIF(Recipes!$E$2:$E$241,A13)</f>
        <v/>
      </c>
      <c r="C13" s="27" t="inlineStr">
        <is>
          <t>candle_lavender.png</t>
        </is>
      </c>
      <c r="D13" s="28" t="inlineStr">
        <is>
          <t>To do</t>
        </is>
      </c>
      <c r="E13" s="27" t="n"/>
    </row>
    <row r="14" ht="15" customHeight="1" s="18">
      <c r="A14" s="27" t="inlineStr">
        <is>
          <t>Silver</t>
        </is>
      </c>
      <c r="B14" s="27">
        <f>COUNTIF(Recipes!$E$2:$E$241,A14)</f>
        <v/>
      </c>
      <c r="C14" s="27" t="inlineStr">
        <is>
          <t>candle_silver.png</t>
        </is>
      </c>
      <c r="D14" s="28" t="inlineStr">
        <is>
          <t>To do</t>
        </is>
      </c>
      <c r="E14" s="27" t="n"/>
    </row>
    <row r="15" ht="15" customHeight="1" s="18">
      <c r="A15" s="27" t="inlineStr">
        <is>
          <t>Brown</t>
        </is>
      </c>
      <c r="B15" s="27">
        <f>COUNTIF(Recipes!$E$2:$E$241,A15)</f>
        <v/>
      </c>
      <c r="C15" s="27" t="inlineStr">
        <is>
          <t>candle_brown.png</t>
        </is>
      </c>
      <c r="D15" s="28" t="inlineStr">
        <is>
          <t>To do</t>
        </is>
      </c>
      <c r="E15" s="27" t="n"/>
    </row>
    <row r="16" ht="15" customHeight="1" s="18">
      <c r="A16" s="27" t="inlineStr">
        <is>
          <t>Grey</t>
        </is>
      </c>
      <c r="B16" s="27">
        <f>COUNTIF(Recipes!$E$2:$E$241,A16)</f>
        <v/>
      </c>
      <c r="C16" s="27" t="inlineStr">
        <is>
          <t>candle_grey.png</t>
        </is>
      </c>
      <c r="D16" s="28" t="inlineStr">
        <is>
          <t>To do</t>
        </is>
      </c>
      <c r="E16" s="27" t="n"/>
    </row>
  </sheetData>
  <autoFilter ref="A1:E16"/>
  <dataValidations count="1">
    <dataValidation sqref="D2:D16" showDropDown="0" showInputMessage="0" showErrorMessage="0" allowBlank="1" type="list" errorStyle="stop" operator="between">
      <formula1>"To do,Sketch,In progress,Done"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7" min="1" max="1"/>
    <col width="14" customWidth="1" style="17" min="2" max="2"/>
    <col width="34" customWidth="1" style="17" min="3" max="3"/>
    <col width="12" customWidth="1" style="17" min="4" max="4"/>
    <col width="30" customWidth="1" style="17" min="5" max="5"/>
  </cols>
  <sheetData>
    <row r="1" ht="21.75" customHeight="1" s="18">
      <c r="A1" s="26" t="inlineStr">
        <is>
          <t>Card</t>
        </is>
      </c>
      <c r="B1" s="26" t="inlineStr">
        <is>
          <t>Used in # spells</t>
        </is>
      </c>
      <c r="C1" s="26" t="inlineStr">
        <is>
          <t>Image file</t>
        </is>
      </c>
      <c r="D1" s="26" t="inlineStr">
        <is>
          <t>Status</t>
        </is>
      </c>
      <c r="E1" s="26" t="inlineStr">
        <is>
          <t>Notes</t>
        </is>
      </c>
    </row>
    <row r="2" ht="15" customHeight="1" s="18">
      <c r="A2" s="27" t="inlineStr">
        <is>
          <t>The Fool</t>
        </is>
      </c>
      <c r="B2" s="27">
        <f>COUNTIF(Recipes!$F$2:$F$241,A2)</f>
        <v/>
      </c>
      <c r="C2" s="27" t="inlineStr">
        <is>
          <t>tarot_the_fool.png</t>
        </is>
      </c>
      <c r="D2" s="28" t="inlineStr">
        <is>
          <t>To do</t>
        </is>
      </c>
      <c r="E2" s="27" t="n"/>
    </row>
    <row r="3" ht="15" customHeight="1" s="18">
      <c r="A3" s="27" t="inlineStr">
        <is>
          <t>The Magician</t>
        </is>
      </c>
      <c r="B3" s="27">
        <f>COUNTIF(Recipes!$F$2:$F$241,A3)</f>
        <v/>
      </c>
      <c r="C3" s="27" t="inlineStr">
        <is>
          <t>tarot_the_magician.png</t>
        </is>
      </c>
      <c r="D3" s="28" t="inlineStr">
        <is>
          <t>To do</t>
        </is>
      </c>
      <c r="E3" s="27" t="n"/>
    </row>
    <row r="4" ht="15" customHeight="1" s="18">
      <c r="A4" s="27" t="inlineStr">
        <is>
          <t>The High Priestess</t>
        </is>
      </c>
      <c r="B4" s="27">
        <f>COUNTIF(Recipes!$F$2:$F$241,A4)</f>
        <v/>
      </c>
      <c r="C4" s="27" t="inlineStr">
        <is>
          <t>tarot_the_high_priestess.png</t>
        </is>
      </c>
      <c r="D4" s="28" t="inlineStr">
        <is>
          <t>To do</t>
        </is>
      </c>
      <c r="E4" s="27" t="n"/>
    </row>
    <row r="5" ht="15" customHeight="1" s="18">
      <c r="A5" s="27" t="inlineStr">
        <is>
          <t>The Empress</t>
        </is>
      </c>
      <c r="B5" s="27">
        <f>COUNTIF(Recipes!$F$2:$F$241,A5)</f>
        <v/>
      </c>
      <c r="C5" s="27" t="inlineStr">
        <is>
          <t>tarot_the_empress.png</t>
        </is>
      </c>
      <c r="D5" s="28" t="inlineStr">
        <is>
          <t>To do</t>
        </is>
      </c>
      <c r="E5" s="27" t="n"/>
    </row>
    <row r="6" ht="15" customHeight="1" s="18">
      <c r="A6" s="27" t="inlineStr">
        <is>
          <t>The Emperor</t>
        </is>
      </c>
      <c r="B6" s="27">
        <f>COUNTIF(Recipes!$F$2:$F$241,A6)</f>
        <v/>
      </c>
      <c r="C6" s="27" t="inlineStr">
        <is>
          <t>tarot_the_emperor.png</t>
        </is>
      </c>
      <c r="D6" s="28" t="inlineStr">
        <is>
          <t>To do</t>
        </is>
      </c>
      <c r="E6" s="27" t="n"/>
    </row>
    <row r="7" ht="15" customHeight="1" s="18">
      <c r="A7" s="27" t="inlineStr">
        <is>
          <t>The Hierophant</t>
        </is>
      </c>
      <c r="B7" s="27">
        <f>COUNTIF(Recipes!$F$2:$F$241,A7)</f>
        <v/>
      </c>
      <c r="C7" s="27" t="inlineStr">
        <is>
          <t>tarot_the_hierophant.png</t>
        </is>
      </c>
      <c r="D7" s="28" t="inlineStr">
        <is>
          <t>To do</t>
        </is>
      </c>
      <c r="E7" s="27" t="n"/>
    </row>
    <row r="8" ht="15" customHeight="1" s="18">
      <c r="A8" s="27" t="inlineStr">
        <is>
          <t>The Lovers</t>
        </is>
      </c>
      <c r="B8" s="27">
        <f>COUNTIF(Recipes!$F$2:$F$241,A8)</f>
        <v/>
      </c>
      <c r="C8" s="27" t="inlineStr">
        <is>
          <t>tarot_the_lovers.png</t>
        </is>
      </c>
      <c r="D8" s="28" t="inlineStr">
        <is>
          <t>To do</t>
        </is>
      </c>
      <c r="E8" s="27" t="n"/>
    </row>
    <row r="9" ht="15" customHeight="1" s="18">
      <c r="A9" s="27" t="inlineStr">
        <is>
          <t>The Chariot</t>
        </is>
      </c>
      <c r="B9" s="27">
        <f>COUNTIF(Recipes!$F$2:$F$241,A9)</f>
        <v/>
      </c>
      <c r="C9" s="27" t="inlineStr">
        <is>
          <t>tarot_the_chariot.png</t>
        </is>
      </c>
      <c r="D9" s="28" t="inlineStr">
        <is>
          <t>To do</t>
        </is>
      </c>
      <c r="E9" s="27" t="n"/>
    </row>
    <row r="10" ht="15" customHeight="1" s="18">
      <c r="A10" s="27" t="inlineStr">
        <is>
          <t>Strength</t>
        </is>
      </c>
      <c r="B10" s="27">
        <f>COUNTIF(Recipes!$F$2:$F$241,A10)</f>
        <v/>
      </c>
      <c r="C10" s="27" t="inlineStr">
        <is>
          <t>tarot_strength.png</t>
        </is>
      </c>
      <c r="D10" s="28" t="inlineStr">
        <is>
          <t>To do</t>
        </is>
      </c>
      <c r="E10" s="27" t="n"/>
    </row>
    <row r="11" ht="15" customHeight="1" s="18">
      <c r="A11" s="27" t="inlineStr">
        <is>
          <t>The Hermit</t>
        </is>
      </c>
      <c r="B11" s="27">
        <f>COUNTIF(Recipes!$F$2:$F$241,A11)</f>
        <v/>
      </c>
      <c r="C11" s="27" t="inlineStr">
        <is>
          <t>tarot_the_hermit.png</t>
        </is>
      </c>
      <c r="D11" s="28" t="inlineStr">
        <is>
          <t>To do</t>
        </is>
      </c>
      <c r="E11" s="27" t="n"/>
    </row>
    <row r="12" ht="15" customHeight="1" s="18">
      <c r="A12" s="27" t="inlineStr">
        <is>
          <t>Wheel of Fortune</t>
        </is>
      </c>
      <c r="B12" s="27">
        <f>COUNTIF(Recipes!$F$2:$F$241,A12)</f>
        <v/>
      </c>
      <c r="C12" s="27" t="inlineStr">
        <is>
          <t>tarot_wheel_of_fortune.png</t>
        </is>
      </c>
      <c r="D12" s="28" t="inlineStr">
        <is>
          <t>To do</t>
        </is>
      </c>
      <c r="E12" s="27" t="n"/>
    </row>
    <row r="13" ht="15" customHeight="1" s="18">
      <c r="A13" s="27" t="inlineStr">
        <is>
          <t>Justice</t>
        </is>
      </c>
      <c r="B13" s="27">
        <f>COUNTIF(Recipes!$F$2:$F$241,A13)</f>
        <v/>
      </c>
      <c r="C13" s="27" t="inlineStr">
        <is>
          <t>tarot_justice.png</t>
        </is>
      </c>
      <c r="D13" s="28" t="inlineStr">
        <is>
          <t>To do</t>
        </is>
      </c>
      <c r="E13" s="27" t="n"/>
    </row>
    <row r="14" ht="15" customHeight="1" s="18">
      <c r="A14" s="27" t="inlineStr">
        <is>
          <t>The Hanged Man</t>
        </is>
      </c>
      <c r="B14" s="27">
        <f>COUNTIF(Recipes!$F$2:$F$241,A14)</f>
        <v/>
      </c>
      <c r="C14" s="27" t="inlineStr">
        <is>
          <t>tarot_the_hanged_man.png</t>
        </is>
      </c>
      <c r="D14" s="28" t="inlineStr">
        <is>
          <t>To do</t>
        </is>
      </c>
      <c r="E14" s="27" t="n"/>
    </row>
    <row r="15" ht="15" customHeight="1" s="18">
      <c r="A15" s="27" t="inlineStr">
        <is>
          <t>Death</t>
        </is>
      </c>
      <c r="B15" s="27">
        <f>COUNTIF(Recipes!$F$2:$F$241,A15)</f>
        <v/>
      </c>
      <c r="C15" s="27" t="inlineStr">
        <is>
          <t>tarot_death.png</t>
        </is>
      </c>
      <c r="D15" s="28" t="inlineStr">
        <is>
          <t>To do</t>
        </is>
      </c>
      <c r="E15" s="27" t="n"/>
    </row>
    <row r="16" ht="15" customHeight="1" s="18">
      <c r="A16" s="27" t="inlineStr">
        <is>
          <t>Temperance</t>
        </is>
      </c>
      <c r="B16" s="27">
        <f>COUNTIF(Recipes!$F$2:$F$241,A16)</f>
        <v/>
      </c>
      <c r="C16" s="27" t="inlineStr">
        <is>
          <t>tarot_temperance.png</t>
        </is>
      </c>
      <c r="D16" s="28" t="inlineStr">
        <is>
          <t>To do</t>
        </is>
      </c>
      <c r="E16" s="27" t="n"/>
    </row>
    <row r="17" ht="15" customHeight="1" s="18">
      <c r="A17" s="27" t="inlineStr">
        <is>
          <t>The Devil</t>
        </is>
      </c>
      <c r="B17" s="27">
        <f>COUNTIF(Recipes!$F$2:$F$241,A17)</f>
        <v/>
      </c>
      <c r="C17" s="27" t="inlineStr">
        <is>
          <t>tarot_the_devil.png</t>
        </is>
      </c>
      <c r="D17" s="28" t="inlineStr">
        <is>
          <t>To do</t>
        </is>
      </c>
      <c r="E17" s="27" t="n"/>
    </row>
    <row r="18" ht="15" customHeight="1" s="18">
      <c r="A18" s="27" t="inlineStr">
        <is>
          <t>The Tower</t>
        </is>
      </c>
      <c r="B18" s="27">
        <f>COUNTIF(Recipes!$F$2:$F$241,A18)</f>
        <v/>
      </c>
      <c r="C18" s="27" t="inlineStr">
        <is>
          <t>tarot_the_tower.png</t>
        </is>
      </c>
      <c r="D18" s="28" t="inlineStr">
        <is>
          <t>To do</t>
        </is>
      </c>
      <c r="E18" s="27" t="n"/>
    </row>
    <row r="19" ht="15" customHeight="1" s="18">
      <c r="A19" s="27" t="inlineStr">
        <is>
          <t>The Star</t>
        </is>
      </c>
      <c r="B19" s="27">
        <f>COUNTIF(Recipes!$F$2:$F$241,A19)</f>
        <v/>
      </c>
      <c r="C19" s="27" t="inlineStr">
        <is>
          <t>tarot_the_star.png</t>
        </is>
      </c>
      <c r="D19" s="28" t="inlineStr">
        <is>
          <t>To do</t>
        </is>
      </c>
      <c r="E19" s="27" t="n"/>
    </row>
    <row r="20" ht="15" customHeight="1" s="18">
      <c r="A20" s="27" t="inlineStr">
        <is>
          <t>The Moon</t>
        </is>
      </c>
      <c r="B20" s="27">
        <f>COUNTIF(Recipes!$F$2:$F$241,A20)</f>
        <v/>
      </c>
      <c r="C20" s="27" t="inlineStr">
        <is>
          <t>tarot_the_moon.png</t>
        </is>
      </c>
      <c r="D20" s="28" t="inlineStr">
        <is>
          <t>To do</t>
        </is>
      </c>
      <c r="E20" s="27" t="n"/>
    </row>
    <row r="21" ht="15" customHeight="1" s="18">
      <c r="A21" s="27" t="inlineStr">
        <is>
          <t>The Sun</t>
        </is>
      </c>
      <c r="B21" s="27">
        <f>COUNTIF(Recipes!$F$2:$F$241,A21)</f>
        <v/>
      </c>
      <c r="C21" s="27" t="inlineStr">
        <is>
          <t>tarot_the_sun.png</t>
        </is>
      </c>
      <c r="D21" s="28" t="inlineStr">
        <is>
          <t>To do</t>
        </is>
      </c>
      <c r="E21" s="27" t="n"/>
    </row>
    <row r="22" ht="15" customHeight="1" s="18">
      <c r="A22" s="27" t="inlineStr">
        <is>
          <t>Judgement</t>
        </is>
      </c>
      <c r="B22" s="27">
        <f>COUNTIF(Recipes!$F$2:$F$241,A22)</f>
        <v/>
      </c>
      <c r="C22" s="27" t="inlineStr">
        <is>
          <t>tarot_judgement.png</t>
        </is>
      </c>
      <c r="D22" s="28" t="inlineStr">
        <is>
          <t>To do</t>
        </is>
      </c>
      <c r="E22" s="27" t="n"/>
    </row>
    <row r="23" ht="15" customHeight="1" s="18">
      <c r="A23" s="27" t="inlineStr">
        <is>
          <t>The World</t>
        </is>
      </c>
      <c r="B23" s="27">
        <f>COUNTIF(Recipes!$F$2:$F$241,A23)</f>
        <v/>
      </c>
      <c r="C23" s="27" t="inlineStr">
        <is>
          <t>tarot_the_world.png</t>
        </is>
      </c>
      <c r="D23" s="28" t="inlineStr">
        <is>
          <t>To do</t>
        </is>
      </c>
      <c r="E23" s="27" t="n"/>
    </row>
  </sheetData>
  <autoFilter ref="A1:E23"/>
  <dataValidations count="1">
    <dataValidation sqref="D2:D23" showDropDown="0" showInputMessage="0" showErrorMessage="0" allowBlank="1" type="list" errorStyle="stop" operator="between">
      <formula1>"To do,Sketch,In progress,Done"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5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7" min="1" max="1"/>
    <col width="16" customWidth="1" style="17" min="2" max="2"/>
    <col width="40" customWidth="1" style="17" min="3" max="3"/>
    <col width="12" customWidth="1" style="17" min="4" max="4"/>
    <col width="30" customWidth="1" style="17" min="5" max="5"/>
  </cols>
  <sheetData>
    <row r="1" ht="21.75" customHeight="1" s="18">
      <c r="A1" s="26" t="inlineStr">
        <is>
          <t>Icon</t>
        </is>
      </c>
      <c r="B1" s="26" t="inlineStr">
        <is>
          <t>Group</t>
        </is>
      </c>
      <c r="C1" s="26" t="inlineStr">
        <is>
          <t>Image file</t>
        </is>
      </c>
      <c r="D1" s="26" t="inlineStr">
        <is>
          <t>Status</t>
        </is>
      </c>
      <c r="E1" s="26" t="inlineStr">
        <is>
          <t>Notes</t>
        </is>
      </c>
    </row>
    <row r="2" ht="15" customHeight="1" s="18">
      <c r="A2" s="27" t="inlineStr">
        <is>
          <t>Dark Moon</t>
        </is>
      </c>
      <c r="B2" s="27" t="inlineStr">
        <is>
          <t>Moon phase</t>
        </is>
      </c>
      <c r="C2" s="27" t="inlineStr">
        <is>
          <t>icon_moon_dark_moon.png</t>
        </is>
      </c>
      <c r="D2" s="28" t="inlineStr">
        <is>
          <t>To do</t>
        </is>
      </c>
      <c r="E2" s="27" t="n"/>
    </row>
    <row r="3" ht="15" customHeight="1" s="18">
      <c r="A3" s="27" t="inlineStr">
        <is>
          <t>New Moon</t>
        </is>
      </c>
      <c r="B3" s="27" t="inlineStr">
        <is>
          <t>Moon phase</t>
        </is>
      </c>
      <c r="C3" s="27" t="inlineStr">
        <is>
          <t>icon_moon_new_moon.png</t>
        </is>
      </c>
      <c r="D3" s="28" t="inlineStr">
        <is>
          <t>To do</t>
        </is>
      </c>
      <c r="E3" s="27" t="n"/>
    </row>
    <row r="4" ht="15" customHeight="1" s="18">
      <c r="A4" s="27" t="inlineStr">
        <is>
          <t>Waxing Crescent</t>
        </is>
      </c>
      <c r="B4" s="27" t="inlineStr">
        <is>
          <t>Moon phase</t>
        </is>
      </c>
      <c r="C4" s="27" t="inlineStr">
        <is>
          <t>icon_moon_waxing_crescent.png</t>
        </is>
      </c>
      <c r="D4" s="28" t="inlineStr">
        <is>
          <t>To do</t>
        </is>
      </c>
      <c r="E4" s="27" t="n"/>
    </row>
    <row r="5" ht="15" customHeight="1" s="18">
      <c r="A5" s="27" t="inlineStr">
        <is>
          <t>First Quarter</t>
        </is>
      </c>
      <c r="B5" s="27" t="inlineStr">
        <is>
          <t>Moon phase</t>
        </is>
      </c>
      <c r="C5" s="27" t="inlineStr">
        <is>
          <t>icon_moon_first_quarter.png</t>
        </is>
      </c>
      <c r="D5" s="28" t="inlineStr">
        <is>
          <t>To do</t>
        </is>
      </c>
      <c r="E5" s="27" t="n"/>
    </row>
    <row r="6" ht="15" customHeight="1" s="18">
      <c r="A6" s="27" t="inlineStr">
        <is>
          <t>Waxing Gibbous</t>
        </is>
      </c>
      <c r="B6" s="27" t="inlineStr">
        <is>
          <t>Moon phase</t>
        </is>
      </c>
      <c r="C6" s="27" t="inlineStr">
        <is>
          <t>icon_moon_waxing_gibbous.png</t>
        </is>
      </c>
      <c r="D6" s="28" t="inlineStr">
        <is>
          <t>To do</t>
        </is>
      </c>
      <c r="E6" s="27" t="n"/>
    </row>
    <row r="7" ht="15" customHeight="1" s="18">
      <c r="A7" s="27" t="inlineStr">
        <is>
          <t>Full Moon</t>
        </is>
      </c>
      <c r="B7" s="27" t="inlineStr">
        <is>
          <t>Moon phase</t>
        </is>
      </c>
      <c r="C7" s="27" t="inlineStr">
        <is>
          <t>icon_moon_full_moon.png</t>
        </is>
      </c>
      <c r="D7" s="28" t="inlineStr">
        <is>
          <t>To do</t>
        </is>
      </c>
      <c r="E7" s="27" t="n"/>
    </row>
    <row r="8" ht="15" customHeight="1" s="18">
      <c r="A8" s="27" t="inlineStr">
        <is>
          <t>Waning Gibbous</t>
        </is>
      </c>
      <c r="B8" s="27" t="inlineStr">
        <is>
          <t>Moon phase</t>
        </is>
      </c>
      <c r="C8" s="27" t="inlineStr">
        <is>
          <t>icon_moon_waning_gibbous.png</t>
        </is>
      </c>
      <c r="D8" s="28" t="inlineStr">
        <is>
          <t>To do</t>
        </is>
      </c>
      <c r="E8" s="27" t="n"/>
    </row>
    <row r="9" ht="15" customHeight="1" s="18">
      <c r="A9" s="27" t="inlineStr">
        <is>
          <t>Last Quarter</t>
        </is>
      </c>
      <c r="B9" s="27" t="inlineStr">
        <is>
          <t>Moon phase</t>
        </is>
      </c>
      <c r="C9" s="27" t="inlineStr">
        <is>
          <t>icon_moon_last_quarter.png</t>
        </is>
      </c>
      <c r="D9" s="28" t="inlineStr">
        <is>
          <t>To do</t>
        </is>
      </c>
      <c r="E9" s="27" t="n"/>
    </row>
    <row r="10" ht="15" customHeight="1" s="18">
      <c r="A10" s="27" t="inlineStr">
        <is>
          <t>Waning Crescent</t>
        </is>
      </c>
      <c r="B10" s="27" t="inlineStr">
        <is>
          <t>Moon phase</t>
        </is>
      </c>
      <c r="C10" s="27" t="inlineStr">
        <is>
          <t>icon_moon_waning_crescent.png</t>
        </is>
      </c>
      <c r="D10" s="28" t="inlineStr">
        <is>
          <t>To do</t>
        </is>
      </c>
      <c r="E10" s="27" t="n"/>
    </row>
    <row r="11" ht="15" customHeight="1" s="18">
      <c r="A11" s="27" t="inlineStr">
        <is>
          <t>Wolf Moon</t>
        </is>
      </c>
      <c r="B11" s="27" t="inlineStr">
        <is>
          <t>Named moon</t>
        </is>
      </c>
      <c r="C11" s="27" t="inlineStr">
        <is>
          <t>icon_named_wolf_moon.png</t>
        </is>
      </c>
      <c r="D11" s="28" t="inlineStr">
        <is>
          <t>To do</t>
        </is>
      </c>
      <c r="E11" s="27" t="n"/>
    </row>
    <row r="12" ht="15" customHeight="1" s="18">
      <c r="A12" s="27" t="inlineStr">
        <is>
          <t>Snow Moon</t>
        </is>
      </c>
      <c r="B12" s="27" t="inlineStr">
        <is>
          <t>Named moon</t>
        </is>
      </c>
      <c r="C12" s="27" t="inlineStr">
        <is>
          <t>icon_named_snow_moon.png</t>
        </is>
      </c>
      <c r="D12" s="28" t="inlineStr">
        <is>
          <t>To do</t>
        </is>
      </c>
      <c r="E12" s="27" t="n"/>
    </row>
    <row r="13" ht="15" customHeight="1" s="18">
      <c r="A13" s="27" t="inlineStr">
        <is>
          <t>Worm Moon</t>
        </is>
      </c>
      <c r="B13" s="27" t="inlineStr">
        <is>
          <t>Named moon</t>
        </is>
      </c>
      <c r="C13" s="27" t="inlineStr">
        <is>
          <t>icon_named_worm_moon.png</t>
        </is>
      </c>
      <c r="D13" s="28" t="inlineStr">
        <is>
          <t>To do</t>
        </is>
      </c>
      <c r="E13" s="27" t="n"/>
    </row>
    <row r="14" ht="15" customHeight="1" s="18">
      <c r="A14" s="27" t="inlineStr">
        <is>
          <t>Pink Moon</t>
        </is>
      </c>
      <c r="B14" s="27" t="inlineStr">
        <is>
          <t>Named moon</t>
        </is>
      </c>
      <c r="C14" s="27" t="inlineStr">
        <is>
          <t>icon_named_pink_moon.png</t>
        </is>
      </c>
      <c r="D14" s="28" t="inlineStr">
        <is>
          <t>To do</t>
        </is>
      </c>
      <c r="E14" s="27" t="n"/>
    </row>
    <row r="15" ht="15" customHeight="1" s="18">
      <c r="A15" s="27" t="inlineStr">
        <is>
          <t>Flower Moon</t>
        </is>
      </c>
      <c r="B15" s="27" t="inlineStr">
        <is>
          <t>Named moon</t>
        </is>
      </c>
      <c r="C15" s="27" t="inlineStr">
        <is>
          <t>icon_named_flower_moon.png</t>
        </is>
      </c>
      <c r="D15" s="28" t="inlineStr">
        <is>
          <t>To do</t>
        </is>
      </c>
      <c r="E15" s="27" t="n"/>
    </row>
    <row r="16" ht="15" customHeight="1" s="18">
      <c r="A16" s="27" t="inlineStr">
        <is>
          <t>Strawberry Moon</t>
        </is>
      </c>
      <c r="B16" s="27" t="inlineStr">
        <is>
          <t>Named moon</t>
        </is>
      </c>
      <c r="C16" s="27" t="inlineStr">
        <is>
          <t>icon_named_strawberry_moon.png</t>
        </is>
      </c>
      <c r="D16" s="28" t="inlineStr">
        <is>
          <t>To do</t>
        </is>
      </c>
      <c r="E16" s="27" t="n"/>
    </row>
    <row r="17" ht="15" customHeight="1" s="18">
      <c r="A17" s="27" t="inlineStr">
        <is>
          <t>Buck Moon</t>
        </is>
      </c>
      <c r="B17" s="27" t="inlineStr">
        <is>
          <t>Named moon</t>
        </is>
      </c>
      <c r="C17" s="27" t="inlineStr">
        <is>
          <t>icon_named_buck_moon.png</t>
        </is>
      </c>
      <c r="D17" s="28" t="inlineStr">
        <is>
          <t>To do</t>
        </is>
      </c>
      <c r="E17" s="27" t="n"/>
    </row>
    <row r="18" ht="15" customHeight="1" s="18">
      <c r="A18" s="27" t="inlineStr">
        <is>
          <t>Sturgeon Moon</t>
        </is>
      </c>
      <c r="B18" s="27" t="inlineStr">
        <is>
          <t>Named moon</t>
        </is>
      </c>
      <c r="C18" s="27" t="inlineStr">
        <is>
          <t>icon_named_sturgeon_moon.png</t>
        </is>
      </c>
      <c r="D18" s="28" t="inlineStr">
        <is>
          <t>To do</t>
        </is>
      </c>
      <c r="E18" s="27" t="n"/>
    </row>
    <row r="19" ht="15" customHeight="1" s="18">
      <c r="A19" s="27" t="inlineStr">
        <is>
          <t>Harvest Moon</t>
        </is>
      </c>
      <c r="B19" s="27" t="inlineStr">
        <is>
          <t>Named moon</t>
        </is>
      </c>
      <c r="C19" s="27" t="inlineStr">
        <is>
          <t>icon_named_harvest_moon.png</t>
        </is>
      </c>
      <c r="D19" s="28" t="inlineStr">
        <is>
          <t>To do</t>
        </is>
      </c>
      <c r="E19" s="27" t="n"/>
    </row>
    <row r="20" ht="15" customHeight="1" s="18">
      <c r="A20" s="27" t="inlineStr">
        <is>
          <t>Hunter's Moon</t>
        </is>
      </c>
      <c r="B20" s="27" t="inlineStr">
        <is>
          <t>Named moon</t>
        </is>
      </c>
      <c r="C20" s="27" t="inlineStr">
        <is>
          <t>icon_named_hunter_s_moon.png</t>
        </is>
      </c>
      <c r="D20" s="28" t="inlineStr">
        <is>
          <t>To do</t>
        </is>
      </c>
      <c r="E20" s="27" t="n"/>
    </row>
    <row r="21" ht="15" customHeight="1" s="18">
      <c r="A21" s="27" t="inlineStr">
        <is>
          <t>Beaver Moon</t>
        </is>
      </c>
      <c r="B21" s="27" t="inlineStr">
        <is>
          <t>Named moon</t>
        </is>
      </c>
      <c r="C21" s="27" t="inlineStr">
        <is>
          <t>icon_named_beaver_moon.png</t>
        </is>
      </c>
      <c r="D21" s="28" t="inlineStr">
        <is>
          <t>To do</t>
        </is>
      </c>
      <c r="E21" s="27" t="n"/>
    </row>
    <row r="22" ht="15" customHeight="1" s="18">
      <c r="A22" s="27" t="inlineStr">
        <is>
          <t>Cold Moon</t>
        </is>
      </c>
      <c r="B22" s="27" t="inlineStr">
        <is>
          <t>Named moon</t>
        </is>
      </c>
      <c r="C22" s="27" t="inlineStr">
        <is>
          <t>icon_named_cold_moon.png</t>
        </is>
      </c>
      <c r="D22" s="28" t="inlineStr">
        <is>
          <t>To do</t>
        </is>
      </c>
      <c r="E22" s="27" t="n"/>
    </row>
    <row r="23" ht="23.25" customHeight="1" s="18">
      <c r="A23" s="27" t="inlineStr">
        <is>
          <t>Blue Moon (special event, replaces the Sturgeon Moon on Day 79)</t>
        </is>
      </c>
      <c r="B23" s="27" t="inlineStr">
        <is>
          <t>Named moon</t>
        </is>
      </c>
      <c r="C23" s="27" t="inlineStr">
        <is>
          <t>icon_named_blue_moon_special_event_replaces_the_sturgeon_moon_on_day_79.png</t>
        </is>
      </c>
      <c r="D23" s="28" t="inlineStr">
        <is>
          <t>To do</t>
        </is>
      </c>
      <c r="E23" s="27" t="n"/>
    </row>
    <row r="24" ht="15" customHeight="1" s="18">
      <c r="A24" s="27" t="inlineStr">
        <is>
          <t>Lunar Eclipse (event, Day 31)</t>
        </is>
      </c>
      <c r="B24" s="27" t="inlineStr">
        <is>
          <t>Named moon</t>
        </is>
      </c>
      <c r="C24" s="27" t="inlineStr">
        <is>
          <t>icon_named_lunar_eclipse_event_day_31.png</t>
        </is>
      </c>
      <c r="D24" s="28" t="inlineStr">
        <is>
          <t>To do</t>
        </is>
      </c>
      <c r="E24" s="27" t="n"/>
    </row>
    <row r="25" ht="15" customHeight="1" s="18">
      <c r="A25" s="27" t="inlineStr">
        <is>
          <t>Monday</t>
        </is>
      </c>
      <c r="B25" s="27" t="inlineStr">
        <is>
          <t>Day</t>
        </is>
      </c>
      <c r="C25" s="27" t="inlineStr">
        <is>
          <t>icon_day_monday.png</t>
        </is>
      </c>
      <c r="D25" s="28" t="inlineStr">
        <is>
          <t>To do</t>
        </is>
      </c>
      <c r="E25" s="27" t="n"/>
    </row>
    <row r="26" ht="15" customHeight="1" s="18">
      <c r="A26" s="27" t="inlineStr">
        <is>
          <t>Tuesday</t>
        </is>
      </c>
      <c r="B26" s="27" t="inlineStr">
        <is>
          <t>Day</t>
        </is>
      </c>
      <c r="C26" s="27" t="inlineStr">
        <is>
          <t>icon_day_tuesday.png</t>
        </is>
      </c>
      <c r="D26" s="28" t="inlineStr">
        <is>
          <t>To do</t>
        </is>
      </c>
      <c r="E26" s="27" t="n"/>
    </row>
    <row r="27" ht="15" customHeight="1" s="18">
      <c r="A27" s="27" t="inlineStr">
        <is>
          <t>Wednesday</t>
        </is>
      </c>
      <c r="B27" s="27" t="inlineStr">
        <is>
          <t>Day</t>
        </is>
      </c>
      <c r="C27" s="27" t="inlineStr">
        <is>
          <t>icon_day_wednesday.png</t>
        </is>
      </c>
      <c r="D27" s="28" t="inlineStr">
        <is>
          <t>To do</t>
        </is>
      </c>
      <c r="E27" s="27" t="n"/>
    </row>
    <row r="28" ht="15" customHeight="1" s="18">
      <c r="A28" s="27" t="inlineStr">
        <is>
          <t>Thursday</t>
        </is>
      </c>
      <c r="B28" s="27" t="inlineStr">
        <is>
          <t>Day</t>
        </is>
      </c>
      <c r="C28" s="27" t="inlineStr">
        <is>
          <t>icon_day_thursday.png</t>
        </is>
      </c>
      <c r="D28" s="28" t="inlineStr">
        <is>
          <t>To do</t>
        </is>
      </c>
      <c r="E28" s="27" t="n"/>
    </row>
    <row r="29" ht="15" customHeight="1" s="18">
      <c r="A29" s="27" t="inlineStr">
        <is>
          <t>Friday</t>
        </is>
      </c>
      <c r="B29" s="27" t="inlineStr">
        <is>
          <t>Day</t>
        </is>
      </c>
      <c r="C29" s="27" t="inlineStr">
        <is>
          <t>icon_day_friday.png</t>
        </is>
      </c>
      <c r="D29" s="28" t="inlineStr">
        <is>
          <t>To do</t>
        </is>
      </c>
      <c r="E29" s="27" t="n"/>
    </row>
    <row r="30" ht="15" customHeight="1" s="18">
      <c r="A30" s="27" t="inlineStr">
        <is>
          <t>Saturday</t>
        </is>
      </c>
      <c r="B30" s="27" t="inlineStr">
        <is>
          <t>Day</t>
        </is>
      </c>
      <c r="C30" s="27" t="inlineStr">
        <is>
          <t>icon_day_saturday.png</t>
        </is>
      </c>
      <c r="D30" s="28" t="inlineStr">
        <is>
          <t>To do</t>
        </is>
      </c>
      <c r="E30" s="27" t="n"/>
    </row>
    <row r="31" ht="15" customHeight="1" s="18">
      <c r="A31" s="27" t="inlineStr">
        <is>
          <t>Sunday</t>
        </is>
      </c>
      <c r="B31" s="27" t="inlineStr">
        <is>
          <t>Day</t>
        </is>
      </c>
      <c r="C31" s="27" t="inlineStr">
        <is>
          <t>icon_day_sunday.png</t>
        </is>
      </c>
      <c r="D31" s="28" t="inlineStr">
        <is>
          <t>To do</t>
        </is>
      </c>
      <c r="E31" s="27" t="n"/>
    </row>
    <row r="32" ht="15" customHeight="1" s="18">
      <c r="A32" s="27" t="inlineStr">
        <is>
          <t>Sunrise</t>
        </is>
      </c>
      <c r="B32" s="27" t="inlineStr">
        <is>
          <t>Time of day</t>
        </is>
      </c>
      <c r="C32" s="27" t="inlineStr">
        <is>
          <t>icon_time_sunrise.png</t>
        </is>
      </c>
      <c r="D32" s="28" t="inlineStr">
        <is>
          <t>To do</t>
        </is>
      </c>
      <c r="E32" s="27" t="n"/>
    </row>
    <row r="33" ht="15" customHeight="1" s="18">
      <c r="A33" s="27" t="inlineStr">
        <is>
          <t>Noon</t>
        </is>
      </c>
      <c r="B33" s="27" t="inlineStr">
        <is>
          <t>Time of day</t>
        </is>
      </c>
      <c r="C33" s="27" t="inlineStr">
        <is>
          <t>icon_time_noon.png</t>
        </is>
      </c>
      <c r="D33" s="28" t="inlineStr">
        <is>
          <t>To do</t>
        </is>
      </c>
      <c r="E33" s="27" t="n"/>
    </row>
    <row r="34" ht="15" customHeight="1" s="18">
      <c r="A34" s="27" t="inlineStr">
        <is>
          <t>Twilight</t>
        </is>
      </c>
      <c r="B34" s="27" t="inlineStr">
        <is>
          <t>Time of day</t>
        </is>
      </c>
      <c r="C34" s="27" t="inlineStr">
        <is>
          <t>icon_time_twilight.png</t>
        </is>
      </c>
      <c r="D34" s="28" t="inlineStr">
        <is>
          <t>To do</t>
        </is>
      </c>
      <c r="E34" s="27" t="n"/>
    </row>
    <row r="35" ht="15" customHeight="1" s="18">
      <c r="A35" s="27" t="inlineStr">
        <is>
          <t>Nightfall</t>
        </is>
      </c>
      <c r="B35" s="27" t="inlineStr">
        <is>
          <t>Time of day</t>
        </is>
      </c>
      <c r="C35" s="27" t="inlineStr">
        <is>
          <t>icon_time_nightfall.png</t>
        </is>
      </c>
      <c r="D35" s="28" t="inlineStr">
        <is>
          <t>To do</t>
        </is>
      </c>
      <c r="E35" s="27" t="n"/>
    </row>
    <row r="36" ht="15" customHeight="1" s="18">
      <c r="A36" s="27" t="inlineStr">
        <is>
          <t>Clear &amp; sunny</t>
        </is>
      </c>
      <c r="B36" s="27" t="inlineStr">
        <is>
          <t>Weather</t>
        </is>
      </c>
      <c r="C36" s="27" t="inlineStr">
        <is>
          <t>icon_weather_clear_sunny.png</t>
        </is>
      </c>
      <c r="D36" s="28" t="inlineStr">
        <is>
          <t>To do</t>
        </is>
      </c>
      <c r="E36" s="27" t="n"/>
    </row>
    <row r="37" ht="15" customHeight="1" s="18">
      <c r="A37" s="27" t="inlineStr">
        <is>
          <t>Cloudy</t>
        </is>
      </c>
      <c r="B37" s="27" t="inlineStr">
        <is>
          <t>Weather</t>
        </is>
      </c>
      <c r="C37" s="27" t="inlineStr">
        <is>
          <t>icon_weather_cloudy.png</t>
        </is>
      </c>
      <c r="D37" s="28" t="inlineStr">
        <is>
          <t>To do</t>
        </is>
      </c>
      <c r="E37" s="27" t="n"/>
    </row>
    <row r="38" ht="15" customHeight="1" s="18">
      <c r="A38" s="27" t="inlineStr">
        <is>
          <t>Rain</t>
        </is>
      </c>
      <c r="B38" s="27" t="inlineStr">
        <is>
          <t>Weather</t>
        </is>
      </c>
      <c r="C38" s="27" t="inlineStr">
        <is>
          <t>icon_weather_rain.png</t>
        </is>
      </c>
      <c r="D38" s="28" t="inlineStr">
        <is>
          <t>To do</t>
        </is>
      </c>
      <c r="E38" s="27" t="n"/>
    </row>
    <row r="39" ht="15" customHeight="1" s="18">
      <c r="A39" s="27" t="inlineStr">
        <is>
          <t>Thunderstorm</t>
        </is>
      </c>
      <c r="B39" s="27" t="inlineStr">
        <is>
          <t>Weather</t>
        </is>
      </c>
      <c r="C39" s="27" t="inlineStr">
        <is>
          <t>icon_weather_thunderstorm.png</t>
        </is>
      </c>
      <c r="D39" s="28" t="inlineStr">
        <is>
          <t>To do</t>
        </is>
      </c>
      <c r="E39" s="27" t="n"/>
    </row>
    <row r="40" ht="15" customHeight="1" s="18">
      <c r="A40" s="27" t="inlineStr">
        <is>
          <t>Fog / Mist</t>
        </is>
      </c>
      <c r="B40" s="27" t="inlineStr">
        <is>
          <t>Weather</t>
        </is>
      </c>
      <c r="C40" s="27" t="inlineStr">
        <is>
          <t>icon_weather_fog_mist.png</t>
        </is>
      </c>
      <c r="D40" s="28" t="inlineStr">
        <is>
          <t>To do</t>
        </is>
      </c>
      <c r="E40" s="27" t="n"/>
    </row>
    <row r="41" ht="15" customHeight="1" s="18">
      <c r="A41" s="27" t="inlineStr">
        <is>
          <t>Windy</t>
        </is>
      </c>
      <c r="B41" s="27" t="inlineStr">
        <is>
          <t>Weather</t>
        </is>
      </c>
      <c r="C41" s="27" t="inlineStr">
        <is>
          <t>icon_weather_windy.png</t>
        </is>
      </c>
      <c r="D41" s="28" t="inlineStr">
        <is>
          <t>To do</t>
        </is>
      </c>
      <c r="E41" s="27" t="n"/>
    </row>
    <row r="42" ht="15" customHeight="1" s="18">
      <c r="A42" s="27" t="inlineStr">
        <is>
          <t>Snow</t>
        </is>
      </c>
      <c r="B42" s="27" t="inlineStr">
        <is>
          <t>Weather</t>
        </is>
      </c>
      <c r="C42" s="27" t="inlineStr">
        <is>
          <t>icon_weather_snow.png</t>
        </is>
      </c>
      <c r="D42" s="28" t="inlineStr">
        <is>
          <t>To do</t>
        </is>
      </c>
      <c r="E42" s="27" t="n"/>
    </row>
    <row r="43" ht="15" customHeight="1" s="18">
      <c r="A43" s="27" t="inlineStr">
        <is>
          <t>Clear starry night</t>
        </is>
      </c>
      <c r="B43" s="27" t="inlineStr">
        <is>
          <t>Weather</t>
        </is>
      </c>
      <c r="C43" s="27" t="inlineStr">
        <is>
          <t>icon_weather_clear_starry_night.png</t>
        </is>
      </c>
      <c r="D43" s="28" t="inlineStr">
        <is>
          <t>To do</t>
        </is>
      </c>
      <c r="E43" s="27" t="n"/>
    </row>
    <row r="44" ht="15" customHeight="1" s="18">
      <c r="A44" s="27" t="inlineStr">
        <is>
          <t>Rainbow (rare event)</t>
        </is>
      </c>
      <c r="B44" s="27" t="inlineStr">
        <is>
          <t>Weather</t>
        </is>
      </c>
      <c r="C44" s="27" t="inlineStr">
        <is>
          <t>icon_weather_rainbow_rare_event.png</t>
        </is>
      </c>
      <c r="D44" s="28" t="inlineStr">
        <is>
          <t>To do</t>
        </is>
      </c>
      <c r="E44" s="27" t="n"/>
    </row>
    <row r="45" ht="15" customHeight="1" s="18">
      <c r="A45" s="27" t="inlineStr">
        <is>
          <t>Shooting star (rare event)</t>
        </is>
      </c>
      <c r="B45" s="27" t="inlineStr">
        <is>
          <t>Weather</t>
        </is>
      </c>
      <c r="C45" s="27" t="inlineStr">
        <is>
          <t>icon_weather_shooting_star_rare_event.png</t>
        </is>
      </c>
      <c r="D45" s="28" t="inlineStr">
        <is>
          <t>To do</t>
        </is>
      </c>
      <c r="E45" s="27" t="n"/>
    </row>
    <row r="46" ht="15" customHeight="1" s="18">
      <c r="A46" s="27" t="inlineStr">
        <is>
          <t>Samhain</t>
        </is>
      </c>
      <c r="B46" s="27" t="inlineStr">
        <is>
          <t>Sabbat</t>
        </is>
      </c>
      <c r="C46" s="27" t="inlineStr">
        <is>
          <t>icon_sabbat_samhain.png</t>
        </is>
      </c>
      <c r="D46" s="28" t="inlineStr">
        <is>
          <t>To do</t>
        </is>
      </c>
      <c r="E46" s="27" t="n"/>
    </row>
    <row r="47" ht="15" customHeight="1" s="18">
      <c r="A47" s="27" t="inlineStr">
        <is>
          <t>Yule</t>
        </is>
      </c>
      <c r="B47" s="27" t="inlineStr">
        <is>
          <t>Sabbat</t>
        </is>
      </c>
      <c r="C47" s="27" t="inlineStr">
        <is>
          <t>icon_sabbat_yule.png</t>
        </is>
      </c>
      <c r="D47" s="28" t="inlineStr">
        <is>
          <t>To do</t>
        </is>
      </c>
      <c r="E47" s="27" t="n"/>
    </row>
    <row r="48" ht="15" customHeight="1" s="18">
      <c r="A48" s="27" t="inlineStr">
        <is>
          <t>Imbolc</t>
        </is>
      </c>
      <c r="B48" s="27" t="inlineStr">
        <is>
          <t>Sabbat</t>
        </is>
      </c>
      <c r="C48" s="27" t="inlineStr">
        <is>
          <t>icon_sabbat_imbolc.png</t>
        </is>
      </c>
      <c r="D48" s="28" t="inlineStr">
        <is>
          <t>To do</t>
        </is>
      </c>
      <c r="E48" s="27" t="n"/>
    </row>
    <row r="49" ht="15" customHeight="1" s="18">
      <c r="A49" s="27" t="inlineStr">
        <is>
          <t>Ostara</t>
        </is>
      </c>
      <c r="B49" s="27" t="inlineStr">
        <is>
          <t>Sabbat</t>
        </is>
      </c>
      <c r="C49" s="27" t="inlineStr">
        <is>
          <t>icon_sabbat_ostara.png</t>
        </is>
      </c>
      <c r="D49" s="28" t="inlineStr">
        <is>
          <t>To do</t>
        </is>
      </c>
      <c r="E49" s="27" t="n"/>
    </row>
    <row r="50" ht="15" customHeight="1" s="18">
      <c r="A50" s="27" t="inlineStr">
        <is>
          <t>Beltane</t>
        </is>
      </c>
      <c r="B50" s="27" t="inlineStr">
        <is>
          <t>Sabbat</t>
        </is>
      </c>
      <c r="C50" s="27" t="inlineStr">
        <is>
          <t>icon_sabbat_beltane.png</t>
        </is>
      </c>
      <c r="D50" s="28" t="inlineStr">
        <is>
          <t>To do</t>
        </is>
      </c>
      <c r="E50" s="27" t="n"/>
    </row>
    <row r="51" ht="15" customHeight="1" s="18">
      <c r="A51" s="27" t="inlineStr">
        <is>
          <t>Litha</t>
        </is>
      </c>
      <c r="B51" s="27" t="inlineStr">
        <is>
          <t>Sabbat</t>
        </is>
      </c>
      <c r="C51" s="27" t="inlineStr">
        <is>
          <t>icon_sabbat_litha.png</t>
        </is>
      </c>
      <c r="D51" s="28" t="inlineStr">
        <is>
          <t>To do</t>
        </is>
      </c>
      <c r="E51" s="27" t="n"/>
    </row>
    <row r="52" ht="15" customHeight="1" s="18">
      <c r="A52" s="27" t="inlineStr">
        <is>
          <t>Lughnasadh</t>
        </is>
      </c>
      <c r="B52" s="27" t="inlineStr">
        <is>
          <t>Sabbat</t>
        </is>
      </c>
      <c r="C52" s="27" t="inlineStr">
        <is>
          <t>icon_sabbat_lughnasadh.png</t>
        </is>
      </c>
      <c r="D52" s="28" t="inlineStr">
        <is>
          <t>To do</t>
        </is>
      </c>
      <c r="E52" s="27" t="n"/>
    </row>
    <row r="53" ht="15" customHeight="1" s="18">
      <c r="A53" s="27" t="inlineStr">
        <is>
          <t>Mabon</t>
        </is>
      </c>
      <c r="B53" s="27" t="inlineStr">
        <is>
          <t>Sabbat</t>
        </is>
      </c>
      <c r="C53" s="27" t="inlineStr">
        <is>
          <t>icon_sabbat_mabon.png</t>
        </is>
      </c>
      <c r="D53" s="28" t="inlineStr">
        <is>
          <t>To do</t>
        </is>
      </c>
      <c r="E53" s="27" t="n"/>
    </row>
  </sheetData>
  <autoFilter ref="A1:E53"/>
  <dataValidations count="1">
    <dataValidation sqref="D2:D53" showDropDown="0" showInputMessage="0" showErrorMessage="0" allowBlank="1" type="list" errorStyle="stop" operator="between">
      <formula1>"To do,Sketch,In progress,Done"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14" customWidth="1" style="17" min="2" max="2"/>
    <col width="30" customWidth="1" style="17" min="3" max="3"/>
    <col width="12" customWidth="1" style="17" min="4" max="4"/>
    <col width="40" customWidth="1" style="17" min="5" max="5"/>
  </cols>
  <sheetData>
    <row r="1" ht="21.75" customHeight="1" s="18">
      <c r="A1" s="26" t="inlineStr">
        <is>
          <t>Spell type</t>
        </is>
      </c>
      <c r="B1" s="26" t="inlineStr">
        <is>
          <t># spells of this type</t>
        </is>
      </c>
      <c r="C1" s="26" t="inlineStr">
        <is>
          <t>Image file</t>
        </is>
      </c>
      <c r="D1" s="26" t="inlineStr">
        <is>
          <t>Status</t>
        </is>
      </c>
      <c r="E1" s="26" t="inlineStr">
        <is>
          <t>Notes</t>
        </is>
      </c>
    </row>
    <row r="2" ht="15" customHeight="1" s="18">
      <c r="A2" s="27" t="inlineStr">
        <is>
          <t>Amulet</t>
        </is>
      </c>
      <c r="B2" s="27">
        <f>COUNTIF(Recipes!$D$2:$D$241,A2)</f>
        <v/>
      </c>
      <c r="C2" s="27" t="inlineStr">
        <is>
          <t>product_amulet.png</t>
        </is>
      </c>
      <c r="D2" s="28" t="inlineStr">
        <is>
          <t>To do</t>
        </is>
      </c>
      <c r="E2" s="27" t="inlineStr">
        <is>
          <t>Base sprite; each spell gets its own label</t>
        </is>
      </c>
    </row>
    <row r="3" ht="15" customHeight="1" s="18">
      <c r="A3" s="27" t="inlineStr">
        <is>
          <t>Balm</t>
        </is>
      </c>
      <c r="B3" s="27">
        <f>COUNTIF(Recipes!$D$2:$D$241,A3)</f>
        <v/>
      </c>
      <c r="C3" s="27" t="inlineStr">
        <is>
          <t>product_balm.png</t>
        </is>
      </c>
      <c r="D3" s="28" t="inlineStr">
        <is>
          <t>To do</t>
        </is>
      </c>
      <c r="E3" s="27" t="inlineStr">
        <is>
          <t>Base sprite; each spell gets its own label</t>
        </is>
      </c>
    </row>
    <row r="4" ht="15" customHeight="1" s="18">
      <c r="A4" s="27" t="inlineStr">
        <is>
          <t>Bath Salt</t>
        </is>
      </c>
      <c r="B4" s="27">
        <f>COUNTIF(Recipes!$D$2:$D$241,A4)</f>
        <v/>
      </c>
      <c r="C4" s="27" t="inlineStr">
        <is>
          <t>product_bath_salt.png</t>
        </is>
      </c>
      <c r="D4" s="28" t="inlineStr">
        <is>
          <t>To do</t>
        </is>
      </c>
      <c r="E4" s="27" t="inlineStr">
        <is>
          <t>Base sprite; each spell gets its own label</t>
        </is>
      </c>
    </row>
    <row r="5" ht="15" customHeight="1" s="18">
      <c r="A5" s="27" t="inlineStr">
        <is>
          <t>Butter</t>
        </is>
      </c>
      <c r="B5" s="27">
        <f>COUNTIF(Recipes!$D$2:$D$241,A5)</f>
        <v/>
      </c>
      <c r="C5" s="27" t="inlineStr">
        <is>
          <t>product_butter.png</t>
        </is>
      </c>
      <c r="D5" s="28" t="inlineStr">
        <is>
          <t>To do</t>
        </is>
      </c>
      <c r="E5" s="27" t="inlineStr">
        <is>
          <t>Base sprite; each spell gets its own label</t>
        </is>
      </c>
    </row>
    <row r="6" ht="15" customHeight="1" s="18">
      <c r="A6" s="27" t="inlineStr">
        <is>
          <t>Charm</t>
        </is>
      </c>
      <c r="B6" s="27">
        <f>COUNTIF(Recipes!$D$2:$D$241,A6)</f>
        <v/>
      </c>
      <c r="C6" s="27" t="inlineStr">
        <is>
          <t>product_charm.png</t>
        </is>
      </c>
      <c r="D6" s="28" t="inlineStr">
        <is>
          <t>To do</t>
        </is>
      </c>
      <c r="E6" s="27" t="inlineStr">
        <is>
          <t>Base sprite; each spell gets its own label</t>
        </is>
      </c>
    </row>
    <row r="7" ht="15" customHeight="1" s="18">
      <c r="A7" s="27" t="inlineStr">
        <is>
          <t>Cookies</t>
        </is>
      </c>
      <c r="B7" s="27">
        <f>COUNTIF(Recipes!$D$2:$D$241,A7)</f>
        <v/>
      </c>
      <c r="C7" s="27" t="inlineStr">
        <is>
          <t>product_cookies.png</t>
        </is>
      </c>
      <c r="D7" s="28" t="inlineStr">
        <is>
          <t>To do</t>
        </is>
      </c>
      <c r="E7" s="27" t="inlineStr">
        <is>
          <t>Base sprite; each spell gets its own label</t>
        </is>
      </c>
    </row>
    <row r="8" ht="15" customHeight="1" s="18">
      <c r="A8" s="27" t="inlineStr">
        <is>
          <t>Glamour</t>
        </is>
      </c>
      <c r="B8" s="27">
        <f>COUNTIF(Recipes!$D$2:$D$241,A8)</f>
        <v/>
      </c>
      <c r="C8" s="27" t="inlineStr">
        <is>
          <t>product_glamour.png</t>
        </is>
      </c>
      <c r="D8" s="28" t="inlineStr">
        <is>
          <t>To do</t>
        </is>
      </c>
      <c r="E8" s="27" t="inlineStr">
        <is>
          <t>Base sprite; each spell gets its own label</t>
        </is>
      </c>
    </row>
    <row r="9" ht="15" customHeight="1" s="18">
      <c r="A9" s="27" t="inlineStr">
        <is>
          <t>Hand Mirror</t>
        </is>
      </c>
      <c r="B9" s="27">
        <f>COUNTIF(Recipes!$D$2:$D$241,A9)</f>
        <v/>
      </c>
      <c r="C9" s="27" t="inlineStr">
        <is>
          <t>product_hand_mirror.png</t>
        </is>
      </c>
      <c r="D9" s="28" t="inlineStr">
        <is>
          <t>To do</t>
        </is>
      </c>
      <c r="E9" s="27" t="inlineStr">
        <is>
          <t>Base sprite; each spell gets its own label</t>
        </is>
      </c>
    </row>
    <row r="10" ht="15" customHeight="1" s="18">
      <c r="A10" s="27" t="inlineStr">
        <is>
          <t>Incense</t>
        </is>
      </c>
      <c r="B10" s="27">
        <f>COUNTIF(Recipes!$D$2:$D$241,A10)</f>
        <v/>
      </c>
      <c r="C10" s="27" t="inlineStr">
        <is>
          <t>product_incense.png</t>
        </is>
      </c>
      <c r="D10" s="28" t="inlineStr">
        <is>
          <t>To do</t>
        </is>
      </c>
      <c r="E10" s="27" t="inlineStr">
        <is>
          <t>Base sprite; each spell gets its own label</t>
        </is>
      </c>
    </row>
    <row r="11" ht="15" customHeight="1" s="18">
      <c r="A11" s="27" t="inlineStr">
        <is>
          <t>Oil</t>
        </is>
      </c>
      <c r="B11" s="27">
        <f>COUNTIF(Recipes!$D$2:$D$241,A11)</f>
        <v/>
      </c>
      <c r="C11" s="27" t="inlineStr">
        <is>
          <t>product_oil.png</t>
        </is>
      </c>
      <c r="D11" s="28" t="inlineStr">
        <is>
          <t>To do</t>
        </is>
      </c>
      <c r="E11" s="27" t="inlineStr">
        <is>
          <t>Base sprite; each spell gets its own label</t>
        </is>
      </c>
    </row>
    <row r="12" ht="15" customHeight="1" s="18">
      <c r="A12" s="27" t="inlineStr">
        <is>
          <t>Poppet</t>
        </is>
      </c>
      <c r="B12" s="27">
        <f>COUNTIF(Recipes!$D$2:$D$241,A12)</f>
        <v/>
      </c>
      <c r="C12" s="27" t="inlineStr">
        <is>
          <t>product_poppet.png</t>
        </is>
      </c>
      <c r="D12" s="28" t="inlineStr">
        <is>
          <t>To do</t>
        </is>
      </c>
      <c r="E12" s="27" t="inlineStr">
        <is>
          <t>Base sprite; each spell gets its own label</t>
        </is>
      </c>
    </row>
    <row r="13" ht="15" customHeight="1" s="18">
      <c r="A13" s="27" t="inlineStr">
        <is>
          <t>Potion</t>
        </is>
      </c>
      <c r="B13" s="27">
        <f>COUNTIF(Recipes!$D$2:$D$241,A13)</f>
        <v/>
      </c>
      <c r="C13" s="27" t="inlineStr">
        <is>
          <t>product_potion.png</t>
        </is>
      </c>
      <c r="D13" s="28" t="inlineStr">
        <is>
          <t>To do</t>
        </is>
      </c>
      <c r="E13" s="27" t="inlineStr">
        <is>
          <t>Base sprite; each spell gets its own label</t>
        </is>
      </c>
    </row>
    <row r="14" ht="15" customHeight="1" s="18">
      <c r="A14" s="27" t="inlineStr">
        <is>
          <t>Powder</t>
        </is>
      </c>
      <c r="B14" s="27">
        <f>COUNTIF(Recipes!$D$2:$D$241,A14)</f>
        <v/>
      </c>
      <c r="C14" s="27" t="inlineStr">
        <is>
          <t>product_powder.png</t>
        </is>
      </c>
      <c r="D14" s="28" t="inlineStr">
        <is>
          <t>To do</t>
        </is>
      </c>
      <c r="E14" s="27" t="inlineStr">
        <is>
          <t>Base sprite; each spell gets its own label</t>
        </is>
      </c>
    </row>
    <row r="15" ht="15" customHeight="1" s="18">
      <c r="A15" s="27" t="inlineStr">
        <is>
          <t>Rune</t>
        </is>
      </c>
      <c r="B15" s="27">
        <f>COUNTIF(Recipes!$D$2:$D$241,A15)</f>
        <v/>
      </c>
      <c r="C15" s="27" t="inlineStr">
        <is>
          <t>product_rune.png</t>
        </is>
      </c>
      <c r="D15" s="28" t="inlineStr">
        <is>
          <t>To do</t>
        </is>
      </c>
      <c r="E15" s="27" t="inlineStr">
        <is>
          <t>Base sprite; each spell gets its own label</t>
        </is>
      </c>
    </row>
    <row r="16" ht="15" customHeight="1" s="18">
      <c r="A16" s="27" t="inlineStr">
        <is>
          <t>Sachet</t>
        </is>
      </c>
      <c r="B16" s="27">
        <f>COUNTIF(Recipes!$D$2:$D$241,A16)</f>
        <v/>
      </c>
      <c r="C16" s="27" t="inlineStr">
        <is>
          <t>product_sachet.png</t>
        </is>
      </c>
      <c r="D16" s="28" t="inlineStr">
        <is>
          <t>To do</t>
        </is>
      </c>
      <c r="E16" s="27" t="inlineStr">
        <is>
          <t>Base sprite; each spell gets its own label</t>
        </is>
      </c>
    </row>
    <row r="17" ht="15" customHeight="1" s="18">
      <c r="A17" s="27" t="inlineStr">
        <is>
          <t>Sigil</t>
        </is>
      </c>
      <c r="B17" s="27">
        <f>COUNTIF(Recipes!$D$2:$D$241,A17)</f>
        <v/>
      </c>
      <c r="C17" s="27" t="inlineStr">
        <is>
          <t>product_sigil.png</t>
        </is>
      </c>
      <c r="D17" s="28" t="inlineStr">
        <is>
          <t>To do</t>
        </is>
      </c>
      <c r="E17" s="27" t="inlineStr">
        <is>
          <t>Base sprite; each spell gets its own label</t>
        </is>
      </c>
    </row>
    <row r="18" ht="15" customHeight="1" s="18">
      <c r="A18" s="27" t="inlineStr">
        <is>
          <t>Soap</t>
        </is>
      </c>
      <c r="B18" s="27">
        <f>COUNTIF(Recipes!$D$2:$D$241,A18)</f>
        <v/>
      </c>
      <c r="C18" s="27" t="inlineStr">
        <is>
          <t>product_soap.png</t>
        </is>
      </c>
      <c r="D18" s="28" t="inlineStr">
        <is>
          <t>To do</t>
        </is>
      </c>
      <c r="E18" s="27" t="inlineStr">
        <is>
          <t>Base sprite; each spell gets its own label</t>
        </is>
      </c>
    </row>
    <row r="19" ht="15" customHeight="1" s="18">
      <c r="A19" s="27" t="inlineStr">
        <is>
          <t>Spell Bottle</t>
        </is>
      </c>
      <c r="B19" s="27">
        <f>COUNTIF(Recipes!$D$2:$D$241,A19)</f>
        <v/>
      </c>
      <c r="C19" s="27" t="inlineStr">
        <is>
          <t>product_spell_bottle.png</t>
        </is>
      </c>
      <c r="D19" s="28" t="inlineStr">
        <is>
          <t>To do</t>
        </is>
      </c>
      <c r="E19" s="27" t="inlineStr">
        <is>
          <t>Base sprite; each spell gets its own label</t>
        </is>
      </c>
    </row>
    <row r="20" ht="15" customHeight="1" s="18">
      <c r="A20" s="27" t="inlineStr">
        <is>
          <t>Talisman</t>
        </is>
      </c>
      <c r="B20" s="27">
        <f>COUNTIF(Recipes!$D$2:$D$241,A20)</f>
        <v/>
      </c>
      <c r="C20" s="27" t="inlineStr">
        <is>
          <t>product_talisman.png</t>
        </is>
      </c>
      <c r="D20" s="28" t="inlineStr">
        <is>
          <t>To do</t>
        </is>
      </c>
      <c r="E20" s="27" t="inlineStr">
        <is>
          <t>Base sprite; each spell gets its own label</t>
        </is>
      </c>
    </row>
    <row r="21" ht="15" customHeight="1" s="18">
      <c r="A21" s="27" t="inlineStr">
        <is>
          <t>Tea</t>
        </is>
      </c>
      <c r="B21" s="27">
        <f>COUNTIF(Recipes!$D$2:$D$241,A21)</f>
        <v/>
      </c>
      <c r="C21" s="27" t="inlineStr">
        <is>
          <t>product_tea.png</t>
        </is>
      </c>
      <c r="D21" s="28" t="inlineStr">
        <is>
          <t>To do</t>
        </is>
      </c>
      <c r="E21" s="27" t="inlineStr">
        <is>
          <t>Base sprite; each spell gets its own label</t>
        </is>
      </c>
    </row>
    <row r="22" ht="15" customHeight="1" s="18">
      <c r="A22" s="27" t="inlineStr">
        <is>
          <t>Tonic</t>
        </is>
      </c>
      <c r="B22" s="27">
        <f>COUNTIF(Recipes!$D$2:$D$241,A22)</f>
        <v/>
      </c>
      <c r="C22" s="27" t="inlineStr">
        <is>
          <t>product_tonic.png</t>
        </is>
      </c>
      <c r="D22" s="28" t="inlineStr">
        <is>
          <t>To do</t>
        </is>
      </c>
      <c r="E22" s="27" t="inlineStr">
        <is>
          <t>Base sprite; each spell gets its own label</t>
        </is>
      </c>
    </row>
    <row r="23" ht="15" customHeight="1" s="18">
      <c r="A23" s="27" t="inlineStr">
        <is>
          <t>Wand</t>
        </is>
      </c>
      <c r="B23" s="27">
        <f>COUNTIF(Recipes!$D$2:$D$241,A23)</f>
        <v/>
      </c>
      <c r="C23" s="27" t="inlineStr">
        <is>
          <t>product_wand.png</t>
        </is>
      </c>
      <c r="D23" s="28" t="inlineStr">
        <is>
          <t>To do</t>
        </is>
      </c>
      <c r="E23" s="27" t="inlineStr">
        <is>
          <t>Base sprite; each spell gets its own label</t>
        </is>
      </c>
    </row>
    <row r="24" ht="15" customHeight="1" s="18">
      <c r="A24" s="27" t="inlineStr">
        <is>
          <t>Water</t>
        </is>
      </c>
      <c r="B24" s="27">
        <f>COUNTIF(Recipes!$D$2:$D$241,A24)</f>
        <v/>
      </c>
      <c r="C24" s="27" t="inlineStr">
        <is>
          <t>product_water.png</t>
        </is>
      </c>
      <c r="D24" s="28" t="inlineStr">
        <is>
          <t>To do</t>
        </is>
      </c>
      <c r="E24" s="27" t="inlineStr">
        <is>
          <t>Base sprite; each spell gets its own label</t>
        </is>
      </c>
    </row>
    <row r="25" ht="15" customHeight="1" s="18">
      <c r="A25" s="27" t="inlineStr">
        <is>
          <t>Witch Salt</t>
        </is>
      </c>
      <c r="B25" s="27">
        <f>COUNTIF(Recipes!$D$2:$D$241,A25)</f>
        <v/>
      </c>
      <c r="C25" s="27" t="inlineStr">
        <is>
          <t>product_witch_salt.png</t>
        </is>
      </c>
      <c r="D25" s="28" t="inlineStr">
        <is>
          <t>To do</t>
        </is>
      </c>
      <c r="E25" s="27" t="inlineStr">
        <is>
          <t>Base sprite; each spell gets its own label</t>
        </is>
      </c>
    </row>
    <row r="26" ht="15" customHeight="1" s="18">
      <c r="A26" s="27" t="inlineStr">
        <is>
          <t>Witch's Ladder</t>
        </is>
      </c>
      <c r="B26" s="27">
        <f>COUNTIF(Recipes!$D$2:$D$241,A26)</f>
        <v/>
      </c>
      <c r="C26" s="27" t="inlineStr">
        <is>
          <t>product_witch_s_ladder.png</t>
        </is>
      </c>
      <c r="D26" s="28" t="inlineStr">
        <is>
          <t>To do</t>
        </is>
      </c>
      <c r="E26" s="27" t="inlineStr">
        <is>
          <t>Base sprite; each spell gets its own label</t>
        </is>
      </c>
    </row>
  </sheetData>
  <autoFilter ref="A1:E26"/>
  <dataValidations count="1">
    <dataValidation sqref="D2:D26" showDropDown="0" showInputMessage="0" showErrorMessage="0" allowBlank="1" type="list" errorStyle="stop" operator="between">
      <formula1>"To do,Sketch,In progress,Done"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7" min="1" max="1"/>
    <col width="24" customWidth="1" style="17" min="2" max="2"/>
    <col width="36" customWidth="1" style="17" min="3" max="3"/>
    <col width="12" customWidth="1" style="17" min="4" max="4"/>
    <col width="40" customWidth="1" style="17" min="5" max="5"/>
  </cols>
  <sheetData>
    <row r="1" ht="21.75" customHeight="1" s="18">
      <c r="A1" s="26" t="inlineStr">
        <is>
          <t>Object</t>
        </is>
      </c>
      <c r="B1" s="26" t="inlineStr">
        <is>
          <t>Where</t>
        </is>
      </c>
      <c r="C1" s="26" t="inlineStr">
        <is>
          <t>Image file</t>
        </is>
      </c>
      <c r="D1" s="26" t="inlineStr">
        <is>
          <t>Status</t>
        </is>
      </c>
      <c r="E1" s="26" t="inlineStr">
        <is>
          <t>Notes</t>
        </is>
      </c>
    </row>
    <row r="2" ht="15" customHeight="1" s="18">
      <c r="A2" s="27" t="inlineStr">
        <is>
          <t>Altar plates</t>
        </is>
      </c>
      <c r="B2" s="27" t="inlineStr">
        <is>
          <t>Main · Altar</t>
        </is>
      </c>
      <c r="C2" s="27" t="inlineStr">
        <is>
          <t>obj_altar_plates.png</t>
        </is>
      </c>
      <c r="D2" s="28" t="inlineStr">
        <is>
          <t>To do</t>
        </is>
      </c>
      <c r="E2" s="27" t="n"/>
    </row>
    <row r="3" ht="15" customHeight="1" s="18">
      <c r="A3" s="27" t="inlineStr">
        <is>
          <t>Athame</t>
        </is>
      </c>
      <c r="B3" s="27" t="inlineStr">
        <is>
          <t>Main · Altar</t>
        </is>
      </c>
      <c r="C3" s="27" t="inlineStr">
        <is>
          <t>obj_athame.png</t>
        </is>
      </c>
      <c r="D3" s="28" t="inlineStr">
        <is>
          <t>To do</t>
        </is>
      </c>
      <c r="E3" s="27" t="n"/>
    </row>
    <row r="4" ht="15" customHeight="1" s="18">
      <c r="A4" s="27" t="inlineStr">
        <is>
          <t>Boline</t>
        </is>
      </c>
      <c r="B4" s="27" t="inlineStr">
        <is>
          <t>Main · Altar</t>
        </is>
      </c>
      <c r="C4" s="27" t="inlineStr">
        <is>
          <t>obj_boline.png</t>
        </is>
      </c>
      <c r="D4" s="28" t="inlineStr">
        <is>
          <t>To do</t>
        </is>
      </c>
      <c r="E4" s="27" t="n"/>
    </row>
    <row r="5" ht="15" customHeight="1" s="18">
      <c r="A5" s="27" t="inlineStr">
        <is>
          <t>Pentacle</t>
        </is>
      </c>
      <c r="B5" s="27" t="inlineStr">
        <is>
          <t>Main · Altar</t>
        </is>
      </c>
      <c r="C5" s="27" t="inlineStr">
        <is>
          <t>obj_pentacle.png</t>
        </is>
      </c>
      <c r="D5" s="28" t="inlineStr">
        <is>
          <t>To do</t>
        </is>
      </c>
      <c r="E5" s="27" t="n"/>
    </row>
    <row r="6" ht="15" customHeight="1" s="18">
      <c r="A6" s="27" t="inlineStr">
        <is>
          <t>Candle holder</t>
        </is>
      </c>
      <c r="B6" s="27" t="inlineStr">
        <is>
          <t>Main · Altar</t>
        </is>
      </c>
      <c r="C6" s="27" t="inlineStr">
        <is>
          <t>obj_candle_holder.png</t>
        </is>
      </c>
      <c r="D6" s="28" t="inlineStr">
        <is>
          <t>To do</t>
        </is>
      </c>
      <c r="E6" s="27" t="n"/>
    </row>
    <row r="7" ht="15" customHeight="1" s="18">
      <c r="A7" s="27" t="inlineStr">
        <is>
          <t>Tarot spread cloth</t>
        </is>
      </c>
      <c r="B7" s="27" t="inlineStr">
        <is>
          <t>Main · Altar</t>
        </is>
      </c>
      <c r="C7" s="27" t="inlineStr">
        <is>
          <t>obj_tarot_spread_cloth.png</t>
        </is>
      </c>
      <c r="D7" s="28" t="inlineStr">
        <is>
          <t>To do</t>
        </is>
      </c>
      <c r="E7" s="27" t="n"/>
    </row>
    <row r="8" ht="15" customHeight="1" s="18">
      <c r="A8" s="27" t="inlineStr">
        <is>
          <t>Bookshelf</t>
        </is>
      </c>
      <c r="B8" s="27" t="inlineStr">
        <is>
          <t>Main · Altar</t>
        </is>
      </c>
      <c r="C8" s="27" t="inlineStr">
        <is>
          <t>obj_bookshelf.png</t>
        </is>
      </c>
      <c r="D8" s="28" t="inlineStr">
        <is>
          <t>To do</t>
        </is>
      </c>
      <c r="E8" s="27" t="n"/>
    </row>
    <row r="9" ht="15" customHeight="1" s="18">
      <c r="A9" s="27" t="inlineStr">
        <is>
          <t>Shop counter</t>
        </is>
      </c>
      <c r="B9" s="27" t="inlineStr">
        <is>
          <t>Main · Altar</t>
        </is>
      </c>
      <c r="C9" s="27" t="inlineStr">
        <is>
          <t>obj_shop_counter.png</t>
        </is>
      </c>
      <c r="D9" s="28" t="inlineStr">
        <is>
          <t>To do</t>
        </is>
      </c>
      <c r="E9" s="27" t="n"/>
    </row>
    <row r="10" ht="15" customHeight="1" s="18">
      <c r="A10" s="27" t="inlineStr">
        <is>
          <t>Cauldron</t>
        </is>
      </c>
      <c r="B10" s="27" t="inlineStr">
        <is>
          <t>Left · Kitchen</t>
        </is>
      </c>
      <c r="C10" s="27" t="inlineStr">
        <is>
          <t>obj_cauldron.png</t>
        </is>
      </c>
      <c r="D10" s="28" t="inlineStr">
        <is>
          <t>To do</t>
        </is>
      </c>
      <c r="E10" s="27" t="n"/>
    </row>
    <row r="11" ht="15" customHeight="1" s="18">
      <c r="A11" s="27" t="inlineStr">
        <is>
          <t>Mortar &amp; pestle</t>
        </is>
      </c>
      <c r="B11" s="27" t="inlineStr">
        <is>
          <t>Left · Kitchen</t>
        </is>
      </c>
      <c r="C11" s="27" t="inlineStr">
        <is>
          <t>obj_mortar_pestle.png</t>
        </is>
      </c>
      <c r="D11" s="28" t="inlineStr">
        <is>
          <t>To do</t>
        </is>
      </c>
      <c r="E11" s="27" t="n"/>
    </row>
    <row r="12" ht="15" customHeight="1" s="18">
      <c r="A12" s="27" t="inlineStr">
        <is>
          <t>Oil infuser</t>
        </is>
      </c>
      <c r="B12" s="27" t="inlineStr">
        <is>
          <t>Left · Kitchen</t>
        </is>
      </c>
      <c r="C12" s="27" t="inlineStr">
        <is>
          <t>obj_oil_infuser.png</t>
        </is>
      </c>
      <c r="D12" s="28" t="inlineStr">
        <is>
          <t>To do</t>
        </is>
      </c>
      <c r="E12" s="27" t="n"/>
    </row>
    <row r="13" ht="15" customHeight="1" s="18">
      <c r="A13" s="27" t="inlineStr">
        <is>
          <t>Stove</t>
        </is>
      </c>
      <c r="B13" s="27" t="inlineStr">
        <is>
          <t>Left · Kitchen</t>
        </is>
      </c>
      <c r="C13" s="27" t="inlineStr">
        <is>
          <t>obj_stove.png</t>
        </is>
      </c>
      <c r="D13" s="28" t="inlineStr">
        <is>
          <t>To do</t>
        </is>
      </c>
      <c r="E13" s="27" t="n"/>
    </row>
    <row r="14" ht="15" customHeight="1" s="18">
      <c r="A14" s="27" t="inlineStr">
        <is>
          <t>Oven</t>
        </is>
      </c>
      <c r="B14" s="27" t="inlineStr">
        <is>
          <t>Left · Kitchen</t>
        </is>
      </c>
      <c r="C14" s="27" t="inlineStr">
        <is>
          <t>obj_oven.png</t>
        </is>
      </c>
      <c r="D14" s="28" t="inlineStr">
        <is>
          <t>To do</t>
        </is>
      </c>
      <c r="E14" s="27" t="n"/>
    </row>
    <row r="15" ht="15" customHeight="1" s="18">
      <c r="A15" s="27" t="inlineStr">
        <is>
          <t>Kettle</t>
        </is>
      </c>
      <c r="B15" s="27" t="inlineStr">
        <is>
          <t>Left · Kitchen</t>
        </is>
      </c>
      <c r="C15" s="27" t="inlineStr">
        <is>
          <t>obj_kettle.png</t>
        </is>
      </c>
      <c r="D15" s="28" t="inlineStr">
        <is>
          <t>To do</t>
        </is>
      </c>
      <c r="E15" s="27" t="n"/>
    </row>
    <row r="16" ht="15" customHeight="1" s="18">
      <c r="A16" s="27" t="inlineStr">
        <is>
          <t>Double boiler</t>
        </is>
      </c>
      <c r="B16" s="27" t="inlineStr">
        <is>
          <t>Left · Kitchen</t>
        </is>
      </c>
      <c r="C16" s="27" t="inlineStr">
        <is>
          <t>obj_double_boiler.png</t>
        </is>
      </c>
      <c r="D16" s="28" t="inlineStr">
        <is>
          <t>To do</t>
        </is>
      </c>
      <c r="E16" s="27" t="n"/>
    </row>
    <row r="17" ht="15" customHeight="1" s="18">
      <c r="A17" s="27" t="inlineStr">
        <is>
          <t>Soap &amp; cookie moulds</t>
        </is>
      </c>
      <c r="B17" s="27" t="inlineStr">
        <is>
          <t>Left · Kitchen</t>
        </is>
      </c>
      <c r="C17" s="27" t="inlineStr">
        <is>
          <t>obj_soap_cookie_moulds.png</t>
        </is>
      </c>
      <c r="D17" s="28" t="inlineStr">
        <is>
          <t>To do</t>
        </is>
      </c>
      <c r="E17" s="27" t="n"/>
    </row>
    <row r="18" ht="15" customHeight="1" s="18">
      <c r="A18" s="27" t="inlineStr">
        <is>
          <t>Herb drying rack</t>
        </is>
      </c>
      <c r="B18" s="27" t="inlineStr">
        <is>
          <t>Left · Herb rack</t>
        </is>
      </c>
      <c r="C18" s="27" t="inlineStr">
        <is>
          <t>obj_herb_drying_rack.png</t>
        </is>
      </c>
      <c r="D18" s="28" t="inlineStr">
        <is>
          <t>To do</t>
        </is>
      </c>
      <c r="E18" s="27" t="n"/>
    </row>
    <row r="19" ht="15" customHeight="1" s="18">
      <c r="A19" s="27" t="inlineStr">
        <is>
          <t>Water bottles</t>
        </is>
      </c>
      <c r="B19" s="27" t="inlineStr">
        <is>
          <t>Left · Water bottles</t>
        </is>
      </c>
      <c r="C19" s="27" t="inlineStr">
        <is>
          <t>obj_water_bottles.png</t>
        </is>
      </c>
      <c r="D19" s="28" t="inlineStr">
        <is>
          <t>To do</t>
        </is>
      </c>
      <c r="E19" s="27" t="n"/>
    </row>
    <row r="20" ht="15" customHeight="1" s="18">
      <c r="A20" s="27" t="inlineStr">
        <is>
          <t>Bottle label drawer</t>
        </is>
      </c>
      <c r="B20" s="27" t="inlineStr">
        <is>
          <t>Left · Water bottles</t>
        </is>
      </c>
      <c r="C20" s="27" t="inlineStr">
        <is>
          <t>obj_bottle_label_drawer.png</t>
        </is>
      </c>
      <c r="D20" s="28" t="inlineStr">
        <is>
          <t>To do</t>
        </is>
      </c>
      <c r="E20" s="27" t="n"/>
    </row>
    <row r="21" ht="15" customHeight="1" s="18">
      <c r="A21" s="27" t="inlineStr">
        <is>
          <t>Crystal shelf</t>
        </is>
      </c>
      <c r="B21" s="27" t="inlineStr">
        <is>
          <t>Right</t>
        </is>
      </c>
      <c r="C21" s="27" t="inlineStr">
        <is>
          <t>obj_crystal_shelf.png</t>
        </is>
      </c>
      <c r="D21" s="28" t="inlineStr">
        <is>
          <t>To do</t>
        </is>
      </c>
      <c r="E21" s="27" t="n"/>
    </row>
    <row r="22" ht="15" customHeight="1" s="18">
      <c r="A22" s="27" t="inlineStr">
        <is>
          <t>Candle shelf</t>
        </is>
      </c>
      <c r="B22" s="27" t="inlineStr">
        <is>
          <t>Right</t>
        </is>
      </c>
      <c r="C22" s="27" t="inlineStr">
        <is>
          <t>obj_candle_shelf.png</t>
        </is>
      </c>
      <c r="D22" s="28" t="inlineStr">
        <is>
          <t>To do</t>
        </is>
      </c>
      <c r="E22" s="27" t="n"/>
    </row>
    <row r="23" ht="15" customHeight="1" s="18">
      <c r="A23" s="27" t="inlineStr">
        <is>
          <t>Tarot deck box</t>
        </is>
      </c>
      <c r="B23" s="27" t="inlineStr">
        <is>
          <t>Right</t>
        </is>
      </c>
      <c r="C23" s="27" t="inlineStr">
        <is>
          <t>obj_tarot_deck_box.png</t>
        </is>
      </c>
      <c r="D23" s="28" t="inlineStr">
        <is>
          <t>To do</t>
        </is>
      </c>
      <c r="E23" s="27" t="n"/>
    </row>
    <row r="24" ht="15" customHeight="1" s="18">
      <c r="A24" s="27" t="inlineStr">
        <is>
          <t>Animal gift cabinet</t>
        </is>
      </c>
      <c r="B24" s="27" t="inlineStr">
        <is>
          <t>Right</t>
        </is>
      </c>
      <c r="C24" s="27" t="inlineStr">
        <is>
          <t>obj_animal_gift_cabinet.png</t>
        </is>
      </c>
      <c r="D24" s="28" t="inlineStr">
        <is>
          <t>To do</t>
        </is>
      </c>
      <c r="E24" s="27" t="n"/>
    </row>
    <row r="25" ht="15" customHeight="1" s="18">
      <c r="A25" s="27" t="inlineStr">
        <is>
          <t>Button tin</t>
        </is>
      </c>
      <c r="B25" s="27" t="inlineStr">
        <is>
          <t>Right</t>
        </is>
      </c>
      <c r="C25" s="27" t="inlineStr">
        <is>
          <t>obj_button_tin.png</t>
        </is>
      </c>
      <c r="D25" s="28" t="inlineStr">
        <is>
          <t>To do</t>
        </is>
      </c>
      <c r="E25" s="27" t="n"/>
    </row>
    <row r="26" ht="15" customHeight="1" s="18">
      <c r="A26" s="27" t="inlineStr">
        <is>
          <t>Thread drawer</t>
        </is>
      </c>
      <c r="B26" s="27" t="inlineStr">
        <is>
          <t>Right</t>
        </is>
      </c>
      <c r="C26" s="27" t="inlineStr">
        <is>
          <t>obj_thread_drawer.png</t>
        </is>
      </c>
      <c r="D26" s="28" t="inlineStr">
        <is>
          <t>To do</t>
        </is>
      </c>
      <c r="E26" s="27" t="n"/>
    </row>
    <row r="27" ht="15" customHeight="1" s="18">
      <c r="A27" s="27" t="inlineStr">
        <is>
          <t>The Grimoire of Days</t>
        </is>
      </c>
      <c r="B27" s="27" t="inlineStr">
        <is>
          <t>Bookshelf</t>
        </is>
      </c>
      <c r="C27" s="27" t="inlineStr">
        <is>
          <t>obj_the_grimoire_of_days.png</t>
        </is>
      </c>
      <c r="D27" s="28" t="inlineStr">
        <is>
          <t>To do</t>
        </is>
      </c>
      <c r="E27" s="27" t="n"/>
    </row>
    <row r="28" ht="15" customHeight="1" s="18">
      <c r="A28" s="27" t="inlineStr">
        <is>
          <t>The Gentle Bestiary</t>
        </is>
      </c>
      <c r="B28" s="27" t="inlineStr">
        <is>
          <t>Bookshelf</t>
        </is>
      </c>
      <c r="C28" s="27" t="inlineStr">
        <is>
          <t>obj_the_gentle_bestiary.png</t>
        </is>
      </c>
      <c r="D28" s="28" t="inlineStr">
        <is>
          <t>To do</t>
        </is>
      </c>
      <c r="E28" s="27" t="n"/>
    </row>
    <row r="29" ht="15" customHeight="1" s="18">
      <c r="A29" s="27" t="inlineStr">
        <is>
          <t>The Herbiary</t>
        </is>
      </c>
      <c r="B29" s="27" t="inlineStr">
        <is>
          <t>Bookshelf</t>
        </is>
      </c>
      <c r="C29" s="27" t="inlineStr">
        <is>
          <t>obj_the_herbiary.png</t>
        </is>
      </c>
      <c r="D29" s="28" t="inlineStr">
        <is>
          <t>To do</t>
        </is>
      </c>
      <c r="E29" s="27" t="n"/>
    </row>
    <row r="30" ht="15" customHeight="1" s="18">
      <c r="A30" s="27" t="inlineStr">
        <is>
          <t>The Crystal Almanac</t>
        </is>
      </c>
      <c r="B30" s="27" t="inlineStr">
        <is>
          <t>Bookshelf</t>
        </is>
      </c>
      <c r="C30" s="27" t="inlineStr">
        <is>
          <t>obj_the_crystal_almanac.png</t>
        </is>
      </c>
      <c r="D30" s="28" t="inlineStr">
        <is>
          <t>To do</t>
        </is>
      </c>
      <c r="E30" s="27" t="n"/>
    </row>
    <row r="31" ht="15" customHeight="1" s="18">
      <c r="A31" s="27" t="inlineStr">
        <is>
          <t>The Sky &amp; Weather Almanac</t>
        </is>
      </c>
      <c r="B31" s="27" t="inlineStr">
        <is>
          <t>Bookshelf</t>
        </is>
      </c>
      <c r="C31" s="27" t="inlineStr">
        <is>
          <t>obj_the_sky_weather_almanac.png</t>
        </is>
      </c>
      <c r="D31" s="28" t="inlineStr">
        <is>
          <t>To do</t>
        </is>
      </c>
      <c r="E31" s="27" t="n"/>
    </row>
    <row r="32" ht="15" customHeight="1" s="18">
      <c r="A32" s="27" t="inlineStr">
        <is>
          <t>The Tarot Companion</t>
        </is>
      </c>
      <c r="B32" s="27" t="inlineStr">
        <is>
          <t>Bookshelf</t>
        </is>
      </c>
      <c r="C32" s="27" t="inlineStr">
        <is>
          <t>obj_the_tarot_companion.png</t>
        </is>
      </c>
      <c r="D32" s="28" t="inlineStr">
        <is>
          <t>To do</t>
        </is>
      </c>
      <c r="E32" s="27" t="n"/>
    </row>
    <row r="33" ht="15" customHeight="1" s="18">
      <c r="A33" s="27" t="inlineStr">
        <is>
          <t>The Recipe Book</t>
        </is>
      </c>
      <c r="B33" s="27" t="inlineStr">
        <is>
          <t>Bookshelf</t>
        </is>
      </c>
      <c r="C33" s="27" t="inlineStr">
        <is>
          <t>obj_the_recipe_book.png</t>
        </is>
      </c>
      <c r="D33" s="28" t="inlineStr">
        <is>
          <t>To do</t>
        </is>
      </c>
      <c r="E33" s="27" t="n"/>
    </row>
  </sheetData>
  <autoFilter ref="A1:E33"/>
  <dataValidations count="1">
    <dataValidation sqref="D2:D33" showDropDown="0" showInputMessage="0" showErrorMessage="0" allowBlank="1" type="list" errorStyle="stop" operator="between">
      <formula1>"To do,Sketch,In progress,Done"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2026-10-10T21:10:48Z</dcterms:created>
  <dcterms:modified xmlns:dcterms="http://purl.org/dc/terms/" xmlns:xsi="http://www.w3.org/2001/XMLSchema-instance" xsi:type="dcterms:W3CDTF">2026-10-11T15:42:44Z</dcterms:modified>
  <cp:revision>0</cp:revision>
</cp:coreProperties>
</file>
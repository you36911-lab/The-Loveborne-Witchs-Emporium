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tters" sheetId="8" state="visible" r:id="rId8"/>
    <sheet xmlns:r="http://schemas.openxmlformats.org/officeDocument/2006/relationships" name="Learning Check"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Icons'!$A$1:$E$53</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Unknown Author</author>
  </authors>
  <commentList>
    <comment ref="A1" authorId="0" shapeId="0">
      <text>
        <t>Computed by a planning script from the calendar, the regulars' schedule and each recipe's parts. Values do not update if recipes change; ask for a re-run.</t>
      </text>
    </comment>
    <comment ref="L1" authorId="0" shapeId="0">
      <text>
        <t>Parts of this recipe the player has not met yet when the order arrives (base materials not counted).</t>
      </text>
    </comment>
    <comment ref="O1" authorId="0" shapeId="0">
      <text>
        <t>Regular orders due in the next few days that need something this walk-in teaches.</t>
      </text>
    </comment>
  </commentList>
</comments>
</file>

<file path=xl/comments/comment4.xml><?xml version="1.0" encoding="utf-8"?>
<comments xmlns="http://schemas.openxmlformats.org/spreadsheetml/2006/main">
  <authors>
    <author>Unknown Author</author>
  </authors>
  <commentList>
    <comment ref="D1" authorId="0" shapeId="0">
      <text>
        <t>New parts when the order is made, counting only the letters, week one and earlier regular orders.</t>
      </text>
    </comment>
    <comment ref="E1" authorId="0" shapeId="0">
      <text>
        <t>New parts with the Walk-in Plan in place.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3"/>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2"/>
    <row r="13" ht="15" customHeight="1" s="18">
      <c r="A13" s="25" t="inlineStr">
        <is>
          <t>Recipe Usage lists every spell–ingredient pair; Recipes lists candle, tarot and conditions for each spell.</t>
        </is>
      </c>
    </row>
    <row r="14"/>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Each points at a dead end: an ingredient whose needed keyword is hidden, so searching collected words won't find it. Columns give the keyword it names, the first order that needs it, and why that spot is hard.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Friday · Waxing Crescent</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Friday · Waxing Crescent</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Saturday · Waning Moon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Rain · Waning Gibbous</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Saturday · Dark Moon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Wednesday · Twilight</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Waning Moon · Rain</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Saturday · after Rain</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Sunrise · New Moon</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Thursday · Waxing Gibbous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Thursday · Waxing Gibbous</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Thursday · Waxing Moon</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Windy</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Sunday · Noon · Clear &amp; sunny</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Friday · Waxing Crescent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Tuesday · Waxing Moon</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Monday · Snow</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Monday · Waning Moon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Friday · Dark Moon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after Rain</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Saturday · Waning Moon</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Friday · Clear &amp; sunny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Saturday · Waning Moon</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Monday · New Moon</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Waxing Crescent</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Thunderstorm</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New Moon · 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Wednesday · Noon · Clear &amp; sunny</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New Moon · 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Saturday · Waning Moon</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Rain · Waning Moon</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Saturday · Waning Moon</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Saturday · Waning Gibbous</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Saturday · after Rain</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Saturday · Waning Moon</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Samhain · Waning Moon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Waxing Crescent</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Fog / Mist · 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Sunrise · New Moon</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Dark Moon · 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Clear starry night · New Moon</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Ostara · after Rain</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Samhain · Waning Moon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Saturday · Waning Moon</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New Moon</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Dark Moon · 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New Moon</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Waning Gibbous</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Waning Gibbous</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New Moon</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Waxing Gibbous</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Waning Crescent</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Waning Gibbous</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Windy</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Clear &amp; sunny</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Sunrise · Clear &amp; sunny</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Rain</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Wednesday · Waxing Moon</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Rain</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Snow</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Rain</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New Moon</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Tuesday · New Moon</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after Rain</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Tuesday · Waning Moon</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Rain</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Waning Moon · 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Fog / Mist</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Waning Gibbous</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Waning Crescent</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Waning Gibbous</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Waning Moon</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Waning Moon</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Rain</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Windy</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Thunderstorm</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P150"/>
  <sheetViews>
    <sheetView showFormulas="0" showGridLines="1" showRowColHeaders="1" showZeros="1" rightToLeft="0" tabSelected="0" showOutlineSymbols="1" defaultGridColor="1"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baseColWidth="8" defaultColWidth="8.6796875" defaultRowHeight="15" zeroHeight="0" outlineLevelRow="0"/>
  <cols>
    <col width="5" customWidth="1" style="17" min="1" max="1"/>
    <col width="10" customWidth="1" style="17" min="2" max="3"/>
    <col width="22" customWidth="1" style="17" min="4" max="4"/>
    <col width="13" customWidth="1" style="17" min="5" max="5"/>
    <col width="9" customWidth="1" style="17" min="6" max="6"/>
    <col width="8" customWidth="1" style="17" min="7" max="7"/>
    <col width="5" customWidth="1" style="17" min="8" max="8"/>
    <col width="30" customWidth="1" style="17" min="9" max="9"/>
    <col width="13" customWidth="1" style="17" min="10" max="10"/>
    <col width="26" customWidth="1" style="17" min="11" max="11"/>
    <col width="7" customWidth="1" style="17" min="12" max="12"/>
    <col width="40" customWidth="1" style="17" min="13" max="13"/>
    <col width="8" customWidth="1" style="17" min="14" max="14"/>
    <col width="28" customWidth="1" style="17" min="15" max="15"/>
    <col width="22" customWidth="1" style="17" min="16" max="16"/>
  </cols>
  <sheetData>
    <row r="1" ht="15" customHeight="1" s="18">
      <c r="A1" s="21" t="inlineStr">
        <is>
          <t>Day</t>
        </is>
      </c>
      <c r="B1" s="21" t="inlineStr">
        <is>
          <t>Month</t>
        </is>
      </c>
      <c r="C1" s="21" t="inlineStr">
        <is>
          <t>Weekday</t>
        </is>
      </c>
      <c r="D1" s="21" t="inlineStr">
        <is>
          <t>Moon</t>
        </is>
      </c>
      <c r="E1" s="21" t="inlineStr">
        <is>
          <t>Weather</t>
        </is>
      </c>
      <c r="F1" s="21" t="inlineStr">
        <is>
          <t>Hour</t>
        </is>
      </c>
      <c r="G1" s="21" t="inlineStr">
        <is>
          <t>Shares hour</t>
        </is>
      </c>
      <c r="H1" s="21" t="inlineStr">
        <is>
          <t>#</t>
        </is>
      </c>
      <c r="I1" s="21" t="inlineStr">
        <is>
          <t>Recipe</t>
        </is>
      </c>
      <c r="J1" s="21" t="inlineStr">
        <is>
          <t>Type</t>
        </is>
      </c>
      <c r="K1" s="21" t="inlineStr">
        <is>
          <t>When</t>
        </is>
      </c>
      <c r="L1" s="21" t="inlineStr">
        <is>
          <t>New (#)</t>
        </is>
      </c>
      <c r="M1" s="21" t="inlineStr">
        <is>
          <t>New things</t>
        </is>
      </c>
      <c r="N1" s="21" t="inlineStr">
        <is>
          <t>Reuses (#)</t>
        </is>
      </c>
      <c r="O1" s="21" t="inlineStr">
        <is>
          <t>Prepares for</t>
        </is>
      </c>
      <c r="P1" s="21" t="inlineStr">
        <is>
          <t>Note</t>
        </is>
      </c>
    </row>
    <row r="2" ht="15" customHeight="1" s="18">
      <c r="A2" s="29" t="n">
        <v>1</v>
      </c>
      <c r="B2" s="29" t="inlineStr">
        <is>
          <t>November</t>
        </is>
      </c>
      <c r="C2" s="29" t="inlineStr">
        <is>
          <t>Saturday</t>
        </is>
      </c>
      <c r="D2" s="29" t="inlineStr">
        <is>
          <t>Last Quarter</t>
        </is>
      </c>
      <c r="E2" s="29" t="inlineStr">
        <is>
          <t>Cloudy</t>
        </is>
      </c>
      <c r="F2" s="29" t="inlineStr">
        <is>
          <t>Noon</t>
        </is>
      </c>
      <c r="G2" s="29" t="n"/>
      <c r="H2" s="29" t="n">
        <v>179</v>
      </c>
      <c r="I2" s="30" t="inlineStr">
        <is>
          <t>The Path of Least Fuss</t>
        </is>
      </c>
      <c r="J2" s="29" t="inlineStr">
        <is>
          <t>Charm</t>
        </is>
      </c>
      <c r="K2" s="30" t="inlineStr">
        <is>
          <t>Any time</t>
        </is>
      </c>
      <c r="L2" s="29">
        <f>IF(M2="",0,LEN(M2)-LEN(SUBSTITUTE(M2,",",""))+1)</f>
        <v/>
      </c>
      <c r="M2" s="30" t="inlineStr">
        <is>
          <t>Blue thread, Small key</t>
        </is>
      </c>
      <c r="N2" s="29" t="n">
        <v>1</v>
      </c>
      <c r="O2" s="30" t="n"/>
      <c r="P2" s="30" t="inlineStr">
        <is>
          <t>Week one (fixed)</t>
        </is>
      </c>
    </row>
    <row r="3" ht="15" customHeight="1" s="18">
      <c r="A3" s="29" t="n">
        <v>1</v>
      </c>
      <c r="B3" s="29" t="inlineStr">
        <is>
          <t>November</t>
        </is>
      </c>
      <c r="C3" s="29" t="inlineStr">
        <is>
          <t>Saturday</t>
        </is>
      </c>
      <c r="D3" s="29" t="inlineStr">
        <is>
          <t>Last Quarter</t>
        </is>
      </c>
      <c r="E3" s="29" t="inlineStr">
        <is>
          <t>Cloudy</t>
        </is>
      </c>
      <c r="F3" s="29" t="inlineStr">
        <is>
          <t>Nightfall</t>
        </is>
      </c>
      <c r="G3" s="29" t="n"/>
      <c r="H3" s="29" t="n">
        <v>194</v>
      </c>
      <c r="I3" s="30" t="inlineStr">
        <is>
          <t>The Inner Housekeeper</t>
        </is>
      </c>
      <c r="J3" s="29" t="inlineStr">
        <is>
          <t>Tea</t>
        </is>
      </c>
      <c r="K3" s="30" t="inlineStr">
        <is>
          <t>Any time</t>
        </is>
      </c>
      <c r="L3" s="29">
        <f>IF(M3="",0,LEN(M3)-LEN(SUBSTITUTE(M3,",",""))+1)</f>
        <v/>
      </c>
      <c r="M3" s="30" t="inlineStr">
        <is>
          <t>Milk powder, Nettle</t>
        </is>
      </c>
      <c r="N3" s="29" t="n">
        <v>1</v>
      </c>
      <c r="O3" s="30" t="n"/>
      <c r="P3" s="30" t="inlineStr">
        <is>
          <t>Week one (fixed)</t>
        </is>
      </c>
    </row>
    <row r="4" ht="15" customHeight="1" s="18">
      <c r="A4" s="29" t="n">
        <v>2</v>
      </c>
      <c r="B4" s="29" t="inlineStr">
        <is>
          <t>November</t>
        </is>
      </c>
      <c r="C4" s="29" t="inlineStr">
        <is>
          <t>Sunday</t>
        </is>
      </c>
      <c r="D4" s="29" t="inlineStr">
        <is>
          <t>Waning Crescent</t>
        </is>
      </c>
      <c r="E4" s="29" t="inlineStr">
        <is>
          <t>Rain</t>
        </is>
      </c>
      <c r="F4" s="29" t="inlineStr">
        <is>
          <t>Sunrise</t>
        </is>
      </c>
      <c r="G4" s="29" t="n"/>
      <c r="H4" s="29" t="n">
        <v>202</v>
      </c>
      <c r="I4" s="30" t="inlineStr">
        <is>
          <t>The Unconditional Pillow</t>
        </is>
      </c>
      <c r="J4" s="29" t="inlineStr">
        <is>
          <t>Butter</t>
        </is>
      </c>
      <c r="K4" s="30" t="inlineStr">
        <is>
          <t>Sunday</t>
        </is>
      </c>
      <c r="L4" s="29">
        <f>IF(M4="",0,LEN(M4)-LEN(SUBSTITUTE(M4,",",""))+1)</f>
        <v/>
      </c>
      <c r="M4" s="30" t="inlineStr">
        <is>
          <t>Honey, Rose petals</t>
        </is>
      </c>
      <c r="N4" s="29" t="n">
        <v>1</v>
      </c>
      <c r="O4" s="30" t="n"/>
      <c r="P4" s="30" t="inlineStr">
        <is>
          <t>Week one (fixed)</t>
        </is>
      </c>
    </row>
    <row r="5" ht="15" customHeight="1" s="18">
      <c r="A5" s="29" t="n">
        <v>3</v>
      </c>
      <c r="B5" s="29" t="inlineStr">
        <is>
          <t>November</t>
        </is>
      </c>
      <c r="C5" s="29" t="inlineStr">
        <is>
          <t>Monday</t>
        </is>
      </c>
      <c r="D5" s="29" t="inlineStr">
        <is>
          <t>New Moon</t>
        </is>
      </c>
      <c r="E5" s="29" t="inlineStr">
        <is>
          <t>Windy</t>
        </is>
      </c>
      <c r="F5" s="29" t="inlineStr">
        <is>
          <t>Twilight</t>
        </is>
      </c>
      <c r="G5" s="29" t="n"/>
      <c r="H5" s="29" t="n">
        <v>181</v>
      </c>
      <c r="I5" s="30" t="inlineStr">
        <is>
          <t>The Pattern Beneath</t>
        </is>
      </c>
      <c r="J5" s="29" t="inlineStr">
        <is>
          <t>Hand Mirror</t>
        </is>
      </c>
      <c r="K5" s="30" t="inlineStr">
        <is>
          <t>New Moon</t>
        </is>
      </c>
      <c r="L5" s="29">
        <f>IF(M5="",0,LEN(M5)-LEN(SUBSTITUTE(M5,",",""))+1)</f>
        <v/>
      </c>
      <c r="M5" s="30" t="inlineStr">
        <is>
          <t>Moth wing dust, Mugwort, The Moon</t>
        </is>
      </c>
      <c r="N5" s="29" t="n">
        <v>4</v>
      </c>
      <c r="O5" s="30" t="n"/>
      <c r="P5" s="30" t="inlineStr">
        <is>
          <t>Week one (fixed)</t>
        </is>
      </c>
    </row>
    <row r="6" ht="15" customHeight="1" s="18">
      <c r="A6" s="29" t="n">
        <v>4</v>
      </c>
      <c r="B6" s="29" t="inlineStr">
        <is>
          <t>November</t>
        </is>
      </c>
      <c r="C6" s="29" t="inlineStr">
        <is>
          <t>Tuesday</t>
        </is>
      </c>
      <c r="D6" s="29" t="inlineStr">
        <is>
          <t>Waxing Crescent</t>
        </is>
      </c>
      <c r="E6" s="29" t="inlineStr">
        <is>
          <t>Thunderstorm</t>
        </is>
      </c>
      <c r="F6" s="29" t="inlineStr">
        <is>
          <t>Twilight</t>
        </is>
      </c>
      <c r="G6" s="29" t="n"/>
      <c r="H6" s="29" t="n">
        <v>49</v>
      </c>
      <c r="I6" s="30" t="inlineStr">
        <is>
          <t>The Unmasked Self</t>
        </is>
      </c>
      <c r="J6" s="29" t="inlineStr">
        <is>
          <t>Sigil</t>
        </is>
      </c>
      <c r="K6" s="30" t="inlineStr">
        <is>
          <t>Any time</t>
        </is>
      </c>
      <c r="L6" s="29">
        <f>IF(M6="",0,LEN(M6)-LEN(SUBSTITUTE(M6,",",""))+1)</f>
        <v/>
      </c>
      <c r="M6" s="30" t="inlineStr">
        <is>
          <t>Licorice root, Rhodonite, Blue candle, The Sun</t>
        </is>
      </c>
      <c r="N6" s="29" t="n">
        <v>0</v>
      </c>
      <c r="O6" s="30" t="n"/>
      <c r="P6" s="30" t="inlineStr">
        <is>
          <t>Week one (fixed)</t>
        </is>
      </c>
    </row>
    <row r="7" ht="15" customHeight="1" s="18">
      <c r="A7" s="29" t="n">
        <v>5</v>
      </c>
      <c r="B7" s="29" t="inlineStr">
        <is>
          <t>November</t>
        </is>
      </c>
      <c r="C7" s="29" t="inlineStr">
        <is>
          <t>Wednesday</t>
        </is>
      </c>
      <c r="D7" s="29" t="inlineStr">
        <is>
          <t>First Quarter</t>
        </is>
      </c>
      <c r="E7" s="29" t="inlineStr">
        <is>
          <t>Fog / Mist</t>
        </is>
      </c>
      <c r="F7" s="29" t="inlineStr">
        <is>
          <t>Sunrise</t>
        </is>
      </c>
      <c r="G7" s="29" t="n"/>
      <c r="H7" s="29" t="n">
        <v>164</v>
      </c>
      <c r="I7" s="30" t="inlineStr">
        <is>
          <t>The Desk of Possibilities</t>
        </is>
      </c>
      <c r="J7" s="29" t="inlineStr">
        <is>
          <t>Incense</t>
        </is>
      </c>
      <c r="K7" s="30" t="inlineStr">
        <is>
          <t>Wednesday</t>
        </is>
      </c>
      <c r="L7" s="29">
        <f>IF(M7="",0,LEN(M7)-LEN(SUBSTITUTE(M7,",",""))+1)</f>
        <v/>
      </c>
      <c r="M7" s="30" t="inlineStr">
        <is>
          <t>Frankincense, Lemongrass</t>
        </is>
      </c>
      <c r="N7" s="29" t="n">
        <v>3</v>
      </c>
      <c r="O7" s="30" t="n"/>
      <c r="P7" s="30" t="inlineStr">
        <is>
          <t>Week one (fixed)</t>
        </is>
      </c>
    </row>
    <row r="8" ht="15" customHeight="1" s="18">
      <c r="A8" s="29" t="n">
        <v>6</v>
      </c>
      <c r="B8" s="29" t="inlineStr">
        <is>
          <t>November</t>
        </is>
      </c>
      <c r="C8" s="29" t="inlineStr">
        <is>
          <t>Thursday</t>
        </is>
      </c>
      <c r="D8" s="29" t="inlineStr">
        <is>
          <t>Waxing Gibbous</t>
        </is>
      </c>
      <c r="E8" s="29" t="inlineStr">
        <is>
          <t>Cloudy</t>
        </is>
      </c>
      <c r="F8" s="29" t="inlineStr">
        <is>
          <t>Twilight</t>
        </is>
      </c>
      <c r="G8" s="29" t="n"/>
      <c r="H8" s="29" t="n">
        <v>236</v>
      </c>
      <c r="I8" s="30" t="inlineStr">
        <is>
          <t>The Next Obsession</t>
        </is>
      </c>
      <c r="J8" s="29" t="inlineStr">
        <is>
          <t>Potion</t>
        </is>
      </c>
      <c r="K8" s="30" t="inlineStr">
        <is>
          <t>Any time</t>
        </is>
      </c>
      <c r="L8" s="29">
        <f>IF(M8="",0,LEN(M8)-LEN(SUBSTITUTE(M8,",",""))+1)</f>
        <v/>
      </c>
      <c r="M8" s="30" t="inlineStr">
        <is>
          <t>Cherry, Vanilla, The Fool</t>
        </is>
      </c>
      <c r="N8" s="29" t="n">
        <v>1</v>
      </c>
      <c r="O8" s="30" t="n"/>
      <c r="P8" s="30" t="inlineStr">
        <is>
          <t>Week one (fixed)</t>
        </is>
      </c>
    </row>
    <row r="9" ht="34.5" customHeight="1" s="18">
      <c r="A9" s="29" t="n">
        <v>7</v>
      </c>
      <c r="B9" s="29" t="inlineStr">
        <is>
          <t>November</t>
        </is>
      </c>
      <c r="C9" s="29" t="inlineStr">
        <is>
          <t>Friday</t>
        </is>
      </c>
      <c r="D9" s="29" t="inlineStr">
        <is>
          <t>Full Moon (Beaver Moon)</t>
        </is>
      </c>
      <c r="E9" s="29" t="inlineStr">
        <is>
          <t>Clear &amp; sunny</t>
        </is>
      </c>
      <c r="F9" s="29" t="inlineStr">
        <is>
          <t>Sunrise</t>
        </is>
      </c>
      <c r="G9" s="29" t="n"/>
      <c r="H9" s="29" t="n">
        <v>25</v>
      </c>
      <c r="I9" s="30" t="inlineStr">
        <is>
          <t>The Keeper's Knot</t>
        </is>
      </c>
      <c r="J9" s="29" t="inlineStr">
        <is>
          <t>Witch's Ladder</t>
        </is>
      </c>
      <c r="K9" s="30" t="inlineStr">
        <is>
          <t>Beaver Moon (November full moon)</t>
        </is>
      </c>
      <c r="L9" s="29">
        <f>IF(M9="",0,LEN(M9)-LEN(SUBSTITUTE(M9,",",""))+1)</f>
        <v/>
      </c>
      <c r="M9" s="30" t="inlineStr">
        <is>
          <t>Black thread, Brass button, Juniper, Shed cat whisker, White thread, Brown candle, Beaver Moon</t>
        </is>
      </c>
      <c r="N9" s="29" t="n">
        <v>1</v>
      </c>
      <c r="O9" s="30" t="n"/>
      <c r="P9" s="30" t="inlineStr">
        <is>
          <t>Week one (fixed): only Beaver Moon of the year, a stretch goal</t>
        </is>
      </c>
    </row>
    <row r="10" ht="15" customHeight="1" s="18">
      <c r="A10" s="29" t="n">
        <v>8</v>
      </c>
      <c r="B10" s="29" t="inlineStr">
        <is>
          <t>November</t>
        </is>
      </c>
      <c r="C10" s="29" t="inlineStr">
        <is>
          <t>Saturday</t>
        </is>
      </c>
      <c r="D10" s="29" t="inlineStr">
        <is>
          <t>Waning Gibbous</t>
        </is>
      </c>
      <c r="E10" s="29" t="inlineStr">
        <is>
          <t>Clear &amp; sunny</t>
        </is>
      </c>
      <c r="F10" s="29" t="inlineStr">
        <is>
          <t>Noon</t>
        </is>
      </c>
      <c r="G10" s="29" t="n"/>
      <c r="H10" s="29" t="n">
        <v>205</v>
      </c>
      <c r="I10" s="30" t="inlineStr">
        <is>
          <t>The Empty Frame</t>
        </is>
      </c>
      <c r="J10" s="29" t="inlineStr">
        <is>
          <t>Water</t>
        </is>
      </c>
      <c r="K10" s="30" t="inlineStr">
        <is>
          <t>Waning Moon</t>
        </is>
      </c>
      <c r="L10" s="29">
        <f>IF(M10="",0,LEN(M10)-LEN(SUBSTITUTE(M10,",",""))+1)</f>
        <v/>
      </c>
      <c r="M10" s="30" t="inlineStr">
        <is>
          <t>Garden sage, Lemon, White candle</t>
        </is>
      </c>
      <c r="N10" s="29" t="n">
        <v>2</v>
      </c>
      <c r="O10" s="30" t="inlineStr">
        <is>
          <t>Dottie #161, Morwenna #21</t>
        </is>
      </c>
      <c r="P10" s="30" t="n"/>
    </row>
    <row r="11" ht="15" customHeight="1" s="18">
      <c r="A11" s="29" t="n">
        <v>8</v>
      </c>
      <c r="B11" s="29" t="inlineStr">
        <is>
          <t>November</t>
        </is>
      </c>
      <c r="C11" s="29" t="inlineStr">
        <is>
          <t>Saturday</t>
        </is>
      </c>
      <c r="D11" s="29" t="inlineStr">
        <is>
          <t>Waning Gibbous</t>
        </is>
      </c>
      <c r="E11" s="29" t="inlineStr">
        <is>
          <t>Clear &amp; sunny</t>
        </is>
      </c>
      <c r="F11" s="29" t="inlineStr">
        <is>
          <t>Noon</t>
        </is>
      </c>
      <c r="G11" s="29" t="n"/>
      <c r="H11" s="29" t="n">
        <v>73</v>
      </c>
      <c r="I11" s="30" t="inlineStr">
        <is>
          <t>The Gentle No</t>
        </is>
      </c>
      <c r="J11" s="29" t="inlineStr">
        <is>
          <t>Soap</t>
        </is>
      </c>
      <c r="K11" s="30" t="inlineStr">
        <is>
          <t>Saturday · Waning Moon</t>
        </is>
      </c>
      <c r="L11" s="29">
        <f>IF(M11="",0,LEN(M11)-LEN(SUBSTITUTE(M11,",",""))+1)</f>
        <v/>
      </c>
      <c r="M11" s="30" t="inlineStr">
        <is>
          <t>Amazonite, Justice</t>
        </is>
      </c>
      <c r="N11" s="29" t="n">
        <v>5</v>
      </c>
      <c r="O11" s="30" t="inlineStr">
        <is>
          <t>Morwenna #21</t>
        </is>
      </c>
      <c r="P11" s="30" t="n"/>
    </row>
    <row r="12" ht="15" customHeight="1" s="18">
      <c r="A12" s="29" t="n">
        <v>9</v>
      </c>
      <c r="B12" s="29" t="inlineStr">
        <is>
          <t>December</t>
        </is>
      </c>
      <c r="C12" s="29" t="inlineStr">
        <is>
          <t>Sunday</t>
        </is>
      </c>
      <c r="D12" s="29" t="inlineStr">
        <is>
          <t>Last Quarter</t>
        </is>
      </c>
      <c r="E12" s="29" t="inlineStr">
        <is>
          <t>Clear &amp; sunny</t>
        </is>
      </c>
      <c r="F12" s="29" t="inlineStr">
        <is>
          <t>Noon</t>
        </is>
      </c>
      <c r="G12" s="29" t="inlineStr">
        <is>
          <t>Yes</t>
        </is>
      </c>
      <c r="H12" s="29" t="n">
        <v>183</v>
      </c>
      <c r="I12" s="30" t="inlineStr">
        <is>
          <t>The Hand on the Wheel</t>
        </is>
      </c>
      <c r="J12" s="29" t="inlineStr">
        <is>
          <t>Talisman</t>
        </is>
      </c>
      <c r="K12" s="30" t="inlineStr">
        <is>
          <t>Sunday · Noon</t>
        </is>
      </c>
      <c r="L12" s="29">
        <f>IF(M12="",0,LEN(M12)-LEN(SUBSTITUTE(M12,",",""))+1)</f>
        <v/>
      </c>
      <c r="M12" s="30" t="inlineStr">
        <is>
          <t>Cinnamon, Tiger's eye, Gold candle, The Chariot</t>
        </is>
      </c>
      <c r="N12" s="29" t="n">
        <v>2</v>
      </c>
      <c r="O12" s="30" t="inlineStr">
        <is>
          <t>Felix #36, Morwenna #21</t>
        </is>
      </c>
      <c r="P12" s="30" t="n"/>
    </row>
    <row r="13" ht="15" customHeight="1" s="18">
      <c r="A13" s="29" t="n">
        <v>9</v>
      </c>
      <c r="B13" s="29" t="inlineStr">
        <is>
          <t>December</t>
        </is>
      </c>
      <c r="C13" s="29" t="inlineStr">
        <is>
          <t>Sunday</t>
        </is>
      </c>
      <c r="D13" s="29" t="inlineStr">
        <is>
          <t>Last Quarter</t>
        </is>
      </c>
      <c r="E13" s="29" t="inlineStr">
        <is>
          <t>Clear &amp; sunny</t>
        </is>
      </c>
      <c r="F13" s="29" t="inlineStr">
        <is>
          <t>Twilight</t>
        </is>
      </c>
      <c r="G13" s="29" t="n"/>
      <c r="H13" s="29" t="n">
        <v>180</v>
      </c>
      <c r="I13" s="30" t="inlineStr">
        <is>
          <t>The Little Victory Bell</t>
        </is>
      </c>
      <c r="J13" s="29" t="inlineStr">
        <is>
          <t>Powder</t>
        </is>
      </c>
      <c r="K13" s="30" t="inlineStr">
        <is>
          <t>Twilight</t>
        </is>
      </c>
      <c r="L13" s="29">
        <f>IF(M13="",0,LEN(M13)-LEN(SUBSTITUTE(M13,",",""))+1)</f>
        <v/>
      </c>
      <c r="M13" s="30" t="inlineStr">
        <is>
          <t>Gold mica, Orange peel, Twilight</t>
        </is>
      </c>
      <c r="N13" s="29" t="n">
        <v>1</v>
      </c>
      <c r="O13" s="30" t="inlineStr">
        <is>
          <t>Hester #68, Morwenna #21</t>
        </is>
      </c>
      <c r="P13" s="30" t="n"/>
    </row>
    <row r="14" ht="15" customHeight="1" s="18">
      <c r="A14" s="29" t="n">
        <v>10</v>
      </c>
      <c r="B14" s="29" t="inlineStr">
        <is>
          <t>December</t>
        </is>
      </c>
      <c r="C14" s="29" t="inlineStr">
        <is>
          <t>Monday</t>
        </is>
      </c>
      <c r="D14" s="29" t="inlineStr">
        <is>
          <t>Waning Crescent</t>
        </is>
      </c>
      <c r="E14" s="29" t="inlineStr">
        <is>
          <t>Rain</t>
        </is>
      </c>
      <c r="F14" s="29" t="inlineStr">
        <is>
          <t>Sunrise</t>
        </is>
      </c>
      <c r="G14" s="29" t="n"/>
      <c r="H14" s="29" t="n">
        <v>88</v>
      </c>
      <c r="I14" s="30" t="inlineStr">
        <is>
          <t>The Guiding Thread</t>
        </is>
      </c>
      <c r="J14" s="29" t="inlineStr">
        <is>
          <t>Charm</t>
        </is>
      </c>
      <c r="K14" s="30" t="inlineStr">
        <is>
          <t>Monday</t>
        </is>
      </c>
      <c r="L14" s="29">
        <f>IF(M14="",0,LEN(M14)-LEN(SUBSTITUTE(M14,",",""))+1)</f>
        <v/>
      </c>
      <c r="M14" s="30" t="inlineStr">
        <is>
          <t>Lapis lazuli, Owl feather, Silver bead</t>
        </is>
      </c>
      <c r="N14" s="29" t="n">
        <v>5</v>
      </c>
      <c r="O14" s="30" t="inlineStr">
        <is>
          <t>Rosalind #23</t>
        </is>
      </c>
      <c r="P14" s="30" t="n"/>
    </row>
    <row r="15" ht="15" customHeight="1" s="18">
      <c r="A15" s="29" t="n">
        <v>10</v>
      </c>
      <c r="B15" s="29" t="inlineStr">
        <is>
          <t>December</t>
        </is>
      </c>
      <c r="C15" s="29" t="inlineStr">
        <is>
          <t>Monday</t>
        </is>
      </c>
      <c r="D15" s="29" t="inlineStr">
        <is>
          <t>Waning Crescent</t>
        </is>
      </c>
      <c r="E15" s="29" t="inlineStr">
        <is>
          <t>Rain</t>
        </is>
      </c>
      <c r="F15" s="29" t="inlineStr">
        <is>
          <t>Sunrise</t>
        </is>
      </c>
      <c r="G15" s="29" t="n"/>
      <c r="H15" s="29" t="n">
        <v>178</v>
      </c>
      <c r="I15" s="30" t="inlineStr">
        <is>
          <t>The Rain-Rinse Ritual</t>
        </is>
      </c>
      <c r="J15" s="29" t="inlineStr">
        <is>
          <t>Soap</t>
        </is>
      </c>
      <c r="K15" s="30" t="inlineStr">
        <is>
          <t>Rain</t>
        </is>
      </c>
      <c r="L15" s="29">
        <f>IF(M15="",0,LEN(M15)-LEN(SUBSTITUTE(M15,",",""))+1)</f>
        <v/>
      </c>
      <c r="M15" s="30" t="inlineStr">
        <is>
          <t>Eucalyptus, Mint, Rain</t>
        </is>
      </c>
      <c r="N15" s="29" t="n">
        <v>1</v>
      </c>
      <c r="O15" s="30" t="inlineStr">
        <is>
          <t>Dottie #161</t>
        </is>
      </c>
      <c r="P15" s="30" t="n"/>
    </row>
    <row r="16" ht="23.25" customHeight="1" s="18">
      <c r="A16" s="29" t="n">
        <v>11</v>
      </c>
      <c r="B16" s="29" t="inlineStr">
        <is>
          <t>December</t>
        </is>
      </c>
      <c r="C16" s="29" t="inlineStr">
        <is>
          <t>Tuesday</t>
        </is>
      </c>
      <c r="D16" s="29" t="inlineStr">
        <is>
          <t>New Moon</t>
        </is>
      </c>
      <c r="E16" s="29" t="inlineStr">
        <is>
          <t>Clear &amp; sunny</t>
        </is>
      </c>
      <c r="F16" s="29" t="inlineStr">
        <is>
          <t>Nightfall</t>
        </is>
      </c>
      <c r="G16" s="29" t="n"/>
      <c r="H16" s="29" t="n">
        <v>108</v>
      </c>
      <c r="I16" s="30" t="inlineStr">
        <is>
          <t>The Inner Compass</t>
        </is>
      </c>
      <c r="J16" s="29" t="inlineStr">
        <is>
          <t>Amulet</t>
        </is>
      </c>
      <c r="K16" s="30" t="inlineStr">
        <is>
          <t>Dark Moon · Nightfall</t>
        </is>
      </c>
      <c r="L16" s="29">
        <f>IF(M16="",0,LEN(M16)-LEN(SUBSTITUTE(M16,",",""))+1)</f>
        <v/>
      </c>
      <c r="M16" s="30" t="inlineStr">
        <is>
          <t>Labradorite, Moonstone, Silver thread, Dark Moon</t>
        </is>
      </c>
      <c r="N16" s="29" t="n">
        <v>4</v>
      </c>
      <c r="O16" s="30" t="inlineStr">
        <is>
          <t>Morwenna #16</t>
        </is>
      </c>
      <c r="P16" s="30" t="n"/>
    </row>
    <row r="17" ht="23.25" customHeight="1" s="18">
      <c r="A17" s="29" t="n">
        <v>11</v>
      </c>
      <c r="B17" s="29" t="inlineStr">
        <is>
          <t>December</t>
        </is>
      </c>
      <c r="C17" s="29" t="inlineStr">
        <is>
          <t>Tuesday</t>
        </is>
      </c>
      <c r="D17" s="29" t="inlineStr">
        <is>
          <t>New Moon</t>
        </is>
      </c>
      <c r="E17" s="29" t="inlineStr">
        <is>
          <t>Clear &amp; sunny</t>
        </is>
      </c>
      <c r="F17" s="29" t="inlineStr">
        <is>
          <t>Nightfall</t>
        </is>
      </c>
      <c r="G17" s="29" t="n"/>
      <c r="H17" s="29" t="n">
        <v>231</v>
      </c>
      <c r="I17" s="30" t="inlineStr">
        <is>
          <t>The Pocket Quest</t>
        </is>
      </c>
      <c r="J17" s="29" t="inlineStr">
        <is>
          <t>Talisman</t>
        </is>
      </c>
      <c r="K17" s="30" t="inlineStr">
        <is>
          <t>Clear starry night</t>
        </is>
      </c>
      <c r="L17" s="29">
        <f>IF(M17="",0,LEN(M17)-LEN(SUBSTITUTE(M17,",",""))+1)</f>
        <v/>
      </c>
      <c r="M17" s="30" t="inlineStr">
        <is>
          <t>Patchwork scraps, Snail shell, Twig, Clear starry night</t>
        </is>
      </c>
      <c r="N17" s="29" t="n">
        <v>1</v>
      </c>
      <c r="O17" s="30" t="inlineStr">
        <is>
          <t>Morwenna #21</t>
        </is>
      </c>
      <c r="P17" s="30" t="n"/>
    </row>
    <row r="18" ht="15" customHeight="1" s="18">
      <c r="A18" s="29" t="n">
        <v>12</v>
      </c>
      <c r="B18" s="29" t="inlineStr">
        <is>
          <t>December</t>
        </is>
      </c>
      <c r="C18" s="29" t="inlineStr">
        <is>
          <t>Wednesday</t>
        </is>
      </c>
      <c r="D18" s="29" t="inlineStr">
        <is>
          <t>Waxing Crescent</t>
        </is>
      </c>
      <c r="E18" s="29" t="inlineStr">
        <is>
          <t>Windy</t>
        </is>
      </c>
      <c r="F18" s="29" t="inlineStr">
        <is>
          <t>Sunrise</t>
        </is>
      </c>
      <c r="G18" s="29" t="n"/>
      <c r="H18" s="29" t="n">
        <v>65</v>
      </c>
      <c r="I18" s="30" t="inlineStr">
        <is>
          <t>Words Like Honey</t>
        </is>
      </c>
      <c r="J18" s="29" t="inlineStr">
        <is>
          <t>Tea</t>
        </is>
      </c>
      <c r="K18" s="30" t="inlineStr">
        <is>
          <t>Wednesday</t>
        </is>
      </c>
      <c r="L18" s="29">
        <f>IF(M18="",0,LEN(M18)-LEN(SUBSTITUTE(M18,",",""))+1)</f>
        <v/>
      </c>
      <c r="M18" s="30" t="inlineStr">
        <is>
          <t>Sweet pea, The Lovers</t>
        </is>
      </c>
      <c r="N18" s="29" t="n">
        <v>5</v>
      </c>
      <c r="O18" s="30" t="inlineStr">
        <is>
          <t>Hester #68</t>
        </is>
      </c>
      <c r="P18" s="30" t="n"/>
    </row>
    <row r="19" ht="15" customHeight="1" s="18">
      <c r="A19" s="29" t="n">
        <v>12</v>
      </c>
      <c r="B19" s="29" t="inlineStr">
        <is>
          <t>December</t>
        </is>
      </c>
      <c r="C19" s="29" t="inlineStr">
        <is>
          <t>Wednesday</t>
        </is>
      </c>
      <c r="D19" s="29" t="inlineStr">
        <is>
          <t>Waxing Crescent</t>
        </is>
      </c>
      <c r="E19" s="29" t="inlineStr">
        <is>
          <t>Windy</t>
        </is>
      </c>
      <c r="F19" s="29" t="inlineStr">
        <is>
          <t>Sunrise</t>
        </is>
      </c>
      <c r="G19" s="29" t="n"/>
      <c r="H19" s="29" t="n">
        <v>81</v>
      </c>
      <c r="I19" s="30" t="inlineStr">
        <is>
          <t>The Clockwork Moon</t>
        </is>
      </c>
      <c r="J19" s="29" t="inlineStr">
        <is>
          <t>Talisman</t>
        </is>
      </c>
      <c r="K19" s="30" t="inlineStr">
        <is>
          <t>Wednesday</t>
        </is>
      </c>
      <c r="L19" s="29">
        <f>IF(M19="",0,LEN(M19)-LEN(SUBSTITUTE(M19,",",""))+1)</f>
        <v/>
      </c>
      <c r="M19" s="30" t="inlineStr">
        <is>
          <t>Hematite, Spool of thread, The Emperor</t>
        </is>
      </c>
      <c r="N19" s="29" t="n">
        <v>4</v>
      </c>
      <c r="O19" s="30" t="inlineStr">
        <is>
          <t>Morwenna #16</t>
        </is>
      </c>
      <c r="P19" s="30" t="n"/>
    </row>
    <row r="20" ht="15" customHeight="1" s="18">
      <c r="A20" s="29" t="n">
        <v>13</v>
      </c>
      <c r="B20" s="29" t="inlineStr">
        <is>
          <t>December</t>
        </is>
      </c>
      <c r="C20" s="29" t="inlineStr">
        <is>
          <t>Thursday</t>
        </is>
      </c>
      <c r="D20" s="29" t="inlineStr">
        <is>
          <t>First Quarter</t>
        </is>
      </c>
      <c r="E20" s="29" t="inlineStr">
        <is>
          <t>Cloudy</t>
        </is>
      </c>
      <c r="F20" s="29" t="inlineStr">
        <is>
          <t>Sunrise</t>
        </is>
      </c>
      <c r="G20" s="29" t="n"/>
      <c r="H20" s="29" t="n">
        <v>136</v>
      </c>
      <c r="I20" s="30" t="inlineStr">
        <is>
          <t>The Wintering Star</t>
        </is>
      </c>
      <c r="J20" s="29" t="inlineStr">
        <is>
          <t>Butter</t>
        </is>
      </c>
      <c r="K20" s="30" t="inlineStr">
        <is>
          <t>Yule</t>
        </is>
      </c>
      <c r="L20" s="29">
        <f>IF(M20="",0,LEN(M20)-LEN(SUBSTITUTE(M20,",",""))+1)</f>
        <v/>
      </c>
      <c r="M20" s="30" t="inlineStr">
        <is>
          <t>Clove, Nutmeg, Yule</t>
        </is>
      </c>
      <c r="N20" s="29" t="n">
        <v>3</v>
      </c>
      <c r="O20" s="30" t="inlineStr">
        <is>
          <t>Hester #68</t>
        </is>
      </c>
      <c r="P20" s="30" t="n"/>
    </row>
    <row r="21" ht="15" customHeight="1" s="18">
      <c r="A21" s="29" t="n">
        <v>13</v>
      </c>
      <c r="B21" s="29" t="inlineStr">
        <is>
          <t>December</t>
        </is>
      </c>
      <c r="C21" s="29" t="inlineStr">
        <is>
          <t>Thursday</t>
        </is>
      </c>
      <c r="D21" s="29" t="inlineStr">
        <is>
          <t>First Quarter</t>
        </is>
      </c>
      <c r="E21" s="29" t="inlineStr">
        <is>
          <t>Cloudy</t>
        </is>
      </c>
      <c r="F21" s="29" t="inlineStr">
        <is>
          <t>Sunrise</t>
        </is>
      </c>
      <c r="G21" s="29" t="n"/>
      <c r="H21" s="29" t="n">
        <v>144</v>
      </c>
      <c r="I21" s="30" t="inlineStr">
        <is>
          <t>The Sun's Little Promise</t>
        </is>
      </c>
      <c r="J21" s="29" t="inlineStr">
        <is>
          <t>Charm</t>
        </is>
      </c>
      <c r="K21" s="30" t="inlineStr">
        <is>
          <t>Yule · Sunrise</t>
        </is>
      </c>
      <c r="L21" s="29">
        <f>IF(M21="",0,LEN(M21)-LEN(SUBSTITUTE(M21,",",""))+1)</f>
        <v/>
      </c>
      <c r="M21" s="30" t="inlineStr">
        <is>
          <t>Orange, Sunstone</t>
        </is>
      </c>
      <c r="N21" s="29" t="n">
        <v>6</v>
      </c>
      <c r="O21" s="30" t="n"/>
      <c r="P21" s="30" t="n"/>
    </row>
    <row r="22" ht="15" customHeight="1" s="18">
      <c r="A22" s="29" t="n">
        <v>14</v>
      </c>
      <c r="B22" s="29" t="inlineStr">
        <is>
          <t>December</t>
        </is>
      </c>
      <c r="C22" s="29" t="inlineStr">
        <is>
          <t>Friday</t>
        </is>
      </c>
      <c r="D22" s="29" t="inlineStr">
        <is>
          <t>Waxing Gibbous</t>
        </is>
      </c>
      <c r="E22" s="29" t="inlineStr">
        <is>
          <t>Cloudy</t>
        </is>
      </c>
      <c r="F22" s="29" t="inlineStr">
        <is>
          <t>Sunrise</t>
        </is>
      </c>
      <c r="G22" s="29" t="n"/>
      <c r="H22" s="29" t="n">
        <v>129</v>
      </c>
      <c r="I22" s="30" t="inlineStr">
        <is>
          <t>Sunrise in a Teacup</t>
        </is>
      </c>
      <c r="J22" s="29" t="inlineStr">
        <is>
          <t>Potion</t>
        </is>
      </c>
      <c r="K22" s="30" t="inlineStr">
        <is>
          <t>Sunrise</t>
        </is>
      </c>
      <c r="L22" s="29">
        <f>IF(M22="",0,LEN(M22)-LEN(SUBSTITUTE(M22,",",""))+1)</f>
        <v/>
      </c>
      <c r="M22" s="30" t="inlineStr">
        <is>
          <t>Dandelion, Dawn dew</t>
        </is>
      </c>
      <c r="N22" s="29" t="n">
        <v>7</v>
      </c>
      <c r="O22" s="30" t="inlineStr">
        <is>
          <t>Felix #151</t>
        </is>
      </c>
      <c r="P22" s="30" t="n"/>
    </row>
    <row r="23" ht="15" customHeight="1" s="18">
      <c r="A23" s="29" t="n">
        <v>14</v>
      </c>
      <c r="B23" s="29" t="inlineStr">
        <is>
          <t>December</t>
        </is>
      </c>
      <c r="C23" s="29" t="inlineStr">
        <is>
          <t>Friday</t>
        </is>
      </c>
      <c r="D23" s="29" t="inlineStr">
        <is>
          <t>Waxing Gibbous</t>
        </is>
      </c>
      <c r="E23" s="29" t="inlineStr">
        <is>
          <t>Cloudy</t>
        </is>
      </c>
      <c r="F23" s="29" t="inlineStr">
        <is>
          <t>Sunrise</t>
        </is>
      </c>
      <c r="G23" s="29" t="n"/>
      <c r="H23" s="29" t="n">
        <v>214</v>
      </c>
      <c r="I23" s="30" t="inlineStr">
        <is>
          <t>The Main-Character Morning</t>
        </is>
      </c>
      <c r="J23" s="29" t="inlineStr">
        <is>
          <t>Potion</t>
        </is>
      </c>
      <c r="K23" s="30" t="inlineStr">
        <is>
          <t>Sunrise</t>
        </is>
      </c>
      <c r="L23" s="29">
        <f>IF(M23="",0,LEN(M23)-LEN(SUBSTITUTE(M23,",",""))+1)</f>
        <v/>
      </c>
      <c r="M23" s="30" t="inlineStr">
        <is>
          <t>Strawberry, Orange candle</t>
        </is>
      </c>
      <c r="N23" s="29" t="n">
        <v>5</v>
      </c>
      <c r="O23" s="30" t="inlineStr">
        <is>
          <t>Felix #151</t>
        </is>
      </c>
      <c r="P23" s="30" t="n"/>
    </row>
    <row r="24" ht="23.25" customHeight="1" s="18">
      <c r="A24" s="29" t="n">
        <v>15</v>
      </c>
      <c r="B24" s="29" t="inlineStr">
        <is>
          <t>December</t>
        </is>
      </c>
      <c r="C24" s="29" t="inlineStr">
        <is>
          <t>Saturday</t>
        </is>
      </c>
      <c r="D24" s="29" t="inlineStr">
        <is>
          <t>Full Moon (Cold Moon)</t>
        </is>
      </c>
      <c r="E24" s="29" t="inlineStr">
        <is>
          <t>Clear &amp; sunny</t>
        </is>
      </c>
      <c r="F24" s="29" t="inlineStr">
        <is>
          <t>Sunrise</t>
        </is>
      </c>
      <c r="G24" s="29" t="n"/>
      <c r="H24" s="29" t="n">
        <v>165</v>
      </c>
      <c r="I24" s="30" t="inlineStr">
        <is>
          <t>The Solitude Sweetspot</t>
        </is>
      </c>
      <c r="J24" s="29" t="inlineStr">
        <is>
          <t>Tea</t>
        </is>
      </c>
      <c r="K24" s="30" t="inlineStr">
        <is>
          <t>Cold Moon (December full moon)</t>
        </is>
      </c>
      <c r="L24" s="29">
        <f>IF(M24="",0,LEN(M24)-LEN(SUBSTITUTE(M24,",",""))+1)</f>
        <v/>
      </c>
      <c r="M24" s="30" t="inlineStr">
        <is>
          <t>Bergamot, Black tea, Rose, Cold Moon</t>
        </is>
      </c>
      <c r="N24" s="29" t="n">
        <v>2</v>
      </c>
      <c r="O24" s="30" t="inlineStr">
        <is>
          <t>Noor #86</t>
        </is>
      </c>
      <c r="P24" s="30" t="inlineStr">
        <is>
          <t>Last chance this year</t>
        </is>
      </c>
    </row>
    <row r="25" ht="15" customHeight="1" s="18">
      <c r="A25" s="29" t="n">
        <v>15</v>
      </c>
      <c r="B25" s="29" t="inlineStr">
        <is>
          <t>December</t>
        </is>
      </c>
      <c r="C25" s="29" t="inlineStr">
        <is>
          <t>Saturday</t>
        </is>
      </c>
      <c r="D25" s="29" t="inlineStr">
        <is>
          <t>Full Moon (Cold Moon)</t>
        </is>
      </c>
      <c r="E25" s="29" t="inlineStr">
        <is>
          <t>Clear &amp; sunny</t>
        </is>
      </c>
      <c r="F25" s="29" t="inlineStr">
        <is>
          <t>Sunrise</t>
        </is>
      </c>
      <c r="G25" s="29" t="n"/>
      <c r="H25" s="29" t="n">
        <v>78</v>
      </c>
      <c r="I25" s="30" t="inlineStr">
        <is>
          <t>The Final Golden Stitch</t>
        </is>
      </c>
      <c r="J25" s="29" t="inlineStr">
        <is>
          <t>Witch's Ladder</t>
        </is>
      </c>
      <c r="K25" s="30" t="inlineStr">
        <is>
          <t>Saturday · Full Moon</t>
        </is>
      </c>
      <c r="L25" s="29">
        <f>IF(M25="",0,LEN(M25)-LEN(SUBSTITUTE(M25,",",""))+1)</f>
        <v/>
      </c>
      <c r="M25" s="30" t="inlineStr">
        <is>
          <t>Bay leaf, Gold thread, The World</t>
        </is>
      </c>
      <c r="N25" s="29" t="n">
        <v>5</v>
      </c>
      <c r="O25" s="30" t="n"/>
      <c r="P25" s="30" t="n"/>
    </row>
    <row r="26" ht="15" customHeight="1" s="18">
      <c r="A26" s="29" t="n">
        <v>16</v>
      </c>
      <c r="B26" s="29" t="inlineStr">
        <is>
          <t>December</t>
        </is>
      </c>
      <c r="C26" s="29" t="inlineStr">
        <is>
          <t>Sunday</t>
        </is>
      </c>
      <c r="D26" s="29" t="inlineStr">
        <is>
          <t>Waning Gibbous</t>
        </is>
      </c>
      <c r="E26" s="29" t="inlineStr">
        <is>
          <t>Snow</t>
        </is>
      </c>
      <c r="F26" s="29" t="inlineStr">
        <is>
          <t>Noon</t>
        </is>
      </c>
      <c r="G26" s="29" t="n"/>
      <c r="H26" s="29" t="n">
        <v>55</v>
      </c>
      <c r="I26" s="30" t="inlineStr">
        <is>
          <t>Celestial Spotlight</t>
        </is>
      </c>
      <c r="J26" s="29" t="inlineStr">
        <is>
          <t>Powder</t>
        </is>
      </c>
      <c r="K26" s="30" t="inlineStr">
        <is>
          <t>Sunday · Noon</t>
        </is>
      </c>
      <c r="L26" s="29">
        <f>IF(M26="",0,LEN(M26)-LEN(SUBSTITUTE(M26,",",""))+1)</f>
        <v/>
      </c>
      <c r="M26" s="30" t="inlineStr">
        <is>
          <t>Orange blossom</t>
        </is>
      </c>
      <c r="N26" s="29" t="n">
        <v>7</v>
      </c>
      <c r="O26" s="30" t="n"/>
      <c r="P26" s="30" t="n"/>
    </row>
    <row r="27" ht="15" customHeight="1" s="18">
      <c r="A27" s="29" t="n">
        <v>16</v>
      </c>
      <c r="B27" s="29" t="inlineStr">
        <is>
          <t>December</t>
        </is>
      </c>
      <c r="C27" s="29" t="inlineStr">
        <is>
          <t>Sunday</t>
        </is>
      </c>
      <c r="D27" s="29" t="inlineStr">
        <is>
          <t>Waning Gibbous</t>
        </is>
      </c>
      <c r="E27" s="29" t="inlineStr">
        <is>
          <t>Snow</t>
        </is>
      </c>
      <c r="F27" s="29" t="inlineStr">
        <is>
          <t>Noon</t>
        </is>
      </c>
      <c r="G27" s="29" t="n"/>
      <c r="H27" s="29" t="n">
        <v>114</v>
      </c>
      <c r="I27" s="30" t="inlineStr">
        <is>
          <t>The Unborrowed Light</t>
        </is>
      </c>
      <c r="J27" s="29" t="inlineStr">
        <is>
          <t>Sigil</t>
        </is>
      </c>
      <c r="K27" s="30" t="inlineStr">
        <is>
          <t>Sunday · Noon</t>
        </is>
      </c>
      <c r="L27" s="29">
        <f>IF(M27="",0,LEN(M27)-LEN(SUBSTITUTE(M27,",",""))+1)</f>
        <v/>
      </c>
      <c r="M27" s="30" t="inlineStr">
        <is>
          <t>Clear quartz, Silver ink</t>
        </is>
      </c>
      <c r="N27" s="29" t="n">
        <v>5</v>
      </c>
      <c r="O27" s="30" t="n"/>
      <c r="P27" s="30" t="n"/>
    </row>
    <row r="28" ht="15" customHeight="1" s="18">
      <c r="A28" s="29" t="n">
        <v>17</v>
      </c>
      <c r="B28" s="29" t="inlineStr">
        <is>
          <t>January</t>
        </is>
      </c>
      <c r="C28" s="29" t="inlineStr">
        <is>
          <t>Monday</t>
        </is>
      </c>
      <c r="D28" s="29" t="inlineStr">
        <is>
          <t>Last Quarter</t>
        </is>
      </c>
      <c r="E28" s="29" t="inlineStr">
        <is>
          <t>Snow</t>
        </is>
      </c>
      <c r="F28" s="29" t="inlineStr">
        <is>
          <t>Sunrise</t>
        </is>
      </c>
      <c r="G28" s="29" t="n"/>
      <c r="H28" s="29" t="n">
        <v>192</v>
      </c>
      <c r="I28" s="30" t="inlineStr">
        <is>
          <t>The Unwritten Rule</t>
        </is>
      </c>
      <c r="J28" s="29" t="inlineStr">
        <is>
          <t>Rune</t>
        </is>
      </c>
      <c r="K28" s="30" t="inlineStr">
        <is>
          <t>Any time</t>
        </is>
      </c>
      <c r="L28" s="29">
        <f>IF(M28="",0,LEN(M28)-LEN(SUBSTITUTE(M28,",",""))+1)</f>
        <v/>
      </c>
      <c r="M28" s="30" t="inlineStr">
        <is>
          <t>Willow wood, The Hierophant</t>
        </is>
      </c>
      <c r="N28" s="29" t="n">
        <v>1</v>
      </c>
      <c r="O28" s="30" t="inlineStr">
        <is>
          <t>Noor #86</t>
        </is>
      </c>
      <c r="P28" s="30" t="n"/>
    </row>
    <row r="29" ht="15" customHeight="1" s="18">
      <c r="A29" s="29" t="n">
        <v>17</v>
      </c>
      <c r="B29" s="29" t="inlineStr">
        <is>
          <t>January</t>
        </is>
      </c>
      <c r="C29" s="29" t="inlineStr">
        <is>
          <t>Monday</t>
        </is>
      </c>
      <c r="D29" s="29" t="inlineStr">
        <is>
          <t>Last Quarter</t>
        </is>
      </c>
      <c r="E29" s="29" t="inlineStr">
        <is>
          <t>Snow</t>
        </is>
      </c>
      <c r="F29" s="29" t="inlineStr">
        <is>
          <t>Sunrise</t>
        </is>
      </c>
      <c r="G29" s="29" t="n"/>
      <c r="H29" s="29" t="n">
        <v>201</v>
      </c>
      <c r="I29" s="30" t="inlineStr">
        <is>
          <t>The Old Shield, Laid Down</t>
        </is>
      </c>
      <c r="J29" s="29" t="inlineStr">
        <is>
          <t>Witch Salt</t>
        </is>
      </c>
      <c r="K29" s="30" t="inlineStr">
        <is>
          <t>Waning Moon</t>
        </is>
      </c>
      <c r="L29" s="29">
        <f>IF(M29="",0,LEN(M29)-LEN(SUBSTITUTE(M29,",",""))+1)</f>
        <v/>
      </c>
      <c r="M29" s="30" t="inlineStr">
        <is>
          <t>Angelica root, Hearth ash, Death</t>
        </is>
      </c>
      <c r="N29" s="29" t="n">
        <v>5</v>
      </c>
      <c r="O29" s="30" t="n"/>
      <c r="P29" s="30" t="n"/>
    </row>
    <row r="30" ht="15" customHeight="1" s="18">
      <c r="A30" s="29" t="n">
        <v>18</v>
      </c>
      <c r="B30" s="29" t="inlineStr">
        <is>
          <t>January</t>
        </is>
      </c>
      <c r="C30" s="29" t="inlineStr">
        <is>
          <t>Tuesday</t>
        </is>
      </c>
      <c r="D30" s="29" t="inlineStr">
        <is>
          <t>Waning Crescent</t>
        </is>
      </c>
      <c r="E30" s="29" t="inlineStr">
        <is>
          <t>Clear &amp; sunny</t>
        </is>
      </c>
      <c r="F30" s="29" t="inlineStr">
        <is>
          <t>Sunrise</t>
        </is>
      </c>
      <c r="G30" s="29" t="inlineStr">
        <is>
          <t>Yes</t>
        </is>
      </c>
      <c r="H30" s="29" t="n">
        <v>19</v>
      </c>
      <c r="I30" s="30" t="inlineStr">
        <is>
          <t>No Further, No Closer</t>
        </is>
      </c>
      <c r="J30" s="29" t="inlineStr">
        <is>
          <t>Wand</t>
        </is>
      </c>
      <c r="K30" s="30" t="inlineStr">
        <is>
          <t>Tuesday · Sunrise</t>
        </is>
      </c>
      <c r="L30" s="29">
        <f>IF(M30="",0,LEN(M30)-LEN(SUBSTITUTE(M30,",",""))+1)</f>
        <v/>
      </c>
      <c r="M30" s="30" t="inlineStr">
        <is>
          <t>Hedgehog quill, Rowan branch, Red candle</t>
        </is>
      </c>
      <c r="N30" s="29" t="n">
        <v>5</v>
      </c>
      <c r="O30" s="30" t="n"/>
      <c r="P30" s="30" t="n"/>
    </row>
    <row r="31" ht="15" customHeight="1" s="18">
      <c r="A31" s="29" t="n">
        <v>18</v>
      </c>
      <c r="B31" s="29" t="inlineStr">
        <is>
          <t>January</t>
        </is>
      </c>
      <c r="C31" s="29" t="inlineStr">
        <is>
          <t>Tuesday</t>
        </is>
      </c>
      <c r="D31" s="29" t="inlineStr">
        <is>
          <t>Waning Crescent</t>
        </is>
      </c>
      <c r="E31" s="29" t="inlineStr">
        <is>
          <t>Clear &amp; sunny</t>
        </is>
      </c>
      <c r="F31" s="29" t="inlineStr">
        <is>
          <t>Nightfall</t>
        </is>
      </c>
      <c r="G31" s="29" t="inlineStr">
        <is>
          <t>Yes</t>
        </is>
      </c>
      <c r="H31" s="29" t="n">
        <v>133</v>
      </c>
      <c r="I31" s="30" t="inlineStr">
        <is>
          <t>The Celestial Mapmaker</t>
        </is>
      </c>
      <c r="J31" s="29" t="inlineStr">
        <is>
          <t>Wand</t>
        </is>
      </c>
      <c r="K31" s="30" t="inlineStr">
        <is>
          <t>Clear starry night</t>
        </is>
      </c>
      <c r="L31" s="29">
        <f>IF(M31="",0,LEN(M31)-LEN(SUBSTITUTE(M31,",",""))+1)</f>
        <v/>
      </c>
      <c r="M31" s="30" t="inlineStr">
        <is>
          <t>Ash branch, Star anise</t>
        </is>
      </c>
      <c r="N31" s="29" t="n">
        <v>4</v>
      </c>
      <c r="O31" s="30" t="n"/>
      <c r="P31" s="30" t="n"/>
    </row>
    <row r="32" ht="15" customHeight="1" s="18">
      <c r="A32" s="29" t="n">
        <v>19</v>
      </c>
      <c r="B32" s="29" t="inlineStr">
        <is>
          <t>January</t>
        </is>
      </c>
      <c r="C32" s="29" t="inlineStr">
        <is>
          <t>Wednesday</t>
        </is>
      </c>
      <c r="D32" s="29" t="inlineStr">
        <is>
          <t>New Moon</t>
        </is>
      </c>
      <c r="E32" s="29" t="inlineStr">
        <is>
          <t>Fog / Mist</t>
        </is>
      </c>
      <c r="F32" s="29" t="inlineStr">
        <is>
          <t>Sunrise</t>
        </is>
      </c>
      <c r="G32" s="29" t="inlineStr">
        <is>
          <t>Yes</t>
        </is>
      </c>
      <c r="H32" s="29" t="n">
        <v>28</v>
      </c>
      <c r="I32" s="30" t="inlineStr">
        <is>
          <t>The First Circle</t>
        </is>
      </c>
      <c r="J32" s="29" t="inlineStr">
        <is>
          <t>Powder</t>
        </is>
      </c>
      <c r="K32" s="30" t="inlineStr">
        <is>
          <t>Sunrise · New Moon</t>
        </is>
      </c>
      <c r="L32" s="29">
        <f>IF(M32="",0,LEN(M32)-LEN(SUBSTITUTE(M32,",",""))+1)</f>
        <v/>
      </c>
      <c r="M32" s="30" t="inlineStr">
        <is>
          <t>Eggshell, Judgement</t>
        </is>
      </c>
      <c r="N32" s="29" t="n">
        <v>7</v>
      </c>
      <c r="O32" s="30" t="n"/>
      <c r="P32" s="30" t="n"/>
    </row>
    <row r="33" ht="15" customHeight="1" s="18">
      <c r="A33" s="29" t="n">
        <v>19</v>
      </c>
      <c r="B33" s="29" t="inlineStr">
        <is>
          <t>January</t>
        </is>
      </c>
      <c r="C33" s="29" t="inlineStr">
        <is>
          <t>Wednesday</t>
        </is>
      </c>
      <c r="D33" s="29" t="inlineStr">
        <is>
          <t>New Moon</t>
        </is>
      </c>
      <c r="E33" s="29" t="inlineStr">
        <is>
          <t>Fog / Mist</t>
        </is>
      </c>
      <c r="F33" s="29" t="inlineStr">
        <is>
          <t>Nightfall</t>
        </is>
      </c>
      <c r="G33" s="29" t="n"/>
      <c r="H33" s="29" t="n">
        <v>29</v>
      </c>
      <c r="I33" s="30" t="inlineStr">
        <is>
          <t>The Unbroken Quill</t>
        </is>
      </c>
      <c r="J33" s="29" t="inlineStr">
        <is>
          <t>Spell Bottle</t>
        </is>
      </c>
      <c r="K33" s="30" t="inlineStr">
        <is>
          <t>Wednesday · Nightfall</t>
        </is>
      </c>
      <c r="L33" s="29">
        <f>IF(M33="",0,LEN(M33)-LEN(SUBSTITUTE(M33,",",""))+1)</f>
        <v/>
      </c>
      <c r="M33" s="30" t="inlineStr">
        <is>
          <t>Wax seal, Black candle, The Magician</t>
        </is>
      </c>
      <c r="N33" s="29" t="n">
        <v>6</v>
      </c>
      <c r="O33" s="30" t="n"/>
      <c r="P33" s="30" t="n"/>
    </row>
    <row r="34" ht="23.25" customHeight="1" s="18">
      <c r="A34" s="29" t="n">
        <v>20</v>
      </c>
      <c r="B34" s="29" t="inlineStr">
        <is>
          <t>January</t>
        </is>
      </c>
      <c r="C34" s="29" t="inlineStr">
        <is>
          <t>Thursday</t>
        </is>
      </c>
      <c r="D34" s="29" t="inlineStr">
        <is>
          <t>Waxing Crescent</t>
        </is>
      </c>
      <c r="E34" s="29" t="inlineStr">
        <is>
          <t>Rain</t>
        </is>
      </c>
      <c r="F34" s="29" t="inlineStr">
        <is>
          <t>Nightfall</t>
        </is>
      </c>
      <c r="G34" s="29" t="n"/>
      <c r="H34" s="29" t="n">
        <v>170</v>
      </c>
      <c r="I34" s="30" t="inlineStr">
        <is>
          <t>The Doorstep Clover</t>
        </is>
      </c>
      <c r="J34" s="29" t="inlineStr">
        <is>
          <t>Talisman</t>
        </is>
      </c>
      <c r="K34" s="30" t="inlineStr">
        <is>
          <t>Thursday · Nightfall</t>
        </is>
      </c>
      <c r="L34" s="29">
        <f>IF(M34="",0,LEN(M34)-LEN(SUBSTITUTE(M34,",",""))+1)</f>
        <v/>
      </c>
      <c r="M34" s="30" t="inlineStr">
        <is>
          <t>Four-leaf clover, Green aventurine, Green thread, Green candle</t>
        </is>
      </c>
      <c r="N34" s="29" t="n">
        <v>3</v>
      </c>
      <c r="O34" s="30" t="inlineStr">
        <is>
          <t>Hester #135</t>
        </is>
      </c>
      <c r="P34" s="30" t="n"/>
    </row>
    <row r="35" ht="15" customHeight="1" s="18">
      <c r="A35" s="29" t="n">
        <v>20</v>
      </c>
      <c r="B35" s="29" t="inlineStr">
        <is>
          <t>January</t>
        </is>
      </c>
      <c r="C35" s="29" t="inlineStr">
        <is>
          <t>Thursday</t>
        </is>
      </c>
      <c r="D35" s="29" t="inlineStr">
        <is>
          <t>Waxing Crescent</t>
        </is>
      </c>
      <c r="E35" s="29" t="inlineStr">
        <is>
          <t>Rain</t>
        </is>
      </c>
      <c r="F35" s="29" t="inlineStr">
        <is>
          <t>Sunrise</t>
        </is>
      </c>
      <c r="G35" s="29" t="n"/>
      <c r="H35" s="29" t="n">
        <v>31</v>
      </c>
      <c r="I35" s="30" t="inlineStr">
        <is>
          <t>Cloverkiss</t>
        </is>
      </c>
      <c r="J35" s="29" t="inlineStr">
        <is>
          <t>Potion</t>
        </is>
      </c>
      <c r="K35" s="30" t="inlineStr">
        <is>
          <t>Thursday</t>
        </is>
      </c>
      <c r="L35" s="29">
        <f>IF(M35="",0,LEN(M35)-LEN(SUBSTITUTE(M35,",",""))+1)</f>
        <v/>
      </c>
      <c r="M35" s="30" t="inlineStr">
        <is>
          <t>Clover, Wheel of Fortune</t>
        </is>
      </c>
      <c r="N35" s="29" t="n">
        <v>7</v>
      </c>
      <c r="O35" s="30" t="n"/>
      <c r="P35" s="30" t="n"/>
    </row>
    <row r="36" ht="15" customHeight="1" s="18">
      <c r="A36" s="29" t="n">
        <v>21</v>
      </c>
      <c r="B36" s="29" t="inlineStr">
        <is>
          <t>January</t>
        </is>
      </c>
      <c r="C36" s="29" t="inlineStr">
        <is>
          <t>Friday</t>
        </is>
      </c>
      <c r="D36" s="29" t="inlineStr">
        <is>
          <t>First Quarter</t>
        </is>
      </c>
      <c r="E36" s="29" t="inlineStr">
        <is>
          <t>Rain</t>
        </is>
      </c>
      <c r="F36" s="29" t="inlineStr">
        <is>
          <t>Sunrise</t>
        </is>
      </c>
      <c r="G36" s="29" t="n"/>
      <c r="H36" s="29" t="n">
        <v>67</v>
      </c>
      <c r="I36" s="30" t="inlineStr">
        <is>
          <t>The Kindred Spark</t>
        </is>
      </c>
      <c r="J36" s="29" t="inlineStr">
        <is>
          <t>Charm</t>
        </is>
      </c>
      <c r="K36" s="30" t="inlineStr">
        <is>
          <t>Friday</t>
        </is>
      </c>
      <c r="L36" s="29">
        <f>IF(M36="",0,LEN(M36)-LEN(SUBSTITUTE(M36,",",""))+1)</f>
        <v/>
      </c>
      <c r="M36" s="30" t="inlineStr">
        <is>
          <t>Bright buttons, Carnelian, Orange thread</t>
        </is>
      </c>
      <c r="N36" s="29" t="n">
        <v>4</v>
      </c>
      <c r="O36" s="30" t="n"/>
      <c r="P36" s="30" t="n"/>
    </row>
    <row r="37" ht="15" customHeight="1" s="18">
      <c r="A37" s="29" t="n">
        <v>21</v>
      </c>
      <c r="B37" s="29" t="inlineStr">
        <is>
          <t>January</t>
        </is>
      </c>
      <c r="C37" s="29" t="inlineStr">
        <is>
          <t>Friday</t>
        </is>
      </c>
      <c r="D37" s="29" t="inlineStr">
        <is>
          <t>First Quarter</t>
        </is>
      </c>
      <c r="E37" s="29" t="inlineStr">
        <is>
          <t>Rain</t>
        </is>
      </c>
      <c r="F37" s="29" t="inlineStr">
        <is>
          <t>Sunrise</t>
        </is>
      </c>
      <c r="G37" s="29" t="n"/>
      <c r="H37" s="29" t="n">
        <v>210</v>
      </c>
      <c r="I37" s="30" t="inlineStr">
        <is>
          <t>The Kind Voice Within</t>
        </is>
      </c>
      <c r="J37" s="29" t="inlineStr">
        <is>
          <t>Tea</t>
        </is>
      </c>
      <c r="K37" s="30" t="inlineStr">
        <is>
          <t>Any time</t>
        </is>
      </c>
      <c r="L37" s="29">
        <f>IF(M37="",0,LEN(M37)-LEN(SUBSTITUTE(M37,",",""))+1)</f>
        <v/>
      </c>
      <c r="M37" s="30" t="inlineStr">
        <is>
          <t>Pink candle, The Empress</t>
        </is>
      </c>
      <c r="N37" s="29" t="n">
        <v>4</v>
      </c>
      <c r="O37" s="30" t="n"/>
      <c r="P37" s="30" t="n"/>
    </row>
    <row r="38" ht="15" customHeight="1" s="18">
      <c r="A38" s="29" t="n">
        <v>22</v>
      </c>
      <c r="B38" s="29" t="inlineStr">
        <is>
          <t>January</t>
        </is>
      </c>
      <c r="C38" s="29" t="inlineStr">
        <is>
          <t>Saturday</t>
        </is>
      </c>
      <c r="D38" s="29" t="inlineStr">
        <is>
          <t>Waxing Gibbous</t>
        </is>
      </c>
      <c r="E38" s="29" t="inlineStr">
        <is>
          <t>Cloudy</t>
        </is>
      </c>
      <c r="F38" s="29" t="inlineStr">
        <is>
          <t>Sunrise</t>
        </is>
      </c>
      <c r="G38" s="29" t="n"/>
      <c r="H38" s="29" t="n">
        <v>200</v>
      </c>
      <c r="I38" s="30" t="inlineStr">
        <is>
          <t>The Broken Loop Key</t>
        </is>
      </c>
      <c r="J38" s="29" t="inlineStr">
        <is>
          <t>Witch's Ladder</t>
        </is>
      </c>
      <c r="K38" s="30" t="inlineStr">
        <is>
          <t>Saturday</t>
        </is>
      </c>
      <c r="L38" s="29">
        <f>IF(M38="",0,LEN(M38)-LEN(SUBSTITUTE(M38,",",""))+1)</f>
        <v/>
      </c>
      <c r="M38" s="30" t="inlineStr">
        <is>
          <t>Purple thread, Grey candle, The Tower</t>
        </is>
      </c>
      <c r="N38" s="29" t="n">
        <v>4</v>
      </c>
      <c r="O38" s="30" t="inlineStr">
        <is>
          <t>Noor #82</t>
        </is>
      </c>
      <c r="P38" s="30" t="n"/>
    </row>
    <row r="39" ht="23.25" customHeight="1" s="18">
      <c r="A39" s="29" t="n">
        <v>22</v>
      </c>
      <c r="B39" s="29" t="inlineStr">
        <is>
          <t>January</t>
        </is>
      </c>
      <c r="C39" s="29" t="inlineStr">
        <is>
          <t>Saturday</t>
        </is>
      </c>
      <c r="D39" s="29" t="inlineStr">
        <is>
          <t>Waxing Gibbous</t>
        </is>
      </c>
      <c r="E39" s="29" t="inlineStr">
        <is>
          <t>Cloudy</t>
        </is>
      </c>
      <c r="F39" s="29" t="inlineStr">
        <is>
          <t>Sunrise</t>
        </is>
      </c>
      <c r="G39" s="29" t="n"/>
      <c r="H39" s="29" t="n">
        <v>97</v>
      </c>
      <c r="I39" s="30" t="inlineStr">
        <is>
          <t>The Earth Remembers</t>
        </is>
      </c>
      <c r="J39" s="29" t="inlineStr">
        <is>
          <t>Witch Salt</t>
        </is>
      </c>
      <c r="K39" s="30" t="inlineStr">
        <is>
          <t>Saturday · after Rain</t>
        </is>
      </c>
      <c r="L39" s="29">
        <f>IF(M39="",0,LEN(M39)-LEN(SUBSTITUTE(M39,",",""))+1)</f>
        <v/>
      </c>
      <c r="M39" s="30" t="inlineStr">
        <is>
          <t>Garden soil, Oak moss, Patchouli, Smoky quartz, after Rain</t>
        </is>
      </c>
      <c r="N39" s="29" t="n">
        <v>4</v>
      </c>
      <c r="O39" s="30" t="n"/>
      <c r="P39" s="30" t="n"/>
    </row>
    <row r="40" ht="15" customHeight="1" s="18">
      <c r="A40" s="29" t="n">
        <v>23</v>
      </c>
      <c r="B40" s="29" t="inlineStr">
        <is>
          <t>January</t>
        </is>
      </c>
      <c r="C40" s="29" t="inlineStr">
        <is>
          <t>Sunday</t>
        </is>
      </c>
      <c r="D40" s="29" t="inlineStr">
        <is>
          <t>Full Moon (Wolf Moon)</t>
        </is>
      </c>
      <c r="E40" s="29" t="inlineStr">
        <is>
          <t>Snow</t>
        </is>
      </c>
      <c r="F40" s="29" t="inlineStr">
        <is>
          <t>Sunrise</t>
        </is>
      </c>
      <c r="G40" s="29" t="n"/>
      <c r="H40" s="29" t="n">
        <v>199</v>
      </c>
      <c r="I40" s="30" t="inlineStr">
        <is>
          <t>The Brave Little Lantern</t>
        </is>
      </c>
      <c r="J40" s="29" t="inlineStr">
        <is>
          <t>Potion</t>
        </is>
      </c>
      <c r="K40" s="30" t="inlineStr">
        <is>
          <t>Wolf Moon (January full moon)</t>
        </is>
      </c>
      <c r="L40" s="29">
        <f>IF(M40="",0,LEN(M40)-LEN(SUBSTITUTE(M40,",",""))+1)</f>
        <v/>
      </c>
      <c r="M40" s="30" t="inlineStr">
        <is>
          <t>Black salt, Wolf Moon</t>
        </is>
      </c>
      <c r="N40" s="29" t="n">
        <v>6</v>
      </c>
      <c r="O40" s="30" t="n"/>
      <c r="P40" s="30" t="inlineStr">
        <is>
          <t>Last chance this year</t>
        </is>
      </c>
    </row>
    <row r="41" ht="15" customHeight="1" s="18">
      <c r="A41" s="29" t="n">
        <v>23</v>
      </c>
      <c r="B41" s="29" t="inlineStr">
        <is>
          <t>January</t>
        </is>
      </c>
      <c r="C41" s="29" t="inlineStr">
        <is>
          <t>Sunday</t>
        </is>
      </c>
      <c r="D41" s="29" t="inlineStr">
        <is>
          <t>Full Moon (Wolf Moon)</t>
        </is>
      </c>
      <c r="E41" s="29" t="inlineStr">
        <is>
          <t>Snow</t>
        </is>
      </c>
      <c r="F41" s="29" t="inlineStr">
        <is>
          <t>Sunrise</t>
        </is>
      </c>
      <c r="G41" s="29" t="n"/>
      <c r="H41" s="29" t="n">
        <v>44</v>
      </c>
      <c r="I41" s="30" t="inlineStr">
        <is>
          <t>Champagne Stardust</t>
        </is>
      </c>
      <c r="J41" s="29" t="inlineStr">
        <is>
          <t>Bath Salt</t>
        </is>
      </c>
      <c r="K41" s="30" t="inlineStr">
        <is>
          <t>Sunday · Full Moon</t>
        </is>
      </c>
      <c r="L41" s="29">
        <f>IF(M41="",0,LEN(M41)-LEN(SUBSTITUTE(M41,",",""))+1)</f>
        <v/>
      </c>
      <c r="M41" s="30" t="inlineStr">
        <is>
          <t>Elderflower, Gold sprinkles</t>
        </is>
      </c>
      <c r="N41" s="29" t="n">
        <v>7</v>
      </c>
      <c r="O41" s="30" t="n"/>
      <c r="P41" s="30" t="n"/>
    </row>
    <row r="42" ht="23.25" customHeight="1" s="18">
      <c r="A42" s="29" t="n">
        <v>24</v>
      </c>
      <c r="B42" s="29" t="inlineStr">
        <is>
          <t>January</t>
        </is>
      </c>
      <c r="C42" s="29" t="inlineStr">
        <is>
          <t>Monday</t>
        </is>
      </c>
      <c r="D42" s="29" t="inlineStr">
        <is>
          <t>Waning Gibbous</t>
        </is>
      </c>
      <c r="E42" s="29" t="inlineStr">
        <is>
          <t>Snow</t>
        </is>
      </c>
      <c r="F42" s="29" t="inlineStr">
        <is>
          <t>Sunrise</t>
        </is>
      </c>
      <c r="G42" s="29" t="n"/>
      <c r="H42" s="29" t="n">
        <v>52</v>
      </c>
      <c r="I42" s="30" t="inlineStr">
        <is>
          <t>Swanlight</t>
        </is>
      </c>
      <c r="J42" s="29" t="inlineStr">
        <is>
          <t>Soap</t>
        </is>
      </c>
      <c r="K42" s="30" t="inlineStr">
        <is>
          <t>Monday · Snow</t>
        </is>
      </c>
      <c r="L42" s="29">
        <f>IF(M42="",0,LEN(M42)-LEN(SUBSTITUTE(M42,",",""))+1)</f>
        <v/>
      </c>
      <c r="M42" s="30" t="inlineStr">
        <is>
          <t>Pearl, Rosewater, Selenite, White lily, Temperance, Snow</t>
        </is>
      </c>
      <c r="N42" s="29" t="n">
        <v>4</v>
      </c>
      <c r="O42" s="30" t="n"/>
      <c r="P42" s="30" t="inlineStr">
        <is>
          <t>Last chance this year</t>
        </is>
      </c>
    </row>
    <row r="43" ht="15" customHeight="1" s="18">
      <c r="A43" s="29" t="n">
        <v>24</v>
      </c>
      <c r="B43" s="29" t="inlineStr">
        <is>
          <t>January</t>
        </is>
      </c>
      <c r="C43" s="29" t="inlineStr">
        <is>
          <t>Monday</t>
        </is>
      </c>
      <c r="D43" s="29" t="inlineStr">
        <is>
          <t>Waning Gibbous</t>
        </is>
      </c>
      <c r="E43" s="29" t="inlineStr">
        <is>
          <t>Snow</t>
        </is>
      </c>
      <c r="F43" s="29" t="inlineStr">
        <is>
          <t>Sunrise</t>
        </is>
      </c>
      <c r="G43" s="29" t="n"/>
      <c r="H43" s="29" t="n">
        <v>174</v>
      </c>
      <c r="I43" s="30" t="inlineStr">
        <is>
          <t>The Offline Garden</t>
        </is>
      </c>
      <c r="J43" s="29" t="inlineStr">
        <is>
          <t>Water</t>
        </is>
      </c>
      <c r="K43" s="30" t="inlineStr">
        <is>
          <t>Snow</t>
        </is>
      </c>
      <c r="L43" s="29">
        <f>IF(M43="",0,LEN(M43)-LEN(SUBSTITUTE(M43,",",""))+1)</f>
        <v/>
      </c>
      <c r="M43" s="30" t="inlineStr">
        <is>
          <t>Hops, Moss agate, Silver candle</t>
        </is>
      </c>
      <c r="N43" s="29" t="n">
        <v>3</v>
      </c>
      <c r="O43" s="30" t="n"/>
      <c r="P43" s="30" t="n"/>
    </row>
    <row r="44" ht="15" customHeight="1" s="18">
      <c r="A44" s="29" t="n">
        <v>25</v>
      </c>
      <c r="B44" s="29" t="inlineStr">
        <is>
          <t>February</t>
        </is>
      </c>
      <c r="C44" s="29" t="inlineStr">
        <is>
          <t>Tuesday</t>
        </is>
      </c>
      <c r="D44" s="29" t="inlineStr">
        <is>
          <t>Last Quarter</t>
        </is>
      </c>
      <c r="E44" s="29" t="inlineStr">
        <is>
          <t>Cloudy</t>
        </is>
      </c>
      <c r="F44" s="29" t="inlineStr">
        <is>
          <t>Sunrise</t>
        </is>
      </c>
      <c r="G44" s="29" t="n"/>
      <c r="H44" s="29" t="n">
        <v>30</v>
      </c>
      <c r="I44" s="30" t="inlineStr">
        <is>
          <t>The Hearth's Gentle Flame</t>
        </is>
      </c>
      <c r="J44" s="29" t="inlineStr">
        <is>
          <t>Butter</t>
        </is>
      </c>
      <c r="K44" s="30" t="inlineStr">
        <is>
          <t>Imbolc</t>
        </is>
      </c>
      <c r="L44" s="29">
        <f>IF(M44="",0,LEN(M44)-LEN(SUBSTITUTE(M44,",",""))+1)</f>
        <v/>
      </c>
      <c r="M44" s="30" t="inlineStr">
        <is>
          <t>Imbolc</t>
        </is>
      </c>
      <c r="N44" s="29" t="n">
        <v>6</v>
      </c>
      <c r="O44" s="30" t="inlineStr">
        <is>
          <t>Hester #135</t>
        </is>
      </c>
      <c r="P44" s="30" t="n"/>
    </row>
    <row r="45" ht="15" customHeight="1" s="18">
      <c r="A45" s="29" t="n">
        <v>25</v>
      </c>
      <c r="B45" s="29" t="inlineStr">
        <is>
          <t>February</t>
        </is>
      </c>
      <c r="C45" s="29" t="inlineStr">
        <is>
          <t>Tuesday</t>
        </is>
      </c>
      <c r="D45" s="29" t="inlineStr">
        <is>
          <t>Last Quarter</t>
        </is>
      </c>
      <c r="E45" s="29" t="inlineStr">
        <is>
          <t>Cloudy</t>
        </is>
      </c>
      <c r="F45" s="29" t="inlineStr">
        <is>
          <t>Sunrise</t>
        </is>
      </c>
      <c r="G45" s="29" t="n"/>
      <c r="H45" s="29" t="n">
        <v>85</v>
      </c>
      <c r="I45" s="30" t="inlineStr">
        <is>
          <t>First Spark, First Flame</t>
        </is>
      </c>
      <c r="J45" s="29" t="inlineStr">
        <is>
          <t>Rune</t>
        </is>
      </c>
      <c r="K45" s="30" t="inlineStr">
        <is>
          <t>Imbolc · Sunrise</t>
        </is>
      </c>
      <c r="L45" s="29">
        <f>IF(M45="",0,LEN(M45)-LEN(SUBSTITUTE(M45,",",""))+1)</f>
        <v/>
      </c>
      <c r="M45" s="30" t="inlineStr">
        <is>
          <t>Birch wood, Black pepper, Red paint</t>
        </is>
      </c>
      <c r="N45" s="29" t="n">
        <v>5</v>
      </c>
      <c r="O45" s="30" t="n"/>
      <c r="P45" s="30" t="n"/>
    </row>
    <row r="46" ht="15" customHeight="1" s="18">
      <c r="A46" s="29" t="n">
        <v>26</v>
      </c>
      <c r="B46" s="29" t="inlineStr">
        <is>
          <t>February</t>
        </is>
      </c>
      <c r="C46" s="29" t="inlineStr">
        <is>
          <t>Wednesday</t>
        </is>
      </c>
      <c r="D46" s="29" t="inlineStr">
        <is>
          <t>Waning Crescent</t>
        </is>
      </c>
      <c r="E46" s="29" t="inlineStr">
        <is>
          <t>Clear &amp; sunny</t>
        </is>
      </c>
      <c r="F46" s="29" t="inlineStr">
        <is>
          <t>Nightfall</t>
        </is>
      </c>
      <c r="G46" s="29" t="n"/>
      <c r="H46" s="29" t="n">
        <v>147</v>
      </c>
      <c r="I46" s="30" t="inlineStr">
        <is>
          <t>Stardust Permission Slip</t>
        </is>
      </c>
      <c r="J46" s="29" t="inlineStr">
        <is>
          <t>Charm</t>
        </is>
      </c>
      <c r="K46" s="30" t="inlineStr">
        <is>
          <t>Clear starry night</t>
        </is>
      </c>
      <c r="L46" s="29">
        <f>IF(M46="",0,LEN(M46)-LEN(SUBSTITUTE(M46,",",""))+1)</f>
        <v/>
      </c>
      <c r="M46" s="30" t="inlineStr">
        <is>
          <t>Silver glitter, Star-shaped button</t>
        </is>
      </c>
      <c r="N46" s="29" t="n">
        <v>3</v>
      </c>
      <c r="O46" s="30" t="inlineStr">
        <is>
          <t>Goldie #7</t>
        </is>
      </c>
      <c r="P46" s="30" t="n"/>
    </row>
    <row r="47" ht="15" customHeight="1" s="18">
      <c r="A47" s="29" t="n">
        <v>26</v>
      </c>
      <c r="B47" s="29" t="inlineStr">
        <is>
          <t>February</t>
        </is>
      </c>
      <c r="C47" s="29" t="inlineStr">
        <is>
          <t>Wednesday</t>
        </is>
      </c>
      <c r="D47" s="29" t="inlineStr">
        <is>
          <t>Waning Crescent</t>
        </is>
      </c>
      <c r="E47" s="29" t="inlineStr">
        <is>
          <t>Clear &amp; sunny</t>
        </is>
      </c>
      <c r="F47" s="29" t="inlineStr">
        <is>
          <t>Sunrise</t>
        </is>
      </c>
      <c r="G47" s="29" t="n"/>
      <c r="H47" s="29" t="n">
        <v>177</v>
      </c>
      <c r="I47" s="30" t="inlineStr">
        <is>
          <t>The Nesting Spell</t>
        </is>
      </c>
      <c r="J47" s="29" t="inlineStr">
        <is>
          <t>Hand Mirror</t>
        </is>
      </c>
      <c r="K47" s="30" t="inlineStr">
        <is>
          <t>Any time</t>
        </is>
      </c>
      <c r="L47" s="29">
        <f>IF(M47="",0,LEN(M47)-LEN(SUBSTITUTE(M47,",",""))+1)</f>
        <v/>
      </c>
      <c r="M47" s="30" t="inlineStr">
        <is>
          <t>Nest twig, Rose quartz</t>
        </is>
      </c>
      <c r="N47" s="29" t="n">
        <v>1</v>
      </c>
      <c r="O47" s="30" t="inlineStr">
        <is>
          <t>Goldie #7</t>
        </is>
      </c>
      <c r="P47" s="30" t="n"/>
    </row>
    <row r="48" ht="15" customHeight="1" s="18">
      <c r="A48" s="29" t="n">
        <v>27</v>
      </c>
      <c r="B48" s="29" t="inlineStr">
        <is>
          <t>February</t>
        </is>
      </c>
      <c r="C48" s="29" t="inlineStr">
        <is>
          <t>Thursday</t>
        </is>
      </c>
      <c r="D48" s="29" t="inlineStr">
        <is>
          <t>New Moon</t>
        </is>
      </c>
      <c r="E48" s="29" t="inlineStr">
        <is>
          <t>Snow</t>
        </is>
      </c>
      <c r="F48" s="29" t="inlineStr">
        <is>
          <t>Nightfall</t>
        </is>
      </c>
      <c r="G48" s="29" t="n"/>
      <c r="H48" s="29" t="n">
        <v>79</v>
      </c>
      <c r="I48" s="30" t="inlineStr">
        <is>
          <t>The Unwritten Universe</t>
        </is>
      </c>
      <c r="J48" s="29" t="inlineStr">
        <is>
          <t>Wand</t>
        </is>
      </c>
      <c r="K48" s="30" t="inlineStr">
        <is>
          <t>New Moon · Nightfall</t>
        </is>
      </c>
      <c r="L48" s="29">
        <f>IF(M48="",0,LEN(M48)-LEN(SUBSTITUTE(M48,",",""))+1)</f>
        <v/>
      </c>
      <c r="M48" s="30" t="inlineStr">
        <is>
          <t>Willow branch</t>
        </is>
      </c>
      <c r="N48" s="29" t="n">
        <v>8</v>
      </c>
      <c r="O48" s="30" t="n"/>
      <c r="P48" s="30" t="n"/>
    </row>
    <row r="49" ht="15" customHeight="1" s="18">
      <c r="A49" s="29" t="n">
        <v>27</v>
      </c>
      <c r="B49" s="29" t="inlineStr">
        <is>
          <t>February</t>
        </is>
      </c>
      <c r="C49" s="29" t="inlineStr">
        <is>
          <t>Thursday</t>
        </is>
      </c>
      <c r="D49" s="29" t="inlineStr">
        <is>
          <t>New Moon</t>
        </is>
      </c>
      <c r="E49" s="29" t="inlineStr">
        <is>
          <t>Snow</t>
        </is>
      </c>
      <c r="F49" s="29" t="inlineStr">
        <is>
          <t>Sunrise</t>
        </is>
      </c>
      <c r="G49" s="29" t="n"/>
      <c r="H49" s="29" t="n">
        <v>80</v>
      </c>
      <c r="I49" s="30" t="inlineStr">
        <is>
          <t>The Open Studio</t>
        </is>
      </c>
      <c r="J49" s="29" t="inlineStr">
        <is>
          <t>Spell Bottle</t>
        </is>
      </c>
      <c r="K49" s="30" t="inlineStr">
        <is>
          <t>Thursday</t>
        </is>
      </c>
      <c r="L49" s="29">
        <f>IF(M49="",0,LEN(M49)-LEN(SUBSTITUTE(M49,",",""))+1)</f>
        <v/>
      </c>
      <c r="M49" s="30" t="inlineStr">
        <is>
          <t>Basil, Citrine, Paintbrush bristle</t>
        </is>
      </c>
      <c r="N49" s="29" t="n">
        <v>5</v>
      </c>
      <c r="O49" s="30" t="n"/>
      <c r="P49" s="30" t="n"/>
    </row>
    <row r="50" ht="23.25" customHeight="1" s="18">
      <c r="A50" s="29" t="n">
        <v>28</v>
      </c>
      <c r="B50" s="29" t="inlineStr">
        <is>
          <t>February</t>
        </is>
      </c>
      <c r="C50" s="29" t="inlineStr">
        <is>
          <t>Friday</t>
        </is>
      </c>
      <c r="D50" s="29" t="inlineStr">
        <is>
          <t>Waxing Crescent</t>
        </is>
      </c>
      <c r="E50" s="29" t="inlineStr">
        <is>
          <t>Cloudy</t>
        </is>
      </c>
      <c r="F50" s="29" t="inlineStr">
        <is>
          <t>Noon</t>
        </is>
      </c>
      <c r="G50" s="29" t="n"/>
      <c r="H50" s="29" t="n">
        <v>48</v>
      </c>
      <c r="I50" s="30" t="inlineStr">
        <is>
          <t>Starlit Siren</t>
        </is>
      </c>
      <c r="J50" s="29" t="inlineStr">
        <is>
          <t>Glamour</t>
        </is>
      </c>
      <c r="K50" s="30" t="inlineStr">
        <is>
          <t>Friday · Waxing Crescent · Noon</t>
        </is>
      </c>
      <c r="L50" s="29">
        <f>IF(M50="",0,LEN(M50)-LEN(SUBSTITUTE(M50,",",""))+1)</f>
        <v/>
      </c>
      <c r="M50" s="30" t="inlineStr">
        <is>
          <t>Coconut milk powder, Jasmine, Pyrite, Seashell, The Devil, Waxing Crescent</t>
        </is>
      </c>
      <c r="N50" s="29" t="n">
        <v>4</v>
      </c>
      <c r="O50" s="30" t="inlineStr">
        <is>
          <t>Goldie #219, Goldie #7</t>
        </is>
      </c>
      <c r="P50" s="30" t="n"/>
    </row>
    <row r="51" ht="23.25" customHeight="1" s="18">
      <c r="A51" s="29" t="n">
        <v>28</v>
      </c>
      <c r="B51" s="29" t="inlineStr">
        <is>
          <t>February</t>
        </is>
      </c>
      <c r="C51" s="29" t="inlineStr">
        <is>
          <t>Friday</t>
        </is>
      </c>
      <c r="D51" s="29" t="inlineStr">
        <is>
          <t>Waxing Crescent</t>
        </is>
      </c>
      <c r="E51" s="29" t="inlineStr">
        <is>
          <t>Cloudy</t>
        </is>
      </c>
      <c r="F51" s="29" t="inlineStr">
        <is>
          <t>Noon</t>
        </is>
      </c>
      <c r="G51" s="29" t="n"/>
      <c r="H51" s="29" t="n">
        <v>57</v>
      </c>
      <c r="I51" s="30" t="inlineStr">
        <is>
          <t>The Living Portrait</t>
        </is>
      </c>
      <c r="J51" s="29" t="inlineStr">
        <is>
          <t>Talisman</t>
        </is>
      </c>
      <c r="K51" s="30" t="inlineStr">
        <is>
          <t>Friday</t>
        </is>
      </c>
      <c r="L51" s="29">
        <f>IF(M51="",0,LEN(M51)-LEN(SUBSTITUTE(M51,",",""))+1)</f>
        <v/>
      </c>
      <c r="M51" s="30" t="inlineStr">
        <is>
          <t>Fluorite, Peacock feather, Violet, The Hanged Man</t>
        </is>
      </c>
      <c r="N51" s="29" t="n">
        <v>4</v>
      </c>
      <c r="O51" s="30" t="inlineStr">
        <is>
          <t>Ivy #218</t>
        </is>
      </c>
      <c r="P51" s="30" t="n"/>
    </row>
    <row r="52" ht="15" customHeight="1" s="18">
      <c r="A52" s="29" t="n">
        <v>29</v>
      </c>
      <c r="B52" s="29" t="inlineStr">
        <is>
          <t>February</t>
        </is>
      </c>
      <c r="C52" s="29" t="inlineStr">
        <is>
          <t>Saturday</t>
        </is>
      </c>
      <c r="D52" s="29" t="inlineStr">
        <is>
          <t>First Quarter</t>
        </is>
      </c>
      <c r="E52" s="29" t="inlineStr">
        <is>
          <t>Snow</t>
        </is>
      </c>
      <c r="F52" s="29" t="inlineStr">
        <is>
          <t>Twilight</t>
        </is>
      </c>
      <c r="G52" s="29" t="n"/>
      <c r="H52" s="29" t="n">
        <v>90</v>
      </c>
      <c r="I52" s="30" t="inlineStr">
        <is>
          <t>The Pocket-Sized Triumph</t>
        </is>
      </c>
      <c r="J52" s="29" t="inlineStr">
        <is>
          <t>Cookies</t>
        </is>
      </c>
      <c r="K52" s="30" t="inlineStr">
        <is>
          <t>Twilight</t>
        </is>
      </c>
      <c r="L52" s="29">
        <f>IF(M52="",0,LEN(M52)-LEN(SUBSTITUTE(M52,",",""))+1)</f>
        <v/>
      </c>
      <c r="M52" s="30" t="inlineStr">
        <is>
          <t>Raisins</t>
        </is>
      </c>
      <c r="N52" s="29" t="n">
        <v>3</v>
      </c>
      <c r="O52" s="30" t="n"/>
      <c r="P52" s="30" t="n"/>
    </row>
    <row r="53" ht="15" customHeight="1" s="18">
      <c r="A53" s="29" t="n">
        <v>29</v>
      </c>
      <c r="B53" s="29" t="inlineStr">
        <is>
          <t>February</t>
        </is>
      </c>
      <c r="C53" s="29" t="inlineStr">
        <is>
          <t>Saturday</t>
        </is>
      </c>
      <c r="D53" s="29" t="inlineStr">
        <is>
          <t>First Quarter</t>
        </is>
      </c>
      <c r="E53" s="29" t="inlineStr">
        <is>
          <t>Snow</t>
        </is>
      </c>
      <c r="F53" s="29" t="inlineStr">
        <is>
          <t>Sunrise</t>
        </is>
      </c>
      <c r="G53" s="29" t="inlineStr">
        <is>
          <t>Yes</t>
        </is>
      </c>
      <c r="H53" s="29" t="n">
        <v>169</v>
      </c>
      <c r="I53" s="30" t="inlineStr">
        <is>
          <t>The Ritual of Ordinary Things</t>
        </is>
      </c>
      <c r="J53" s="29" t="inlineStr">
        <is>
          <t>Glamour</t>
        </is>
      </c>
      <c r="K53" s="30" t="inlineStr">
        <is>
          <t>Sunrise</t>
        </is>
      </c>
      <c r="L53" s="29">
        <f>IF(M53="",0,LEN(M53)-LEN(SUBSTITUTE(M53,",",""))+1)</f>
        <v/>
      </c>
      <c r="M53" s="30" t="n"/>
      <c r="N53" s="29" t="n">
        <v>4</v>
      </c>
      <c r="O53" s="30" t="n"/>
      <c r="P53" s="30" t="n"/>
    </row>
    <row r="54" ht="15" customHeight="1" s="18">
      <c r="A54" s="29" t="n">
        <v>30</v>
      </c>
      <c r="B54" s="29" t="inlineStr">
        <is>
          <t>February</t>
        </is>
      </c>
      <c r="C54" s="29" t="inlineStr">
        <is>
          <t>Sunday</t>
        </is>
      </c>
      <c r="D54" s="29" t="inlineStr">
        <is>
          <t>Waxing Gibbous</t>
        </is>
      </c>
      <c r="E54" s="29" t="inlineStr">
        <is>
          <t>Rain</t>
        </is>
      </c>
      <c r="F54" s="29" t="inlineStr">
        <is>
          <t>Sunrise</t>
        </is>
      </c>
      <c r="G54" s="29" t="n"/>
      <c r="H54" s="29" t="n">
        <v>127</v>
      </c>
      <c r="I54" s="30" t="inlineStr">
        <is>
          <t>The Growing Silver</t>
        </is>
      </c>
      <c r="J54" s="29" t="inlineStr">
        <is>
          <t>Oil</t>
        </is>
      </c>
      <c r="K54" s="30" t="inlineStr">
        <is>
          <t>Waxing Gibbous</t>
        </is>
      </c>
      <c r="L54" s="29">
        <f>IF(M54="",0,LEN(M54)-LEN(SUBSTITUTE(M54,",",""))+1)</f>
        <v/>
      </c>
      <c r="M54" s="30" t="inlineStr">
        <is>
          <t>Rosebud, Waxing Gibbous</t>
        </is>
      </c>
      <c r="N54" s="29" t="n">
        <v>3</v>
      </c>
      <c r="O54" s="30" t="n"/>
      <c r="P54" s="30" t="n"/>
    </row>
    <row r="55" ht="15" customHeight="1" s="18">
      <c r="A55" s="29" t="n">
        <v>30</v>
      </c>
      <c r="B55" s="29" t="inlineStr">
        <is>
          <t>February</t>
        </is>
      </c>
      <c r="C55" s="29" t="inlineStr">
        <is>
          <t>Sunday</t>
        </is>
      </c>
      <c r="D55" s="29" t="inlineStr">
        <is>
          <t>Waxing Gibbous</t>
        </is>
      </c>
      <c r="E55" s="29" t="inlineStr">
        <is>
          <t>Rain</t>
        </is>
      </c>
      <c r="F55" s="29" t="inlineStr">
        <is>
          <t>Sunrise</t>
        </is>
      </c>
      <c r="G55" s="29" t="n"/>
      <c r="H55" s="29" t="n">
        <v>187</v>
      </c>
      <c r="I55" s="30" t="inlineStr">
        <is>
          <t>The Unseated Guest</t>
        </is>
      </c>
      <c r="J55" s="29" t="inlineStr">
        <is>
          <t>Poppet</t>
        </is>
      </c>
      <c r="K55" s="30" t="inlineStr">
        <is>
          <t>Rain</t>
        </is>
      </c>
      <c r="L55" s="29">
        <f>IF(M55="",0,LEN(M55)-LEN(SUBSTITUTE(M55,",",""))+1)</f>
        <v/>
      </c>
      <c r="M55" s="30" t="inlineStr">
        <is>
          <t>Grey thread</t>
        </is>
      </c>
      <c r="N55" s="29" t="n">
        <v>4</v>
      </c>
      <c r="O55" s="30" t="n"/>
      <c r="P55" s="30" t="n"/>
    </row>
    <row r="56" ht="23.25" customHeight="1" s="18">
      <c r="A56" s="29" t="n">
        <v>31</v>
      </c>
      <c r="B56" s="29" t="inlineStr">
        <is>
          <t>February</t>
        </is>
      </c>
      <c r="C56" s="29" t="inlineStr">
        <is>
          <t>Monday</t>
        </is>
      </c>
      <c r="D56" s="29" t="inlineStr">
        <is>
          <t>Full Moon (Snow Moon)</t>
        </is>
      </c>
      <c r="E56" s="29" t="inlineStr">
        <is>
          <t>Clear &amp; sunny</t>
        </is>
      </c>
      <c r="F56" s="29" t="inlineStr">
        <is>
          <t>Sunrise</t>
        </is>
      </c>
      <c r="G56" s="29" t="n"/>
      <c r="H56" s="29" t="n">
        <v>91</v>
      </c>
      <c r="I56" s="30" t="inlineStr">
        <is>
          <t>Stillwater Sanctuary</t>
        </is>
      </c>
      <c r="J56" s="29" t="inlineStr">
        <is>
          <t>Water</t>
        </is>
      </c>
      <c r="K56" s="30" t="inlineStr">
        <is>
          <t>Snow Moon (February full moon)</t>
        </is>
      </c>
      <c r="L56" s="29">
        <f>IF(M56="",0,LEN(M56)-LEN(SUBSTITUTE(M56,",",""))+1)</f>
        <v/>
      </c>
      <c r="M56" s="30" t="inlineStr">
        <is>
          <t>Blue lace agate, Snow Moon</t>
        </is>
      </c>
      <c r="N56" s="29" t="n">
        <v>5</v>
      </c>
      <c r="O56" s="30" t="n"/>
      <c r="P56" s="30" t="inlineStr">
        <is>
          <t>Last chance this year</t>
        </is>
      </c>
    </row>
    <row r="57" ht="15" customHeight="1" s="18">
      <c r="A57" s="29" t="n">
        <v>31</v>
      </c>
      <c r="B57" s="29" t="inlineStr">
        <is>
          <t>February</t>
        </is>
      </c>
      <c r="C57" s="29" t="inlineStr">
        <is>
          <t>Monday</t>
        </is>
      </c>
      <c r="D57" s="29" t="inlineStr">
        <is>
          <t>Full Moon (Snow Moon)</t>
        </is>
      </c>
      <c r="E57" s="29" t="inlineStr">
        <is>
          <t>Clear &amp; sunny</t>
        </is>
      </c>
      <c r="F57" s="29" t="inlineStr">
        <is>
          <t>Sunrise</t>
        </is>
      </c>
      <c r="G57" s="29" t="n"/>
      <c r="H57" s="29" t="n">
        <v>107</v>
      </c>
      <c r="I57" s="30" t="inlineStr">
        <is>
          <t>The Moon's Notebook</t>
        </is>
      </c>
      <c r="J57" s="29" t="inlineStr">
        <is>
          <t>Tonic</t>
        </is>
      </c>
      <c r="K57" s="30" t="inlineStr">
        <is>
          <t>Monday · Full Moon</t>
        </is>
      </c>
      <c r="L57" s="29">
        <f>IF(M57="",0,LEN(M57)-LEN(SUBSTITUTE(M57,",",""))+1)</f>
        <v/>
      </c>
      <c r="M57" s="30" t="inlineStr">
        <is>
          <t>Cornflower, Poppy seeds</t>
        </is>
      </c>
      <c r="N57" s="29" t="n">
        <v>7</v>
      </c>
      <c r="O57" s="30" t="n"/>
      <c r="P57" s="30" t="n"/>
    </row>
    <row r="58" ht="15" customHeight="1" s="18">
      <c r="A58" s="29" t="n">
        <v>32</v>
      </c>
      <c r="B58" s="29" t="inlineStr">
        <is>
          <t>February</t>
        </is>
      </c>
      <c r="C58" s="29" t="inlineStr">
        <is>
          <t>Tuesday</t>
        </is>
      </c>
      <c r="D58" s="29" t="inlineStr">
        <is>
          <t>Waning Gibbous</t>
        </is>
      </c>
      <c r="E58" s="29" t="inlineStr">
        <is>
          <t>Clear &amp; sunny</t>
        </is>
      </c>
      <c r="F58" s="29" t="inlineStr">
        <is>
          <t>Sunrise</t>
        </is>
      </c>
      <c r="G58" s="29" t="n"/>
      <c r="H58" s="29" t="n">
        <v>195</v>
      </c>
      <c r="I58" s="30" t="inlineStr">
        <is>
          <t>The Younger Moon</t>
        </is>
      </c>
      <c r="J58" s="29" t="inlineStr">
        <is>
          <t>Balm</t>
        </is>
      </c>
      <c r="K58" s="30" t="inlineStr">
        <is>
          <t>Waning Gibbous</t>
        </is>
      </c>
      <c r="L58" s="29">
        <f>IF(M58="",0,LEN(M58)-LEN(SUBSTITUTE(M58,",",""))+1)</f>
        <v/>
      </c>
      <c r="M58" s="30" t="inlineStr">
        <is>
          <t>Rose hips, The Star</t>
        </is>
      </c>
      <c r="N58" s="29" t="n">
        <v>4</v>
      </c>
      <c r="O58" s="30" t="inlineStr">
        <is>
          <t>Edmund #69</t>
        </is>
      </c>
      <c r="P58" s="30" t="n"/>
    </row>
    <row r="59" ht="15" customHeight="1" s="18">
      <c r="A59" s="29" t="n">
        <v>32</v>
      </c>
      <c r="B59" s="29" t="inlineStr">
        <is>
          <t>February</t>
        </is>
      </c>
      <c r="C59" s="29" t="inlineStr">
        <is>
          <t>Tuesday</t>
        </is>
      </c>
      <c r="D59" s="29" t="inlineStr">
        <is>
          <t>Waning Gibbous</t>
        </is>
      </c>
      <c r="E59" s="29" t="inlineStr">
        <is>
          <t>Clear &amp; sunny</t>
        </is>
      </c>
      <c r="F59" s="29" t="inlineStr">
        <is>
          <t>Nightfall</t>
        </is>
      </c>
      <c r="G59" s="29" t="n"/>
      <c r="H59" s="29" t="n">
        <v>131</v>
      </c>
      <c r="I59" s="30" t="inlineStr">
        <is>
          <t>The Starbound Self</t>
        </is>
      </c>
      <c r="J59" s="29" t="inlineStr">
        <is>
          <t>Hand Mirror</t>
        </is>
      </c>
      <c r="K59" s="30" t="inlineStr">
        <is>
          <t>Clear starry night</t>
        </is>
      </c>
      <c r="L59" s="29">
        <f>IF(M59="",0,LEN(M59)-LEN(SUBSTITUTE(M59,",",""))+1)</f>
        <v/>
      </c>
      <c r="M59" s="30" t="inlineStr">
        <is>
          <t>Silver mica</t>
        </is>
      </c>
      <c r="N59" s="29" t="n">
        <v>3</v>
      </c>
      <c r="O59" s="30" t="n"/>
      <c r="P59" s="30" t="n"/>
    </row>
    <row r="60" ht="15" customHeight="1" s="18">
      <c r="A60" s="29" t="n">
        <v>33</v>
      </c>
      <c r="B60" s="29" t="inlineStr">
        <is>
          <t>March</t>
        </is>
      </c>
      <c r="C60" s="29" t="inlineStr">
        <is>
          <t>Wednesday</t>
        </is>
      </c>
      <c r="D60" s="29" t="inlineStr">
        <is>
          <t>Last Quarter</t>
        </is>
      </c>
      <c r="E60" s="29" t="inlineStr">
        <is>
          <t>Windy</t>
        </is>
      </c>
      <c r="F60" s="29" t="inlineStr">
        <is>
          <t>Sunrise</t>
        </is>
      </c>
      <c r="G60" s="29" t="n"/>
      <c r="H60" s="29" t="n">
        <v>146</v>
      </c>
      <c r="I60" s="30" t="inlineStr">
        <is>
          <t>The Uncharted Sky</t>
        </is>
      </c>
      <c r="J60" s="29" t="inlineStr">
        <is>
          <t>Balm</t>
        </is>
      </c>
      <c r="K60" s="30" t="inlineStr">
        <is>
          <t>Windy</t>
        </is>
      </c>
      <c r="L60" s="29">
        <f>IF(M60="",0,LEN(M60)-LEN(SUBSTITUTE(M60,",",""))+1)</f>
        <v/>
      </c>
      <c r="M60" s="30" t="inlineStr">
        <is>
          <t>Windy</t>
        </is>
      </c>
      <c r="N60" s="29" t="n">
        <v>5</v>
      </c>
      <c r="O60" s="30" t="inlineStr">
        <is>
          <t>Sam #221</t>
        </is>
      </c>
      <c r="P60" s="30" t="n"/>
    </row>
    <row r="61" ht="15" customHeight="1" s="18">
      <c r="A61" s="29" t="n">
        <v>33</v>
      </c>
      <c r="B61" s="29" t="inlineStr">
        <is>
          <t>March</t>
        </is>
      </c>
      <c r="C61" s="29" t="inlineStr">
        <is>
          <t>Wednesday</t>
        </is>
      </c>
      <c r="D61" s="29" t="inlineStr">
        <is>
          <t>Last Quarter</t>
        </is>
      </c>
      <c r="E61" s="29" t="inlineStr">
        <is>
          <t>Windy</t>
        </is>
      </c>
      <c r="F61" s="29" t="inlineStr">
        <is>
          <t>Sunrise</t>
        </is>
      </c>
      <c r="G61" s="29" t="n"/>
      <c r="H61" s="29" t="n">
        <v>39</v>
      </c>
      <c r="I61" s="30" t="inlineStr">
        <is>
          <t>The Wheel Turns</t>
        </is>
      </c>
      <c r="J61" s="29" t="inlineStr">
        <is>
          <t>Wand</t>
        </is>
      </c>
      <c r="K61" s="30" t="inlineStr">
        <is>
          <t>Windy</t>
        </is>
      </c>
      <c r="L61" s="29">
        <f>IF(M61="",0,LEN(M61)-LEN(SUBSTITUTE(M61,",",""))+1)</f>
        <v/>
      </c>
      <c r="M61" s="30" t="inlineStr">
        <is>
          <t>Acorn, Coin, Magpie feather</t>
        </is>
      </c>
      <c r="N61" s="29" t="n">
        <v>7</v>
      </c>
      <c r="O61" s="30" t="n"/>
      <c r="P61" s="30" t="n"/>
    </row>
    <row r="62" ht="15" customHeight="1" s="18">
      <c r="A62" s="29" t="n">
        <v>34</v>
      </c>
      <c r="B62" s="29" t="inlineStr">
        <is>
          <t>March</t>
        </is>
      </c>
      <c r="C62" s="29" t="inlineStr">
        <is>
          <t>Thursday</t>
        </is>
      </c>
      <c r="D62" s="29" t="inlineStr">
        <is>
          <t>Waning Crescent</t>
        </is>
      </c>
      <c r="E62" s="29" t="inlineStr">
        <is>
          <t>Rain</t>
        </is>
      </c>
      <c r="F62" s="29" t="inlineStr">
        <is>
          <t>Sunrise</t>
        </is>
      </c>
      <c r="G62" s="29" t="n"/>
      <c r="H62" s="29" t="n">
        <v>128</v>
      </c>
      <c r="I62" s="30" t="inlineStr">
        <is>
          <t>The Gentle Dimming</t>
        </is>
      </c>
      <c r="J62" s="29" t="inlineStr">
        <is>
          <t>Incense</t>
        </is>
      </c>
      <c r="K62" s="30" t="inlineStr">
        <is>
          <t>Waning Crescent</t>
        </is>
      </c>
      <c r="L62" s="29">
        <f>IF(M62="",0,LEN(M62)-LEN(SUBSTITUTE(M62,",",""))+1)</f>
        <v/>
      </c>
      <c r="M62" s="30" t="inlineStr">
        <is>
          <t>Cypress, Myrrh, Waning Crescent</t>
        </is>
      </c>
      <c r="N62" s="29" t="n">
        <v>2</v>
      </c>
      <c r="O62" s="30" t="inlineStr">
        <is>
          <t>Edmund #208</t>
        </is>
      </c>
      <c r="P62" s="30" t="n"/>
    </row>
    <row r="63" ht="15" customHeight="1" s="18">
      <c r="A63" s="29" t="n">
        <v>34</v>
      </c>
      <c r="B63" s="29" t="inlineStr">
        <is>
          <t>March</t>
        </is>
      </c>
      <c r="C63" s="29" t="inlineStr">
        <is>
          <t>Thursday</t>
        </is>
      </c>
      <c r="D63" s="29" t="inlineStr">
        <is>
          <t>Waning Crescent</t>
        </is>
      </c>
      <c r="E63" s="29" t="inlineStr">
        <is>
          <t>Rain</t>
        </is>
      </c>
      <c r="F63" s="29" t="inlineStr">
        <is>
          <t>Sunrise</t>
        </is>
      </c>
      <c r="G63" s="29" t="n"/>
      <c r="H63" s="29" t="n">
        <v>225</v>
      </c>
      <c r="I63" s="30" t="inlineStr">
        <is>
          <t>The Tiny Treasure Hunt</t>
        </is>
      </c>
      <c r="J63" s="29" t="inlineStr">
        <is>
          <t>Spell Bottle</t>
        </is>
      </c>
      <c r="K63" s="30" t="inlineStr">
        <is>
          <t>Any time</t>
        </is>
      </c>
      <c r="L63" s="29">
        <f>IF(M63="",0,LEN(M63)-LEN(SUBSTITUTE(M63,",",""))+1)</f>
        <v/>
      </c>
      <c r="M63" s="30" t="inlineStr">
        <is>
          <t>Glass bead</t>
        </is>
      </c>
      <c r="N63" s="29" t="n">
        <v>3</v>
      </c>
      <c r="O63" s="30" t="inlineStr">
        <is>
          <t>Ivy #20</t>
        </is>
      </c>
      <c r="P63" s="30" t="n"/>
    </row>
    <row r="64" ht="15" customHeight="1" s="18">
      <c r="A64" s="29" t="n">
        <v>35</v>
      </c>
      <c r="B64" s="29" t="inlineStr">
        <is>
          <t>March</t>
        </is>
      </c>
      <c r="C64" s="29" t="inlineStr">
        <is>
          <t>Friday</t>
        </is>
      </c>
      <c r="D64" s="29" t="inlineStr">
        <is>
          <t>New Moon</t>
        </is>
      </c>
      <c r="E64" s="29" t="inlineStr">
        <is>
          <t>Clear &amp; sunny</t>
        </is>
      </c>
      <c r="F64" s="29" t="inlineStr">
        <is>
          <t>Sunrise</t>
        </is>
      </c>
      <c r="G64" s="29" t="n"/>
      <c r="H64" s="29" t="n">
        <v>56</v>
      </c>
      <c r="I64" s="30" t="inlineStr">
        <is>
          <t>The Spotlight Bloom</t>
        </is>
      </c>
      <c r="J64" s="29" t="inlineStr">
        <is>
          <t>Potion</t>
        </is>
      </c>
      <c r="K64" s="30" t="inlineStr">
        <is>
          <t>Ostara · Sunrise</t>
        </is>
      </c>
      <c r="L64" s="29">
        <f>IF(M64="",0,LEN(M64)-LEN(SUBSTITUTE(M64,",",""))+1)</f>
        <v/>
      </c>
      <c r="M64" s="30" t="inlineStr">
        <is>
          <t>Calendula, Sunflower petals, Ostara</t>
        </is>
      </c>
      <c r="N64" s="29" t="n">
        <v>6</v>
      </c>
      <c r="O64" s="30" t="inlineStr">
        <is>
          <t>Hester #150</t>
        </is>
      </c>
      <c r="P64" s="30" t="n"/>
    </row>
    <row r="65" ht="15" customHeight="1" s="18">
      <c r="A65" s="29" t="n">
        <v>35</v>
      </c>
      <c r="B65" s="29" t="inlineStr">
        <is>
          <t>March</t>
        </is>
      </c>
      <c r="C65" s="29" t="inlineStr">
        <is>
          <t>Friday</t>
        </is>
      </c>
      <c r="D65" s="29" t="inlineStr">
        <is>
          <t>New Moon</t>
        </is>
      </c>
      <c r="E65" s="29" t="inlineStr">
        <is>
          <t>Clear &amp; sunny</t>
        </is>
      </c>
      <c r="F65" s="29" t="inlineStr">
        <is>
          <t>Nightfall</t>
        </is>
      </c>
      <c r="G65" s="29" t="inlineStr">
        <is>
          <t>Yes</t>
        </is>
      </c>
      <c r="H65" s="29" t="n">
        <v>59</v>
      </c>
      <c r="I65" s="30" t="inlineStr">
        <is>
          <t>Midnight Satin</t>
        </is>
      </c>
      <c r="J65" s="29" t="inlineStr">
        <is>
          <t>Sachet</t>
        </is>
      </c>
      <c r="K65" s="30" t="inlineStr">
        <is>
          <t>Friday · Dark Moon · Nightfall</t>
        </is>
      </c>
      <c r="L65" s="29">
        <f>IF(M65="",0,LEN(M65)-LEN(SUBSTITUTE(M65,",",""))+1)</f>
        <v/>
      </c>
      <c r="M65" s="30" t="inlineStr">
        <is>
          <t>Satin ribbon</t>
        </is>
      </c>
      <c r="N65" s="29" t="n">
        <v>10</v>
      </c>
      <c r="O65" s="30" t="n"/>
      <c r="P65" s="30" t="n"/>
    </row>
    <row r="66" ht="15" customHeight="1" s="18">
      <c r="A66" s="29" t="n">
        <v>36</v>
      </c>
      <c r="B66" s="29" t="inlineStr">
        <is>
          <t>March</t>
        </is>
      </c>
      <c r="C66" s="29" t="inlineStr">
        <is>
          <t>Saturday</t>
        </is>
      </c>
      <c r="D66" s="29" t="inlineStr">
        <is>
          <t>Waxing Crescent</t>
        </is>
      </c>
      <c r="E66" s="29" t="inlineStr">
        <is>
          <t>Rain</t>
        </is>
      </c>
      <c r="F66" s="29" t="inlineStr">
        <is>
          <t>Sunrise</t>
        </is>
      </c>
      <c r="G66" s="29" t="n"/>
      <c r="H66" s="29" t="n">
        <v>61</v>
      </c>
      <c r="I66" s="30" t="inlineStr">
        <is>
          <t>The Wildflower Circle</t>
        </is>
      </c>
      <c r="J66" s="29" t="inlineStr">
        <is>
          <t>Sachet</t>
        </is>
      </c>
      <c r="K66" s="30" t="inlineStr">
        <is>
          <t>Ostara</t>
        </is>
      </c>
      <c r="L66" s="29">
        <f>IF(M66="",0,LEN(M66)-LEN(SUBSTITUTE(M66,",",""))+1)</f>
        <v/>
      </c>
      <c r="M66" s="30" t="inlineStr">
        <is>
          <t>Rainbow threads</t>
        </is>
      </c>
      <c r="N66" s="29" t="n">
        <v>9</v>
      </c>
      <c r="O66" s="30" t="n"/>
      <c r="P66" s="30" t="n"/>
    </row>
    <row r="67" ht="15" customHeight="1" s="18">
      <c r="A67" s="29" t="n">
        <v>36</v>
      </c>
      <c r="B67" s="29" t="inlineStr">
        <is>
          <t>March</t>
        </is>
      </c>
      <c r="C67" s="29" t="inlineStr">
        <is>
          <t>Saturday</t>
        </is>
      </c>
      <c r="D67" s="29" t="inlineStr">
        <is>
          <t>Waxing Crescent</t>
        </is>
      </c>
      <c r="E67" s="29" t="inlineStr">
        <is>
          <t>Rain</t>
        </is>
      </c>
      <c r="F67" s="29" t="inlineStr">
        <is>
          <t>Sunrise</t>
        </is>
      </c>
      <c r="G67" s="29" t="n"/>
      <c r="H67" s="29" t="n">
        <v>116</v>
      </c>
      <c r="I67" s="30" t="inlineStr">
        <is>
          <t>The Phoenix's First Petal</t>
        </is>
      </c>
      <c r="J67" s="29" t="inlineStr">
        <is>
          <t>Potion</t>
        </is>
      </c>
      <c r="K67" s="30" t="inlineStr">
        <is>
          <t>Ostara · Sunrise</t>
        </is>
      </c>
      <c r="L67" s="29">
        <f>IF(M67="",0,LEN(M67)-LEN(SUBSTITUTE(M67,",",""))+1)</f>
        <v/>
      </c>
      <c r="M67" s="30" t="inlineStr">
        <is>
          <t>Chili, Pomegranate seeds, Wormwood</t>
        </is>
      </c>
      <c r="N67" s="29" t="n">
        <v>6</v>
      </c>
      <c r="O67" s="30" t="n"/>
      <c r="P67" s="30" t="n"/>
    </row>
    <row r="68" ht="15" customHeight="1" s="18">
      <c r="A68" s="29" t="n">
        <v>37</v>
      </c>
      <c r="B68" s="29" t="inlineStr">
        <is>
          <t>March</t>
        </is>
      </c>
      <c r="C68" s="29" t="inlineStr">
        <is>
          <t>Sunday</t>
        </is>
      </c>
      <c r="D68" s="29" t="inlineStr">
        <is>
          <t>First Quarter</t>
        </is>
      </c>
      <c r="E68" s="29" t="inlineStr">
        <is>
          <t>Clear &amp; sunny</t>
        </is>
      </c>
      <c r="F68" s="29" t="inlineStr">
        <is>
          <t>Sunrise</t>
        </is>
      </c>
      <c r="G68" s="29" t="n"/>
      <c r="H68" s="29" t="n">
        <v>110</v>
      </c>
      <c r="I68" s="30" t="inlineStr">
        <is>
          <t>The Green Whisper</t>
        </is>
      </c>
      <c r="J68" s="29" t="inlineStr">
        <is>
          <t>Water</t>
        </is>
      </c>
      <c r="K68" s="30" t="inlineStr">
        <is>
          <t>Ostara · after Rain</t>
        </is>
      </c>
      <c r="L68" s="29">
        <f>IF(M68="",0,LEN(M68)-LEN(SUBSTITUTE(M68,",",""))+1)</f>
        <v/>
      </c>
      <c r="M68" s="30" t="inlineStr">
        <is>
          <t>Fern</t>
        </is>
      </c>
      <c r="N68" s="29" t="n">
        <v>8</v>
      </c>
      <c r="O68" s="30" t="n"/>
      <c r="P68" s="30" t="inlineStr">
        <is>
          <t>Last chance this year</t>
        </is>
      </c>
    </row>
    <row r="69" ht="15" customHeight="1" s="18">
      <c r="A69" s="29" t="n">
        <v>37</v>
      </c>
      <c r="B69" s="29" t="inlineStr">
        <is>
          <t>March</t>
        </is>
      </c>
      <c r="C69" s="29" t="inlineStr">
        <is>
          <t>Sunday</t>
        </is>
      </c>
      <c r="D69" s="29" t="inlineStr">
        <is>
          <t>First Quarter</t>
        </is>
      </c>
      <c r="E69" s="29" t="inlineStr">
        <is>
          <t>Clear &amp; sunny</t>
        </is>
      </c>
      <c r="F69" s="29" t="inlineStr">
        <is>
          <t>Noon</t>
        </is>
      </c>
      <c r="G69" s="29" t="n"/>
      <c r="H69" s="29" t="n">
        <v>41</v>
      </c>
      <c r="I69" s="30" t="inlineStr">
        <is>
          <t>The Midas Muse</t>
        </is>
      </c>
      <c r="J69" s="29" t="inlineStr">
        <is>
          <t>Glamour</t>
        </is>
      </c>
      <c r="K69" s="30" t="inlineStr">
        <is>
          <t>Sunday · Noon · Clear &amp; sunny</t>
        </is>
      </c>
      <c r="L69" s="29">
        <f>IF(M69="",0,LEN(M69)-LEN(SUBSTITUTE(M69,",",""))+1)</f>
        <v/>
      </c>
      <c r="M69" s="30" t="n"/>
      <c r="N69" s="29" t="n">
        <v>9</v>
      </c>
      <c r="O69" s="30" t="n"/>
      <c r="P69" s="30" t="n"/>
    </row>
    <row r="70" ht="15" customHeight="1" s="18">
      <c r="A70" s="29" t="n">
        <v>38</v>
      </c>
      <c r="B70" s="29" t="inlineStr">
        <is>
          <t>March</t>
        </is>
      </c>
      <c r="C70" s="29" t="inlineStr">
        <is>
          <t>Monday</t>
        </is>
      </c>
      <c r="D70" s="29" t="inlineStr">
        <is>
          <t>Waxing Gibbous</t>
        </is>
      </c>
      <c r="E70" s="29" t="inlineStr">
        <is>
          <t>Clear &amp; sunny</t>
        </is>
      </c>
      <c r="F70" s="29" t="inlineStr">
        <is>
          <t>Nightfall</t>
        </is>
      </c>
      <c r="G70" s="29" t="n"/>
      <c r="H70" s="29" t="n">
        <v>43</v>
      </c>
      <c r="I70" s="30" t="inlineStr">
        <is>
          <t>The Fortune Finder</t>
        </is>
      </c>
      <c r="J70" s="29" t="inlineStr">
        <is>
          <t>Hand Mirror</t>
        </is>
      </c>
      <c r="K70" s="30" t="inlineStr">
        <is>
          <t>Monday · Nightfall</t>
        </is>
      </c>
      <c r="L70" s="29">
        <f>IF(M70="",0,LEN(M70)-LEN(SUBSTITUTE(M70,",",""))+1)</f>
        <v/>
      </c>
      <c r="M70" s="30" t="inlineStr">
        <is>
          <t>New Moon Water</t>
        </is>
      </c>
      <c r="N70" s="29" t="n">
        <v>8</v>
      </c>
      <c r="O70" s="30" t="n"/>
      <c r="P70" s="30" t="n"/>
    </row>
    <row r="71" ht="15" customHeight="1" s="18">
      <c r="A71" s="29" t="n">
        <v>38</v>
      </c>
      <c r="B71" s="29" t="inlineStr">
        <is>
          <t>March</t>
        </is>
      </c>
      <c r="C71" s="29" t="inlineStr">
        <is>
          <t>Monday</t>
        </is>
      </c>
      <c r="D71" s="29" t="inlineStr">
        <is>
          <t>Waxing Gibbous</t>
        </is>
      </c>
      <c r="E71" s="29" t="inlineStr">
        <is>
          <t>Clear &amp; sunny</t>
        </is>
      </c>
      <c r="F71" s="29" t="inlineStr">
        <is>
          <t>Nightfall</t>
        </is>
      </c>
      <c r="G71" s="29" t="n"/>
      <c r="H71" s="29" t="n">
        <v>106</v>
      </c>
      <c r="I71" s="30" t="inlineStr">
        <is>
          <t>The Dreaming Garden</t>
        </is>
      </c>
      <c r="J71" s="29" t="inlineStr">
        <is>
          <t>Sachet</t>
        </is>
      </c>
      <c r="K71" s="30" t="inlineStr">
        <is>
          <t>Monday · Nightfall</t>
        </is>
      </c>
      <c r="L71" s="29">
        <f>IF(M71="",0,LEN(M71)-LEN(SUBSTITUTE(M71,",",""))+1)</f>
        <v/>
      </c>
      <c r="M71" s="30" t="inlineStr">
        <is>
          <t>Willow bark</t>
        </is>
      </c>
      <c r="N71" s="29" t="n">
        <v>10</v>
      </c>
      <c r="O71" s="30" t="n"/>
      <c r="P71" s="30" t="n"/>
    </row>
    <row r="72" ht="15" customHeight="1" s="18">
      <c r="A72" s="29" t="n">
        <v>39</v>
      </c>
      <c r="B72" s="29" t="inlineStr">
        <is>
          <t>March</t>
        </is>
      </c>
      <c r="C72" s="29" t="inlineStr">
        <is>
          <t>Tuesday</t>
        </is>
      </c>
      <c r="D72" s="29" t="inlineStr">
        <is>
          <t>Full Moon (Worm Moon)</t>
        </is>
      </c>
      <c r="E72" s="29" t="inlineStr">
        <is>
          <t>Windy</t>
        </is>
      </c>
      <c r="F72" s="29" t="inlineStr">
        <is>
          <t>Sunrise</t>
        </is>
      </c>
      <c r="G72" s="29" t="n"/>
      <c r="H72" s="29" t="n">
        <v>207</v>
      </c>
      <c r="I72" s="30" t="inlineStr">
        <is>
          <t>The Spiral Staircase</t>
        </is>
      </c>
      <c r="J72" s="29" t="inlineStr">
        <is>
          <t>Rune</t>
        </is>
      </c>
      <c r="K72" s="30" t="inlineStr">
        <is>
          <t>Worm Moon (March full moon)</t>
        </is>
      </c>
      <c r="L72" s="29">
        <f>IF(M72="",0,LEN(M72)-LEN(SUBSTITUTE(M72,",",""))+1)</f>
        <v/>
      </c>
      <c r="M72" s="30" t="inlineStr">
        <is>
          <t>Worm Moon</t>
        </is>
      </c>
      <c r="N72" s="29" t="n">
        <v>3</v>
      </c>
      <c r="O72" s="30" t="n"/>
      <c r="P72" s="30" t="inlineStr">
        <is>
          <t>Last chance this year</t>
        </is>
      </c>
    </row>
    <row r="73" ht="15" customHeight="1" s="18">
      <c r="A73" s="29" t="n">
        <v>39</v>
      </c>
      <c r="B73" s="29" t="inlineStr">
        <is>
          <t>March</t>
        </is>
      </c>
      <c r="C73" s="29" t="inlineStr">
        <is>
          <t>Tuesday</t>
        </is>
      </c>
      <c r="D73" s="29" t="inlineStr">
        <is>
          <t>Full Moon (Worm Moon)</t>
        </is>
      </c>
      <c r="E73" s="29" t="inlineStr">
        <is>
          <t>Windy</t>
        </is>
      </c>
      <c r="F73" s="29" t="inlineStr">
        <is>
          <t>Sunrise</t>
        </is>
      </c>
      <c r="G73" s="29" t="n"/>
      <c r="H73" s="29" t="n">
        <v>4</v>
      </c>
      <c r="I73" s="30" t="inlineStr">
        <is>
          <t>Ember of Eden</t>
        </is>
      </c>
      <c r="J73" s="29" t="inlineStr">
        <is>
          <t>Oil</t>
        </is>
      </c>
      <c r="K73" s="30" t="inlineStr">
        <is>
          <t>Tuesday · Full Moon · Sunrise</t>
        </is>
      </c>
      <c r="L73" s="29">
        <f>IF(M73="",0,LEN(M73)-LEN(SUBSTITUTE(M73,",",""))+1)</f>
        <v/>
      </c>
      <c r="M73" s="30" t="inlineStr">
        <is>
          <t>Apple peel, Cardamom, Hibiscus</t>
        </is>
      </c>
      <c r="N73" s="29" t="n">
        <v>7</v>
      </c>
      <c r="O73" s="30" t="n"/>
      <c r="P73" s="30" t="n"/>
    </row>
    <row r="74" ht="15" customHeight="1" s="18">
      <c r="A74" s="29" t="n">
        <v>40</v>
      </c>
      <c r="B74" s="29" t="inlineStr">
        <is>
          <t>March</t>
        </is>
      </c>
      <c r="C74" s="29" t="inlineStr">
        <is>
          <t>Wednesday</t>
        </is>
      </c>
      <c r="D74" s="29" t="inlineStr">
        <is>
          <t>Waning Gibbous</t>
        </is>
      </c>
      <c r="E74" s="29" t="inlineStr">
        <is>
          <t>Rain</t>
        </is>
      </c>
      <c r="F74" s="29" t="inlineStr">
        <is>
          <t>Noon</t>
        </is>
      </c>
      <c r="G74" s="29" t="n"/>
      <c r="H74" s="29" t="n">
        <v>10</v>
      </c>
      <c r="I74" s="30" t="inlineStr">
        <is>
          <t>Petals After Rain</t>
        </is>
      </c>
      <c r="J74" s="29" t="inlineStr">
        <is>
          <t>Balm</t>
        </is>
      </c>
      <c r="K74" s="30" t="inlineStr">
        <is>
          <t>Rain · Waning Gibbous</t>
        </is>
      </c>
      <c r="L74" s="29">
        <f>IF(M74="",0,LEN(M74)-LEN(SUBSTITUTE(M74,",",""))+1)</f>
        <v/>
      </c>
      <c r="M74" s="30" t="n"/>
      <c r="N74" s="29" t="n">
        <v>8</v>
      </c>
      <c r="O74" s="30" t="n"/>
      <c r="P74" s="30" t="n"/>
    </row>
    <row r="75" ht="15" customHeight="1" s="18">
      <c r="A75" s="29" t="n">
        <v>40</v>
      </c>
      <c r="B75" s="29" t="inlineStr">
        <is>
          <t>March</t>
        </is>
      </c>
      <c r="C75" s="29" t="inlineStr">
        <is>
          <t>Wednesday</t>
        </is>
      </c>
      <c r="D75" s="29" t="inlineStr">
        <is>
          <t>Waning Gibbous</t>
        </is>
      </c>
      <c r="E75" s="29" t="inlineStr">
        <is>
          <t>Rain</t>
        </is>
      </c>
      <c r="F75" s="29" t="inlineStr">
        <is>
          <t>Noon</t>
        </is>
      </c>
      <c r="G75" s="29" t="n"/>
      <c r="H75" s="29" t="n">
        <v>22</v>
      </c>
      <c r="I75" s="30" t="inlineStr">
        <is>
          <t>The Quiet Exorcism</t>
        </is>
      </c>
      <c r="J75" s="29" t="inlineStr">
        <is>
          <t>Incense</t>
        </is>
      </c>
      <c r="K75" s="30" t="inlineStr">
        <is>
          <t>Waning Moon · Rain</t>
        </is>
      </c>
      <c r="L75" s="29">
        <f>IF(M75="",0,LEN(M75)-LEN(SUBSTITUTE(M75,",",""))+1)</f>
        <v/>
      </c>
      <c r="M75" s="30" t="inlineStr">
        <is>
          <t>Cedar</t>
        </is>
      </c>
      <c r="N75" s="29" t="n">
        <v>8</v>
      </c>
      <c r="O75" s="30" t="n"/>
      <c r="P75" s="30" t="n"/>
    </row>
    <row r="76" ht="23.25" customHeight="1" s="18">
      <c r="A76" s="29" t="n">
        <v>41</v>
      </c>
      <c r="B76" s="29" t="inlineStr">
        <is>
          <t>April</t>
        </is>
      </c>
      <c r="C76" s="29" t="inlineStr">
        <is>
          <t>Thursday</t>
        </is>
      </c>
      <c r="D76" s="29" t="inlineStr">
        <is>
          <t>Last Quarter</t>
        </is>
      </c>
      <c r="E76" s="29" t="inlineStr">
        <is>
          <t>Clear &amp; sunny</t>
        </is>
      </c>
      <c r="F76" s="29" t="inlineStr">
        <is>
          <t>Noon</t>
        </is>
      </c>
      <c r="G76" s="29" t="n"/>
      <c r="H76" s="29" t="n">
        <v>38</v>
      </c>
      <c r="I76" s="30" t="inlineStr">
        <is>
          <t>Lucky Little Things</t>
        </is>
      </c>
      <c r="J76" s="29" t="inlineStr">
        <is>
          <t>Cookies</t>
        </is>
      </c>
      <c r="K76" s="30" t="inlineStr">
        <is>
          <t>Rainbow (rare event) · Thursday</t>
        </is>
      </c>
      <c r="L76" s="29">
        <f>IF(M76="",0,LEN(M76)-LEN(SUBSTITUTE(M76,",",""))+1)</f>
        <v/>
      </c>
      <c r="M76" s="30" t="inlineStr">
        <is>
          <t>Rainbow sprinkles, Rainbow</t>
        </is>
      </c>
      <c r="N76" s="29" t="n">
        <v>3</v>
      </c>
      <c r="O76" s="30" t="n"/>
      <c r="P76" s="30" t="n"/>
    </row>
    <row r="77" ht="15" customHeight="1" s="18">
      <c r="A77" s="29" t="n">
        <v>41</v>
      </c>
      <c r="B77" s="29" t="inlineStr">
        <is>
          <t>April</t>
        </is>
      </c>
      <c r="C77" s="29" t="inlineStr">
        <is>
          <t>Thursday</t>
        </is>
      </c>
      <c r="D77" s="29" t="inlineStr">
        <is>
          <t>Last Quarter</t>
        </is>
      </c>
      <c r="E77" s="29" t="inlineStr">
        <is>
          <t>Clear &amp; sunny</t>
        </is>
      </c>
      <c r="F77" s="29" t="inlineStr">
        <is>
          <t>Noon</t>
        </is>
      </c>
      <c r="G77" s="29" t="n"/>
      <c r="H77" s="29" t="n">
        <v>167</v>
      </c>
      <c r="I77" s="30" t="inlineStr">
        <is>
          <t>The Unexpected Ribbon</t>
        </is>
      </c>
      <c r="J77" s="29" t="inlineStr">
        <is>
          <t>Spell Bottle</t>
        </is>
      </c>
      <c r="K77" s="30" t="inlineStr">
        <is>
          <t>Rainbow (rare event)</t>
        </is>
      </c>
      <c r="L77" s="29">
        <f>IF(M77="",0,LEN(M77)-LEN(SUBSTITUTE(M77,",",""))+1)</f>
        <v/>
      </c>
      <c r="M77" s="30" t="n"/>
      <c r="N77" s="29" t="n">
        <v>6</v>
      </c>
      <c r="O77" s="30" t="n"/>
      <c r="P77" s="30" t="n"/>
    </row>
    <row r="78" ht="15" customHeight="1" s="18">
      <c r="A78" s="29" t="n">
        <v>42</v>
      </c>
      <c r="B78" s="29" t="inlineStr">
        <is>
          <t>April</t>
        </is>
      </c>
      <c r="C78" s="29" t="inlineStr">
        <is>
          <t>Friday</t>
        </is>
      </c>
      <c r="D78" s="29" t="inlineStr">
        <is>
          <t>Waning Crescent</t>
        </is>
      </c>
      <c r="E78" s="29" t="inlineStr">
        <is>
          <t>Clear &amp; sunny</t>
        </is>
      </c>
      <c r="F78" s="29" t="inlineStr">
        <is>
          <t>Sunrise</t>
        </is>
      </c>
      <c r="G78" s="29" t="n"/>
      <c r="H78" s="29" t="n">
        <v>5</v>
      </c>
      <c r="I78" s="30" t="inlineStr">
        <is>
          <t>Darling, You're Divine</t>
        </is>
      </c>
      <c r="J78" s="29" t="inlineStr">
        <is>
          <t>Bath Salt</t>
        </is>
      </c>
      <c r="K78" s="30" t="inlineStr">
        <is>
          <t>Friday</t>
        </is>
      </c>
      <c r="L78" s="29">
        <f>IF(M78="",0,LEN(M78)-LEN(SUBSTITUTE(M78,",",""))+1)</f>
        <v/>
      </c>
      <c r="M78" s="30" t="inlineStr">
        <is>
          <t>Pink salt</t>
        </is>
      </c>
      <c r="N78" s="29" t="n">
        <v>7</v>
      </c>
      <c r="O78" s="30" t="n"/>
      <c r="P78" s="30" t="n"/>
    </row>
    <row r="79" ht="15" customHeight="1" s="18">
      <c r="A79" s="29" t="n">
        <v>42</v>
      </c>
      <c r="B79" s="29" t="inlineStr">
        <is>
          <t>April</t>
        </is>
      </c>
      <c r="C79" s="29" t="inlineStr">
        <is>
          <t>Friday</t>
        </is>
      </c>
      <c r="D79" s="29" t="inlineStr">
        <is>
          <t>Waning Crescent</t>
        </is>
      </c>
      <c r="E79" s="29" t="inlineStr">
        <is>
          <t>Clear &amp; sunny</t>
        </is>
      </c>
      <c r="F79" s="29" t="inlineStr">
        <is>
          <t>Sunrise</t>
        </is>
      </c>
      <c r="G79" s="29" t="n"/>
      <c r="H79" s="29" t="n">
        <v>72</v>
      </c>
      <c r="I79" s="30" t="inlineStr">
        <is>
          <t>The Open Doorbell</t>
        </is>
      </c>
      <c r="J79" s="29" t="inlineStr">
        <is>
          <t>Cookies</t>
        </is>
      </c>
      <c r="K79" s="30" t="inlineStr">
        <is>
          <t>Friday · Clear &amp; sunny</t>
        </is>
      </c>
      <c r="L79" s="29">
        <f>IF(M79="",0,LEN(M79)-LEN(SUBSTITUTE(M79,",",""))+1)</f>
        <v/>
      </c>
      <c r="M79" s="30" t="n"/>
      <c r="N79" s="29" t="n">
        <v>6</v>
      </c>
      <c r="O79" s="30" t="n"/>
      <c r="P79" s="30" t="n"/>
    </row>
    <row r="80" ht="23.25" customHeight="1" s="18">
      <c r="A80" s="29" t="n">
        <v>43</v>
      </c>
      <c r="B80" s="29" t="inlineStr">
        <is>
          <t>April</t>
        </is>
      </c>
      <c r="C80" s="29" t="inlineStr">
        <is>
          <t>Saturday</t>
        </is>
      </c>
      <c r="D80" s="29" t="inlineStr">
        <is>
          <t>New Moon</t>
        </is>
      </c>
      <c r="E80" s="29" t="inlineStr">
        <is>
          <t>Rain</t>
        </is>
      </c>
      <c r="F80" s="29" t="inlineStr">
        <is>
          <t>Nightfall</t>
        </is>
      </c>
      <c r="G80" s="29" t="n"/>
      <c r="H80" s="29" t="n">
        <v>18</v>
      </c>
      <c r="I80" s="30" t="inlineStr">
        <is>
          <t>The Closed Gate</t>
        </is>
      </c>
      <c r="J80" s="29" t="inlineStr">
        <is>
          <t>Sigil</t>
        </is>
      </c>
      <c r="K80" s="30" t="inlineStr">
        <is>
          <t>Saturday · Dark Moon · Nightfall</t>
        </is>
      </c>
      <c r="L80" s="29">
        <f>IF(M80="",0,LEN(M80)-LEN(SUBSTITUTE(M80,",",""))+1)</f>
        <v/>
      </c>
      <c r="M80" s="30" t="inlineStr">
        <is>
          <t>Black ink</t>
        </is>
      </c>
      <c r="N80" s="29" t="n">
        <v>7</v>
      </c>
      <c r="O80" s="30" t="n"/>
      <c r="P80" s="30" t="n"/>
    </row>
    <row r="81" ht="15" customHeight="1" s="18">
      <c r="A81" s="29" t="n">
        <v>44</v>
      </c>
      <c r="B81" s="29" t="inlineStr">
        <is>
          <t>April</t>
        </is>
      </c>
      <c r="C81" s="29" t="inlineStr">
        <is>
          <t>Sunday</t>
        </is>
      </c>
      <c r="D81" s="29" t="inlineStr">
        <is>
          <t>Waxing Crescent</t>
        </is>
      </c>
      <c r="E81" s="29" t="inlineStr">
        <is>
          <t>Rain</t>
        </is>
      </c>
      <c r="F81" s="29" t="inlineStr">
        <is>
          <t>Sunrise</t>
        </is>
      </c>
      <c r="G81" s="29" t="n"/>
      <c r="H81" s="29" t="n">
        <v>102</v>
      </c>
      <c r="I81" s="30" t="inlineStr">
        <is>
          <t>The Slow-Blooming Rose</t>
        </is>
      </c>
      <c r="J81" s="29" t="inlineStr">
        <is>
          <t>Sachet</t>
        </is>
      </c>
      <c r="K81" s="30" t="inlineStr">
        <is>
          <t>Waxing Crescent</t>
        </is>
      </c>
      <c r="L81" s="29">
        <f>IF(M81="",0,LEN(M81)-LEN(SUBSTITUTE(M81,",",""))+1)</f>
        <v/>
      </c>
      <c r="M81" s="30" t="inlineStr">
        <is>
          <t>Howlite, Lotus</t>
        </is>
      </c>
      <c r="N81" s="29" t="n">
        <v>6</v>
      </c>
      <c r="O81" s="30" t="inlineStr">
        <is>
          <t>Morwenna #113</t>
        </is>
      </c>
      <c r="P81" s="30" t="n"/>
    </row>
    <row r="82" ht="15" customHeight="1" s="18">
      <c r="A82" s="29" t="n">
        <v>45</v>
      </c>
      <c r="B82" s="29" t="inlineStr">
        <is>
          <t>April</t>
        </is>
      </c>
      <c r="C82" s="29" t="inlineStr">
        <is>
          <t>Monday</t>
        </is>
      </c>
      <c r="D82" s="29" t="inlineStr">
        <is>
          <t>First Quarter</t>
        </is>
      </c>
      <c r="E82" s="29" t="inlineStr">
        <is>
          <t>Fog / Mist</t>
        </is>
      </c>
      <c r="F82" s="29" t="inlineStr">
        <is>
          <t>Twilight</t>
        </is>
      </c>
      <c r="G82" s="29" t="inlineStr">
        <is>
          <t>Yes</t>
        </is>
      </c>
      <c r="H82" s="29" t="n">
        <v>222</v>
      </c>
      <c r="I82" s="30" t="inlineStr">
        <is>
          <t>The Camera Loves You</t>
        </is>
      </c>
      <c r="J82" s="29" t="inlineStr">
        <is>
          <t>Glamour</t>
        </is>
      </c>
      <c r="K82" s="30" t="inlineStr">
        <is>
          <t>Twilight (golden hour)</t>
        </is>
      </c>
      <c r="L82" s="29">
        <f>IF(M82="",0,LEN(M82)-LEN(SUBSTITUTE(M82,",",""))+1)</f>
        <v/>
      </c>
      <c r="M82" s="30" t="inlineStr">
        <is>
          <t>Peach</t>
        </is>
      </c>
      <c r="N82" s="29" t="n">
        <v>5</v>
      </c>
      <c r="O82" s="30" t="inlineStr">
        <is>
          <t>Hester #6</t>
        </is>
      </c>
      <c r="P82" s="30" t="n"/>
    </row>
    <row r="83" ht="15" customHeight="1" s="18">
      <c r="A83" s="29" t="n">
        <v>45</v>
      </c>
      <c r="B83" s="29" t="inlineStr">
        <is>
          <t>April</t>
        </is>
      </c>
      <c r="C83" s="29" t="inlineStr">
        <is>
          <t>Monday</t>
        </is>
      </c>
      <c r="D83" s="29" t="inlineStr">
        <is>
          <t>First Quarter</t>
        </is>
      </c>
      <c r="E83" s="29" t="inlineStr">
        <is>
          <t>Fog / Mist</t>
        </is>
      </c>
      <c r="F83" s="29" t="inlineStr">
        <is>
          <t>Sunrise</t>
        </is>
      </c>
      <c r="G83" s="29" t="n"/>
      <c r="H83" s="29" t="n">
        <v>66</v>
      </c>
      <c r="I83" s="30" t="inlineStr">
        <is>
          <t>The Silver Bridge</t>
        </is>
      </c>
      <c r="J83" s="29" t="inlineStr">
        <is>
          <t>Water</t>
        </is>
      </c>
      <c r="K83" s="30" t="inlineStr">
        <is>
          <t>after Rain</t>
        </is>
      </c>
      <c r="L83" s="29">
        <f>IF(M83="",0,LEN(M83)-LEN(SUBSTITUTE(M83,",",""))+1)</f>
        <v/>
      </c>
      <c r="M83" s="30" t="inlineStr">
        <is>
          <t>Yellow thread</t>
        </is>
      </c>
      <c r="N83" s="29" t="n">
        <v>7</v>
      </c>
      <c r="O83" s="30" t="n"/>
      <c r="P83" s="30" t="n"/>
    </row>
    <row r="84" ht="15" customHeight="1" s="18">
      <c r="A84" s="29" t="n">
        <v>46</v>
      </c>
      <c r="B84" s="29" t="inlineStr">
        <is>
          <t>April</t>
        </is>
      </c>
      <c r="C84" s="29" t="inlineStr">
        <is>
          <t>Tuesday</t>
        </is>
      </c>
      <c r="D84" s="29" t="inlineStr">
        <is>
          <t>Waxing Gibbous</t>
        </is>
      </c>
      <c r="E84" s="29" t="inlineStr">
        <is>
          <t>Clear &amp; sunny</t>
        </is>
      </c>
      <c r="F84" s="29" t="inlineStr">
        <is>
          <t>Sunrise</t>
        </is>
      </c>
      <c r="G84" s="29" t="n"/>
      <c r="H84" s="29" t="n">
        <v>50</v>
      </c>
      <c r="I84" s="30" t="inlineStr">
        <is>
          <t>The Scarlet Entrance</t>
        </is>
      </c>
      <c r="J84" s="29" t="inlineStr">
        <is>
          <t>Oil</t>
        </is>
      </c>
      <c r="K84" s="30" t="inlineStr">
        <is>
          <t>Tuesday · Waxing Moon</t>
        </is>
      </c>
      <c r="L84" s="29">
        <f>IF(M84="",0,LEN(M84)-LEN(SUBSTITUTE(M84,",",""))+1)</f>
        <v/>
      </c>
      <c r="M84" s="30" t="n"/>
      <c r="N84" s="29" t="n">
        <v>8</v>
      </c>
      <c r="O84" s="30" t="n"/>
      <c r="P84" s="30" t="n"/>
    </row>
    <row r="85" ht="15" customHeight="1" s="18">
      <c r="A85" s="29" t="n">
        <v>47</v>
      </c>
      <c r="B85" s="29" t="inlineStr">
        <is>
          <t>April</t>
        </is>
      </c>
      <c r="C85" s="29" t="inlineStr">
        <is>
          <t>Wednesday</t>
        </is>
      </c>
      <c r="D85" s="29" t="inlineStr">
        <is>
          <t>Full Moon (Pink Moon)</t>
        </is>
      </c>
      <c r="E85" s="29" t="inlineStr">
        <is>
          <t>Windy</t>
        </is>
      </c>
      <c r="F85" s="29" t="inlineStr">
        <is>
          <t>Sunrise</t>
        </is>
      </c>
      <c r="G85" s="29" t="n"/>
      <c r="H85" s="29" t="n">
        <v>1</v>
      </c>
      <c r="I85" s="30" t="inlineStr">
        <is>
          <t>Rosewater Reverie</t>
        </is>
      </c>
      <c r="J85" s="29" t="inlineStr">
        <is>
          <t>Potion</t>
        </is>
      </c>
      <c r="K85" s="30" t="inlineStr">
        <is>
          <t>Pink Moon (April full moon)</t>
        </is>
      </c>
      <c r="L85" s="29">
        <f>IF(M85="",0,LEN(M85)-LEN(SUBSTITUTE(M85,",",""))+1)</f>
        <v/>
      </c>
      <c r="M85" s="30" t="inlineStr">
        <is>
          <t>Pink Moon</t>
        </is>
      </c>
      <c r="N85" s="29" t="n">
        <v>8</v>
      </c>
      <c r="O85" s="30" t="n"/>
      <c r="P85" s="30" t="inlineStr">
        <is>
          <t>Last chance this year</t>
        </is>
      </c>
    </row>
    <row r="86" ht="23.25" customHeight="1" s="18">
      <c r="A86" s="29" t="n">
        <v>48</v>
      </c>
      <c r="B86" s="29" t="inlineStr">
        <is>
          <t>April</t>
        </is>
      </c>
      <c r="C86" s="29" t="inlineStr">
        <is>
          <t>Thursday</t>
        </is>
      </c>
      <c r="D86" s="29" t="inlineStr">
        <is>
          <t>Waning Gibbous</t>
        </is>
      </c>
      <c r="E86" s="29" t="inlineStr">
        <is>
          <t>Clear &amp; sunny</t>
        </is>
      </c>
      <c r="F86" s="29" t="inlineStr">
        <is>
          <t>Sunrise</t>
        </is>
      </c>
      <c r="G86" s="29" t="inlineStr">
        <is>
          <t>Yes</t>
        </is>
      </c>
      <c r="H86" s="29" t="n">
        <v>148</v>
      </c>
      <c r="I86" s="30" t="inlineStr">
        <is>
          <t>The Lunar Keepsake</t>
        </is>
      </c>
      <c r="J86" s="29" t="inlineStr">
        <is>
          <t>Amulet</t>
        </is>
      </c>
      <c r="K86" s="30" t="inlineStr">
        <is>
          <t>Sunrise the morning after a Full Moon</t>
        </is>
      </c>
      <c r="L86" s="29">
        <f>IF(M86="",0,LEN(M86)-LEN(SUBSTITUTE(M86,",",""))+1)</f>
        <v/>
      </c>
      <c r="M86" s="30" t="n"/>
      <c r="N86" s="29" t="n">
        <v>7</v>
      </c>
      <c r="O86" s="30" t="n"/>
      <c r="P86" s="30" t="n"/>
    </row>
    <row r="87" ht="15" customHeight="1" s="18">
      <c r="A87" s="29" t="n">
        <v>49</v>
      </c>
      <c r="B87" s="29" t="inlineStr">
        <is>
          <t>May</t>
        </is>
      </c>
      <c r="C87" s="29" t="inlineStr">
        <is>
          <t>Friday</t>
        </is>
      </c>
      <c r="D87" s="29" t="inlineStr">
        <is>
          <t>Last Quarter</t>
        </is>
      </c>
      <c r="E87" s="29" t="inlineStr">
        <is>
          <t>Clear &amp; sunny</t>
        </is>
      </c>
      <c r="F87" s="29" t="inlineStr">
        <is>
          <t>Sunrise</t>
        </is>
      </c>
      <c r="G87" s="29" t="n"/>
      <c r="H87" s="29" t="n">
        <v>13</v>
      </c>
      <c r="I87" s="30" t="inlineStr">
        <is>
          <t>Crimson Kiss</t>
        </is>
      </c>
      <c r="J87" s="29" t="inlineStr">
        <is>
          <t>Powder</t>
        </is>
      </c>
      <c r="K87" s="30" t="inlineStr">
        <is>
          <t>Beltane</t>
        </is>
      </c>
      <c r="L87" s="29">
        <f>IF(M87="",0,LEN(M87)-LEN(SUBSTITUTE(M87,",",""))+1)</f>
        <v/>
      </c>
      <c r="M87" s="30" t="inlineStr">
        <is>
          <t>Beetroot powder, Beltane</t>
        </is>
      </c>
      <c r="N87" s="29" t="n">
        <v>6</v>
      </c>
      <c r="O87" s="30" t="inlineStr">
        <is>
          <t>Hester #6</t>
        </is>
      </c>
      <c r="P87" s="30" t="n"/>
    </row>
    <row r="88" ht="15" customHeight="1" s="18">
      <c r="A88" s="29" t="n">
        <v>49</v>
      </c>
      <c r="B88" s="29" t="inlineStr">
        <is>
          <t>May</t>
        </is>
      </c>
      <c r="C88" s="29" t="inlineStr">
        <is>
          <t>Friday</t>
        </is>
      </c>
      <c r="D88" s="29" t="inlineStr">
        <is>
          <t>Last Quarter</t>
        </is>
      </c>
      <c r="E88" s="29" t="inlineStr">
        <is>
          <t>Clear &amp; sunny</t>
        </is>
      </c>
      <c r="F88" s="29" t="inlineStr">
        <is>
          <t>Sunrise</t>
        </is>
      </c>
      <c r="G88" s="29" t="n"/>
      <c r="H88" s="29" t="n">
        <v>158</v>
      </c>
      <c r="I88" s="30" t="inlineStr">
        <is>
          <t>Pocketful of Sunbeams</t>
        </is>
      </c>
      <c r="J88" s="29" t="inlineStr">
        <is>
          <t>Sachet</t>
        </is>
      </c>
      <c r="K88" s="30" t="inlineStr">
        <is>
          <t>Sunrise · Clear &amp; sunny</t>
        </is>
      </c>
      <c r="L88" s="29">
        <f>IF(M88="",0,LEN(M88)-LEN(SUBSTITUTE(M88,",",""))+1)</f>
        <v/>
      </c>
      <c r="M88" s="30" t="n"/>
      <c r="N88" s="29" t="n">
        <v>8</v>
      </c>
      <c r="O88" s="30" t="n"/>
      <c r="P88" s="30" t="n"/>
    </row>
    <row r="89" ht="23.25" customHeight="1" s="18">
      <c r="A89" s="29" t="n">
        <v>50</v>
      </c>
      <c r="B89" s="29" t="inlineStr">
        <is>
          <t>May</t>
        </is>
      </c>
      <c r="C89" s="29" t="inlineStr">
        <is>
          <t>Saturday</t>
        </is>
      </c>
      <c r="D89" s="29" t="inlineStr">
        <is>
          <t>Waning Crescent</t>
        </is>
      </c>
      <c r="E89" s="29" t="inlineStr">
        <is>
          <t>Clear &amp; sunny</t>
        </is>
      </c>
      <c r="F89" s="29" t="inlineStr">
        <is>
          <t>Twilight</t>
        </is>
      </c>
      <c r="G89" s="29" t="n"/>
      <c r="H89" s="29" t="n">
        <v>9</v>
      </c>
      <c r="I89" s="30" t="inlineStr">
        <is>
          <t>The Unbinding Rose</t>
        </is>
      </c>
      <c r="J89" s="29" t="inlineStr">
        <is>
          <t>Witch's Ladder</t>
        </is>
      </c>
      <c r="K89" s="30" t="inlineStr">
        <is>
          <t>Saturday · Waning Moon · Twilight</t>
        </is>
      </c>
      <c r="L89" s="29">
        <f>IF(M89="",0,LEN(M89)-LEN(SUBSTITUTE(M89,",",""))+1)</f>
        <v/>
      </c>
      <c r="M89" s="30" t="inlineStr">
        <is>
          <t>Iron pin, Rose thorns</t>
        </is>
      </c>
      <c r="N89" s="29" t="n">
        <v>10</v>
      </c>
      <c r="O89" s="30" t="n"/>
      <c r="P89" s="30" t="n"/>
    </row>
    <row r="90" ht="15" customHeight="1" s="18">
      <c r="A90" s="29" t="n">
        <v>51</v>
      </c>
      <c r="B90" s="29" t="inlineStr">
        <is>
          <t>May</t>
        </is>
      </c>
      <c r="C90" s="29" t="inlineStr">
        <is>
          <t>Sunday</t>
        </is>
      </c>
      <c r="D90" s="29" t="inlineStr">
        <is>
          <t>New Moon</t>
        </is>
      </c>
      <c r="E90" s="29" t="inlineStr">
        <is>
          <t>Clear &amp; sunny</t>
        </is>
      </c>
      <c r="F90" s="29" t="inlineStr">
        <is>
          <t>Sunrise</t>
        </is>
      </c>
      <c r="G90" s="29" t="n"/>
      <c r="H90" s="29" t="n">
        <v>104</v>
      </c>
      <c r="I90" s="30" t="inlineStr">
        <is>
          <t>The Dawn Within</t>
        </is>
      </c>
      <c r="J90" s="29" t="inlineStr">
        <is>
          <t>Spell Bottle</t>
        </is>
      </c>
      <c r="K90" s="30" t="inlineStr">
        <is>
          <t>Sunrise · New Moon</t>
        </is>
      </c>
      <c r="L90" s="29">
        <f>IF(M90="",0,LEN(M90)-LEN(SUBSTITUTE(M90,",",""))+1)</f>
        <v/>
      </c>
      <c r="M90" s="30" t="n"/>
      <c r="N90" s="29" t="n">
        <v>8</v>
      </c>
      <c r="O90" s="30" t="n"/>
      <c r="P90" s="30" t="n"/>
    </row>
    <row r="91" ht="15" customHeight="1" s="18">
      <c r="A91" s="29" t="n">
        <v>52</v>
      </c>
      <c r="B91" s="29" t="inlineStr">
        <is>
          <t>May</t>
        </is>
      </c>
      <c r="C91" s="29" t="inlineStr">
        <is>
          <t>Monday</t>
        </is>
      </c>
      <c r="D91" s="29" t="inlineStr">
        <is>
          <t>Waxing Crescent</t>
        </is>
      </c>
      <c r="E91" s="29" t="inlineStr">
        <is>
          <t>Fog / Mist</t>
        </is>
      </c>
      <c r="F91" s="29" t="inlineStr">
        <is>
          <t>Nightfall</t>
        </is>
      </c>
      <c r="G91" s="29" t="inlineStr">
        <is>
          <t>Yes</t>
        </is>
      </c>
      <c r="H91" s="29" t="n">
        <v>103</v>
      </c>
      <c r="I91" s="30" t="inlineStr">
        <is>
          <t>The Foggy Moon</t>
        </is>
      </c>
      <c r="J91" s="29" t="inlineStr">
        <is>
          <t>Hand Mirror</t>
        </is>
      </c>
      <c r="K91" s="30" t="inlineStr">
        <is>
          <t>Fog / Mist · Nightfall</t>
        </is>
      </c>
      <c r="L91" s="29">
        <f>IF(M91="",0,LEN(M91)-LEN(SUBSTITUTE(M91,",",""))+1)</f>
        <v/>
      </c>
      <c r="M91" s="30" t="inlineStr">
        <is>
          <t>Fog / Mist</t>
        </is>
      </c>
      <c r="N91" s="29" t="n">
        <v>7</v>
      </c>
      <c r="O91" s="30" t="n"/>
      <c r="P91" s="30" t="n"/>
    </row>
    <row r="92" ht="15" customHeight="1" s="18">
      <c r="A92" s="29" t="n">
        <v>53</v>
      </c>
      <c r="B92" s="29" t="inlineStr">
        <is>
          <t>May</t>
        </is>
      </c>
      <c r="C92" s="29" t="inlineStr">
        <is>
          <t>Tuesday</t>
        </is>
      </c>
      <c r="D92" s="29" t="inlineStr">
        <is>
          <t>First Quarter</t>
        </is>
      </c>
      <c r="E92" s="29" t="inlineStr">
        <is>
          <t>Clear &amp; sunny</t>
        </is>
      </c>
      <c r="F92" s="29" t="inlineStr">
        <is>
          <t>Sunrise</t>
        </is>
      </c>
      <c r="G92" s="29" t="n"/>
      <c r="H92" s="29" t="n">
        <v>168</v>
      </c>
      <c r="I92" s="30" t="inlineStr">
        <is>
          <t>The Waiting Room Oracle</t>
        </is>
      </c>
      <c r="J92" s="29" t="inlineStr">
        <is>
          <t>Rune</t>
        </is>
      </c>
      <c r="K92" s="30" t="inlineStr">
        <is>
          <t>Any time</t>
        </is>
      </c>
      <c r="L92" s="29">
        <f>IF(M92="",0,LEN(M92)-LEN(SUBSTITUTE(M92,",",""))+1)</f>
        <v/>
      </c>
      <c r="M92" s="30" t="inlineStr">
        <is>
          <t>River stone</t>
        </is>
      </c>
      <c r="N92" s="29" t="n">
        <v>3</v>
      </c>
      <c r="O92" s="30" t="n"/>
      <c r="P92" s="30" t="n"/>
    </row>
    <row r="93" ht="15" customHeight="1" s="18">
      <c r="A93" s="29" t="n">
        <v>53</v>
      </c>
      <c r="B93" s="29" t="inlineStr">
        <is>
          <t>May</t>
        </is>
      </c>
      <c r="C93" s="29" t="inlineStr">
        <is>
          <t>Tuesday</t>
        </is>
      </c>
      <c r="D93" s="29" t="inlineStr">
        <is>
          <t>First Quarter</t>
        </is>
      </c>
      <c r="E93" s="29" t="inlineStr">
        <is>
          <t>Clear &amp; sunny</t>
        </is>
      </c>
      <c r="F93" s="29" t="inlineStr">
        <is>
          <t>Sunrise</t>
        </is>
      </c>
      <c r="G93" s="29" t="n"/>
      <c r="H93" s="29" t="n">
        <v>217</v>
      </c>
      <c r="I93" s="30" t="inlineStr">
        <is>
          <t>Everyday Stardust</t>
        </is>
      </c>
      <c r="J93" s="29" t="inlineStr">
        <is>
          <t>Powder</t>
        </is>
      </c>
      <c r="K93" s="30" t="inlineStr">
        <is>
          <t>Any time</t>
        </is>
      </c>
      <c r="L93" s="29">
        <f>IF(M93="",0,LEN(M93)-LEN(SUBSTITUTE(M93,",",""))+1)</f>
        <v/>
      </c>
      <c r="M93" s="30" t="n"/>
      <c r="N93" s="29" t="n">
        <v>3</v>
      </c>
      <c r="O93" s="30" t="n"/>
      <c r="P93" s="30" t="n"/>
    </row>
    <row r="94" ht="15" customHeight="1" s="18">
      <c r="A94" s="29" t="n">
        <v>54</v>
      </c>
      <c r="B94" s="29" t="inlineStr">
        <is>
          <t>May</t>
        </is>
      </c>
      <c r="C94" s="29" t="inlineStr">
        <is>
          <t>Wednesday</t>
        </is>
      </c>
      <c r="D94" s="29" t="inlineStr">
        <is>
          <t>Waxing Gibbous</t>
        </is>
      </c>
      <c r="E94" s="29" t="inlineStr">
        <is>
          <t>Clear &amp; sunny</t>
        </is>
      </c>
      <c r="F94" s="29" t="inlineStr">
        <is>
          <t>Sunrise</t>
        </is>
      </c>
      <c r="G94" s="29" t="n"/>
      <c r="H94" s="29" t="n">
        <v>160</v>
      </c>
      <c r="I94" s="30" t="inlineStr">
        <is>
          <t>The Finder's Flicker</t>
        </is>
      </c>
      <c r="J94" s="29" t="inlineStr">
        <is>
          <t>Wand</t>
        </is>
      </c>
      <c r="K94" s="30" t="inlineStr">
        <is>
          <t>Wednesday · Waxing Moon</t>
        </is>
      </c>
      <c r="L94" s="29">
        <f>IF(M94="",0,LEN(M94)-LEN(SUBSTITUTE(M94,",",""))+1)</f>
        <v/>
      </c>
      <c r="M94" s="30" t="inlineStr">
        <is>
          <t>Hazel branch</t>
        </is>
      </c>
      <c r="N94" s="29" t="n">
        <v>6</v>
      </c>
      <c r="O94" s="30" t="n"/>
      <c r="P94" s="30" t="n"/>
    </row>
    <row r="95" ht="15" customHeight="1" s="18">
      <c r="A95" s="29" t="n">
        <v>55</v>
      </c>
      <c r="B95" s="29" t="inlineStr">
        <is>
          <t>May</t>
        </is>
      </c>
      <c r="C95" s="29" t="inlineStr">
        <is>
          <t>Thursday</t>
        </is>
      </c>
      <c r="D95" s="29" t="inlineStr">
        <is>
          <t>Full Moon (Flower Moon)</t>
        </is>
      </c>
      <c r="E95" s="29" t="inlineStr">
        <is>
          <t>Clear &amp; sunny</t>
        </is>
      </c>
      <c r="F95" s="29" t="inlineStr">
        <is>
          <t>Sunrise</t>
        </is>
      </c>
      <c r="G95" s="29" t="n"/>
      <c r="H95" s="29" t="n">
        <v>212</v>
      </c>
      <c r="I95" s="30" t="inlineStr">
        <is>
          <t>The Silken Halo</t>
        </is>
      </c>
      <c r="J95" s="29" t="inlineStr">
        <is>
          <t>Oil</t>
        </is>
      </c>
      <c r="K95" s="30" t="inlineStr">
        <is>
          <t>Flower Moon (May full moon)</t>
        </is>
      </c>
      <c r="L95" s="29">
        <f>IF(M95="",0,LEN(M95)-LEN(SUBSTITUTE(M95,",",""))+1)</f>
        <v/>
      </c>
      <c r="M95" s="30" t="inlineStr">
        <is>
          <t>Flower Moon</t>
        </is>
      </c>
      <c r="N95" s="29" t="n">
        <v>3</v>
      </c>
      <c r="O95" s="30" t="n"/>
      <c r="P95" s="30" t="inlineStr">
        <is>
          <t>Last chance this year</t>
        </is>
      </c>
    </row>
    <row r="96" ht="15" customHeight="1" s="18">
      <c r="A96" s="29" t="n">
        <v>56</v>
      </c>
      <c r="B96" s="29" t="inlineStr">
        <is>
          <t>May</t>
        </is>
      </c>
      <c r="C96" s="29" t="inlineStr">
        <is>
          <t>Friday</t>
        </is>
      </c>
      <c r="D96" s="29" t="inlineStr">
        <is>
          <t>Waning Gibbous</t>
        </is>
      </c>
      <c r="E96" s="29" t="inlineStr">
        <is>
          <t>Windy</t>
        </is>
      </c>
      <c r="F96" s="29" t="inlineStr">
        <is>
          <t>Noon</t>
        </is>
      </c>
      <c r="G96" s="29" t="n"/>
      <c r="H96" s="29" t="n">
        <v>198</v>
      </c>
      <c r="I96" s="30" t="inlineStr">
        <is>
          <t>The Forgiving Tide</t>
        </is>
      </c>
      <c r="J96" s="29" t="inlineStr">
        <is>
          <t>Bath Salt</t>
        </is>
      </c>
      <c r="K96" s="30" t="inlineStr">
        <is>
          <t>Waning Gibbous</t>
        </is>
      </c>
      <c r="L96" s="29">
        <f>IF(M96="",0,LEN(M96)-LEN(SUBSTITUTE(M96,",",""))+1)</f>
        <v/>
      </c>
      <c r="M96" s="30" t="inlineStr">
        <is>
          <t>Pink glitter, Seaweed</t>
        </is>
      </c>
      <c r="N96" s="29" t="n">
        <v>5</v>
      </c>
      <c r="O96" s="30" t="n"/>
      <c r="P96" s="30" t="n"/>
    </row>
    <row r="97" ht="15" customHeight="1" s="18">
      <c r="A97" s="29" t="n">
        <v>57</v>
      </c>
      <c r="B97" s="29" t="inlineStr">
        <is>
          <t>June</t>
        </is>
      </c>
      <c r="C97" s="29" t="inlineStr">
        <is>
          <t>Saturday</t>
        </is>
      </c>
      <c r="D97" s="29" t="inlineStr">
        <is>
          <t>Last Quarter</t>
        </is>
      </c>
      <c r="E97" s="29" t="inlineStr">
        <is>
          <t>Clear &amp; sunny</t>
        </is>
      </c>
      <c r="F97" s="29" t="inlineStr">
        <is>
          <t>Sunrise</t>
        </is>
      </c>
      <c r="G97" s="29" t="n"/>
      <c r="H97" s="29" t="n">
        <v>70</v>
      </c>
      <c r="I97" s="30" t="inlineStr">
        <is>
          <t>The Empty Chair</t>
        </is>
      </c>
      <c r="J97" s="29" t="inlineStr">
        <is>
          <t>Poppet</t>
        </is>
      </c>
      <c r="K97" s="30" t="inlineStr">
        <is>
          <t>Saturday · Waning Moon</t>
        </is>
      </c>
      <c r="L97" s="29">
        <f>IF(M97="",0,LEN(M97)-LEN(SUBSTITUTE(M97,",",""))+1)</f>
        <v/>
      </c>
      <c r="M97" s="30" t="n"/>
      <c r="N97" s="29" t="n">
        <v>8</v>
      </c>
      <c r="O97" s="30" t="n"/>
      <c r="P97" s="30" t="n"/>
    </row>
    <row r="98" ht="15" customHeight="1" s="18">
      <c r="A98" s="29" t="n">
        <v>57</v>
      </c>
      <c r="B98" s="29" t="inlineStr">
        <is>
          <t>June</t>
        </is>
      </c>
      <c r="C98" s="29" t="inlineStr">
        <is>
          <t>Saturday</t>
        </is>
      </c>
      <c r="D98" s="29" t="inlineStr">
        <is>
          <t>Last Quarter</t>
        </is>
      </c>
      <c r="E98" s="29" t="inlineStr">
        <is>
          <t>Clear &amp; sunny</t>
        </is>
      </c>
      <c r="F98" s="29" t="inlineStr">
        <is>
          <t>Sunrise</t>
        </is>
      </c>
      <c r="G98" s="29" t="n"/>
      <c r="H98" s="29" t="n">
        <v>93</v>
      </c>
      <c r="I98" s="30" t="inlineStr">
        <is>
          <t>The Bitterroot Unbound</t>
        </is>
      </c>
      <c r="J98" s="29" t="inlineStr">
        <is>
          <t>Oil</t>
        </is>
      </c>
      <c r="K98" s="30" t="inlineStr">
        <is>
          <t>Saturday · Waning Moon</t>
        </is>
      </c>
      <c r="L98" s="29">
        <f>IF(M98="",0,LEN(M98)-LEN(SUBSTITUTE(M98,",",""))+1)</f>
        <v/>
      </c>
      <c r="M98" s="30" t="inlineStr">
        <is>
          <t>Dandelion root</t>
        </is>
      </c>
      <c r="N98" s="29" t="n">
        <v>7</v>
      </c>
      <c r="O98" s="30" t="n"/>
      <c r="P98" s="30" t="n"/>
    </row>
    <row r="99" ht="15" customHeight="1" s="18">
      <c r="A99" s="29" t="n">
        <v>58</v>
      </c>
      <c r="B99" s="29" t="inlineStr">
        <is>
          <t>June</t>
        </is>
      </c>
      <c r="C99" s="29" t="inlineStr">
        <is>
          <t>Sunday</t>
        </is>
      </c>
      <c r="D99" s="29" t="inlineStr">
        <is>
          <t>Waning Crescent</t>
        </is>
      </c>
      <c r="E99" s="29" t="inlineStr">
        <is>
          <t>Rain</t>
        </is>
      </c>
      <c r="F99" s="29" t="inlineStr">
        <is>
          <t>Noon</t>
        </is>
      </c>
      <c r="G99" s="29" t="n"/>
      <c r="H99" s="29" t="n">
        <v>92</v>
      </c>
      <c r="I99" s="30" t="inlineStr">
        <is>
          <t>Raincloud Release</t>
        </is>
      </c>
      <c r="J99" s="29" t="inlineStr">
        <is>
          <t>Bath Salt</t>
        </is>
      </c>
      <c r="K99" s="30" t="inlineStr">
        <is>
          <t>Rain · Waning Moon</t>
        </is>
      </c>
      <c r="L99" s="29">
        <f>IF(M99="",0,LEN(M99)-LEN(SUBSTITUTE(M99,",",""))+1)</f>
        <v/>
      </c>
      <c r="M99" s="30" t="n"/>
      <c r="N99" s="29" t="n">
        <v>8</v>
      </c>
      <c r="O99" s="30" t="n"/>
      <c r="P99" s="30" t="n"/>
    </row>
    <row r="100" ht="15" customHeight="1" s="18">
      <c r="A100" s="29" t="n">
        <v>59</v>
      </c>
      <c r="B100" s="29" t="inlineStr">
        <is>
          <t>June</t>
        </is>
      </c>
      <c r="C100" s="29" t="inlineStr">
        <is>
          <t>Monday</t>
        </is>
      </c>
      <c r="D100" s="29" t="inlineStr">
        <is>
          <t>New Moon</t>
        </is>
      </c>
      <c r="E100" s="29" t="inlineStr">
        <is>
          <t>Clear &amp; sunny</t>
        </is>
      </c>
      <c r="F100" s="29" t="inlineStr">
        <is>
          <t>Sunrise</t>
        </is>
      </c>
      <c r="G100" s="29" t="n"/>
      <c r="H100" s="29" t="n">
        <v>74</v>
      </c>
      <c r="I100" s="30" t="inlineStr">
        <is>
          <t>The Listening Shell</t>
        </is>
      </c>
      <c r="J100" s="29" t="inlineStr">
        <is>
          <t>Amulet</t>
        </is>
      </c>
      <c r="K100" s="30" t="inlineStr">
        <is>
          <t>Monday · New Moon</t>
        </is>
      </c>
      <c r="L100" s="29">
        <f>IF(M100="",0,LEN(M100)-LEN(SUBSTITUTE(M100,",",""))+1)</f>
        <v/>
      </c>
      <c r="M100" s="30" t="n"/>
      <c r="N100" s="29" t="n">
        <v>8</v>
      </c>
      <c r="O100" s="30" t="n"/>
      <c r="P100" s="30" t="inlineStr">
        <is>
          <t>Last chance this year</t>
        </is>
      </c>
    </row>
    <row r="101" ht="15" customHeight="1" s="18">
      <c r="A101" s="29" t="n">
        <v>60</v>
      </c>
      <c r="B101" s="29" t="inlineStr">
        <is>
          <t>June</t>
        </is>
      </c>
      <c r="C101" s="29" t="inlineStr">
        <is>
          <t>Tuesday</t>
        </is>
      </c>
      <c r="D101" s="29" t="inlineStr">
        <is>
          <t>Waxing Crescent</t>
        </is>
      </c>
      <c r="E101" s="29" t="inlineStr">
        <is>
          <t>Thunderstorm</t>
        </is>
      </c>
      <c r="F101" s="29" t="inlineStr">
        <is>
          <t>Noon</t>
        </is>
      </c>
      <c r="G101" s="29" t="n"/>
      <c r="H101" s="29" t="n">
        <v>224</v>
      </c>
      <c r="I101" s="30" t="inlineStr">
        <is>
          <t>The Finishing Charm</t>
        </is>
      </c>
      <c r="J101" s="29" t="inlineStr">
        <is>
          <t>Amulet</t>
        </is>
      </c>
      <c r="K101" s="30" t="inlineStr">
        <is>
          <t>Any time</t>
        </is>
      </c>
      <c r="L101" s="29">
        <f>IF(M101="",0,LEN(M101)-LEN(SUBSTITUTE(M101,",",""))+1)</f>
        <v/>
      </c>
      <c r="M101" s="30" t="n"/>
      <c r="N101" s="29" t="n">
        <v>3</v>
      </c>
      <c r="O101" s="30" t="n"/>
      <c r="P101" s="30" t="n"/>
    </row>
    <row r="102" ht="23.25" customHeight="1" s="18">
      <c r="A102" s="29" t="n">
        <v>61</v>
      </c>
      <c r="B102" s="29" t="inlineStr">
        <is>
          <t>June</t>
        </is>
      </c>
      <c r="C102" s="29" t="inlineStr">
        <is>
          <t>Wednesday</t>
        </is>
      </c>
      <c r="D102" s="29" t="inlineStr">
        <is>
          <t>First Quarter</t>
        </is>
      </c>
      <c r="E102" s="29" t="inlineStr">
        <is>
          <t>Clear &amp; sunny</t>
        </is>
      </c>
      <c r="F102" s="29" t="inlineStr">
        <is>
          <t>Sunrise</t>
        </is>
      </c>
      <c r="G102" s="29" t="n"/>
      <c r="H102" s="29" t="n">
        <v>134</v>
      </c>
      <c r="I102" s="30" t="inlineStr">
        <is>
          <t>The Turning Leaf</t>
        </is>
      </c>
      <c r="J102" s="29" t="inlineStr">
        <is>
          <t>Rune</t>
        </is>
      </c>
      <c r="K102" s="30" t="inlineStr">
        <is>
          <t>Any equinox or solstice (Ostara, Litha, Mabon, Yule)</t>
        </is>
      </c>
      <c r="L102" s="29">
        <f>IF(M102="",0,LEN(M102)-LEN(SUBSTITUTE(M102,",",""))+1)</f>
        <v/>
      </c>
      <c r="M102" s="30" t="inlineStr">
        <is>
          <t>Autumn leaf, Birch branch, Festival</t>
        </is>
      </c>
      <c r="N102" s="29" t="n">
        <v>3</v>
      </c>
      <c r="O102" s="30" t="n"/>
      <c r="P102" s="30" t="n"/>
    </row>
    <row r="103" ht="15" customHeight="1" s="18">
      <c r="A103" s="29" t="n">
        <v>61</v>
      </c>
      <c r="B103" s="29" t="inlineStr">
        <is>
          <t>June</t>
        </is>
      </c>
      <c r="C103" s="29" t="inlineStr">
        <is>
          <t>Wednesday</t>
        </is>
      </c>
      <c r="D103" s="29" t="inlineStr">
        <is>
          <t>First Quarter</t>
        </is>
      </c>
      <c r="E103" s="29" t="inlineStr">
        <is>
          <t>Clear &amp; sunny</t>
        </is>
      </c>
      <c r="F103" s="29" t="inlineStr">
        <is>
          <t>Sunrise</t>
        </is>
      </c>
      <c r="G103" s="29" t="n"/>
      <c r="H103" s="29" t="n">
        <v>152</v>
      </c>
      <c r="I103" s="30" t="inlineStr">
        <is>
          <t>The Traveling Teacup</t>
        </is>
      </c>
      <c r="J103" s="29" t="inlineStr">
        <is>
          <t>Amulet</t>
        </is>
      </c>
      <c r="K103" s="30" t="inlineStr">
        <is>
          <t>Wednesday</t>
        </is>
      </c>
      <c r="L103" s="29">
        <f>IF(M103="",0,LEN(M103)-LEN(SUBSTITUTE(M103,",",""))+1)</f>
        <v/>
      </c>
      <c r="M103" s="30" t="inlineStr">
        <is>
          <t>Teacup charm</t>
        </is>
      </c>
      <c r="N103" s="29" t="n">
        <v>5</v>
      </c>
      <c r="O103" s="30" t="n"/>
      <c r="P103" s="30" t="n"/>
    </row>
    <row r="104" ht="23.25" customHeight="1" s="18">
      <c r="A104" s="29" t="n">
        <v>62</v>
      </c>
      <c r="B104" s="29" t="inlineStr">
        <is>
          <t>June</t>
        </is>
      </c>
      <c r="C104" s="29" t="inlineStr">
        <is>
          <t>Thursday</t>
        </is>
      </c>
      <c r="D104" s="29" t="inlineStr">
        <is>
          <t>Waxing Gibbous</t>
        </is>
      </c>
      <c r="E104" s="29" t="inlineStr">
        <is>
          <t>Clear &amp; sunny</t>
        </is>
      </c>
      <c r="F104" s="29" t="inlineStr">
        <is>
          <t>Noon</t>
        </is>
      </c>
      <c r="G104" s="29" t="n"/>
      <c r="H104" s="29" t="n">
        <v>32</v>
      </c>
      <c r="I104" s="30" t="inlineStr">
        <is>
          <t>The Gilded Orchard</t>
        </is>
      </c>
      <c r="J104" s="29" t="inlineStr">
        <is>
          <t>Oil</t>
        </is>
      </c>
      <c r="K104" s="30" t="inlineStr">
        <is>
          <t>Thursday · Waxing Gibbous · Noon</t>
        </is>
      </c>
      <c r="L104" s="29">
        <f>IF(M104="",0,LEN(M104)-LEN(SUBSTITUTE(M104,",",""))+1)</f>
        <v/>
      </c>
      <c r="M104" s="30" t="n"/>
      <c r="N104" s="29" t="n">
        <v>10</v>
      </c>
      <c r="O104" s="30" t="n"/>
      <c r="P104" s="30" t="inlineStr">
        <is>
          <t>Last chance this year</t>
        </is>
      </c>
    </row>
    <row r="105" ht="15" customHeight="1" s="18">
      <c r="A105" s="29" t="n">
        <v>62</v>
      </c>
      <c r="B105" s="29" t="inlineStr">
        <is>
          <t>June</t>
        </is>
      </c>
      <c r="C105" s="29" t="inlineStr">
        <is>
          <t>Thursday</t>
        </is>
      </c>
      <c r="D105" s="29" t="inlineStr">
        <is>
          <t>Waxing Gibbous</t>
        </is>
      </c>
      <c r="E105" s="29" t="inlineStr">
        <is>
          <t>Clear &amp; sunny</t>
        </is>
      </c>
      <c r="F105" s="29" t="inlineStr">
        <is>
          <t>Sunrise</t>
        </is>
      </c>
      <c r="G105" s="29" t="n"/>
      <c r="H105" s="29" t="n">
        <v>35</v>
      </c>
      <c r="I105" s="30" t="inlineStr">
        <is>
          <t>The Open Invitation</t>
        </is>
      </c>
      <c r="J105" s="29" t="inlineStr">
        <is>
          <t>Spell Bottle</t>
        </is>
      </c>
      <c r="K105" s="30" t="inlineStr">
        <is>
          <t>Thursday · Waxing Gibbous</t>
        </is>
      </c>
      <c r="L105" s="29">
        <f>IF(M105="",0,LEN(M105)-LEN(SUBSTITUTE(M105,",",""))+1)</f>
        <v/>
      </c>
      <c r="M105" s="30" t="inlineStr">
        <is>
          <t>Gold button</t>
        </is>
      </c>
      <c r="N105" s="29" t="n">
        <v>8</v>
      </c>
      <c r="O105" s="30" t="n"/>
      <c r="P105" s="30" t="inlineStr">
        <is>
          <t>Last chance this year</t>
        </is>
      </c>
    </row>
    <row r="106" ht="15" customHeight="1" s="18">
      <c r="A106" s="29" t="n">
        <v>63</v>
      </c>
      <c r="B106" s="29" t="inlineStr">
        <is>
          <t>June</t>
        </is>
      </c>
      <c r="C106" s="29" t="inlineStr">
        <is>
          <t>Friday</t>
        </is>
      </c>
      <c r="D106" s="29" t="inlineStr">
        <is>
          <t>Full Moon (Strawberry Moon)</t>
        </is>
      </c>
      <c r="E106" s="29" t="inlineStr">
        <is>
          <t>Clear &amp; sunny</t>
        </is>
      </c>
      <c r="F106" s="29" t="inlineStr">
        <is>
          <t>Sunrise</t>
        </is>
      </c>
      <c r="G106" s="29" t="n"/>
      <c r="H106" s="29" t="n">
        <v>47</v>
      </c>
      <c r="I106" s="30" t="inlineStr">
        <is>
          <t>Mirror of Aphrodite</t>
        </is>
      </c>
      <c r="J106" s="29" t="inlineStr">
        <is>
          <t>Hand Mirror</t>
        </is>
      </c>
      <c r="K106" s="30" t="inlineStr">
        <is>
          <t>Friday · Full Moon</t>
        </is>
      </c>
      <c r="L106" s="29">
        <f>IF(M106="",0,LEN(M106)-LEN(SUBSTITUTE(M106,",",""))+1)</f>
        <v/>
      </c>
      <c r="M106" s="30" t="inlineStr">
        <is>
          <t>Swan down</t>
        </is>
      </c>
      <c r="N106" s="29" t="n">
        <v>8</v>
      </c>
      <c r="O106" s="30" t="inlineStr">
        <is>
          <t>Goldie #12</t>
        </is>
      </c>
      <c r="P106" s="30" t="inlineStr">
        <is>
          <t>Last chance this year</t>
        </is>
      </c>
    </row>
    <row r="107" ht="15" customHeight="1" s="18">
      <c r="A107" s="29" t="n">
        <v>63</v>
      </c>
      <c r="B107" s="29" t="inlineStr">
        <is>
          <t>June</t>
        </is>
      </c>
      <c r="C107" s="29" t="inlineStr">
        <is>
          <t>Friday</t>
        </is>
      </c>
      <c r="D107" s="29" t="inlineStr">
        <is>
          <t>Full Moon (Strawberry Moon)</t>
        </is>
      </c>
      <c r="E107" s="29" t="inlineStr">
        <is>
          <t>Clear &amp; sunny</t>
        </is>
      </c>
      <c r="F107" s="29" t="inlineStr">
        <is>
          <t>Sunrise</t>
        </is>
      </c>
      <c r="G107" s="29" t="n"/>
      <c r="H107" s="29" t="n">
        <v>14</v>
      </c>
      <c r="I107" s="30" t="inlineStr">
        <is>
          <t>The Golden Vow</t>
        </is>
      </c>
      <c r="J107" s="29" t="inlineStr">
        <is>
          <t>Talisman</t>
        </is>
      </c>
      <c r="K107" s="30" t="inlineStr">
        <is>
          <t>Friday · Full Moon</t>
        </is>
      </c>
      <c r="L107" s="29">
        <f>IF(M107="",0,LEN(M107)-LEN(SUBSTITUTE(M107,",",""))+1)</f>
        <v/>
      </c>
      <c r="M107" s="30" t="inlineStr">
        <is>
          <t>Jade, Velvet ribbon (red)</t>
        </is>
      </c>
      <c r="N107" s="29" t="n">
        <v>6</v>
      </c>
      <c r="O107" s="30" t="n"/>
      <c r="P107" s="30" t="inlineStr">
        <is>
          <t>Last chance this year</t>
        </is>
      </c>
    </row>
    <row r="108" ht="15" customHeight="1" s="18">
      <c r="A108" s="29" t="n">
        <v>63</v>
      </c>
      <c r="B108" s="29" t="inlineStr">
        <is>
          <t>June</t>
        </is>
      </c>
      <c r="C108" s="29" t="inlineStr">
        <is>
          <t>Friday</t>
        </is>
      </c>
      <c r="D108" s="29" t="inlineStr">
        <is>
          <t>Full Moon (Strawberry Moon)</t>
        </is>
      </c>
      <c r="E108" s="29" t="inlineStr">
        <is>
          <t>Clear &amp; sunny</t>
        </is>
      </c>
      <c r="F108" s="29" t="inlineStr">
        <is>
          <t>Sunrise</t>
        </is>
      </c>
      <c r="G108" s="29" t="n"/>
      <c r="H108" s="29" t="n">
        <v>62</v>
      </c>
      <c r="I108" s="30" t="inlineStr">
        <is>
          <t>The Unbreakable Braid</t>
        </is>
      </c>
      <c r="J108" s="29" t="inlineStr">
        <is>
          <t>Witch's Ladder</t>
        </is>
      </c>
      <c r="K108" s="30" t="inlineStr">
        <is>
          <t>Friday · Full Moon</t>
        </is>
      </c>
      <c r="L108" s="29">
        <f>IF(M108="",0,LEN(M108)-LEN(SUBSTITUTE(M108,",",""))+1)</f>
        <v/>
      </c>
      <c r="M108" s="30" t="inlineStr">
        <is>
          <t>Pearl buttons</t>
        </is>
      </c>
      <c r="N108" s="29" t="n">
        <v>9</v>
      </c>
      <c r="O108" s="30" t="n"/>
      <c r="P108" s="30" t="inlineStr">
        <is>
          <t>Last chance this year</t>
        </is>
      </c>
    </row>
    <row r="109" ht="15" customHeight="1" s="18">
      <c r="A109" s="29" t="n">
        <v>64</v>
      </c>
      <c r="B109" s="29" t="inlineStr">
        <is>
          <t>June</t>
        </is>
      </c>
      <c r="C109" s="29" t="inlineStr">
        <is>
          <t>Saturday</t>
        </is>
      </c>
      <c r="D109" s="29" t="inlineStr">
        <is>
          <t>Waning Gibbous</t>
        </is>
      </c>
      <c r="E109" s="29" t="inlineStr">
        <is>
          <t>Clear &amp; sunny</t>
        </is>
      </c>
      <c r="F109" s="29" t="inlineStr">
        <is>
          <t>Noon</t>
        </is>
      </c>
      <c r="G109" s="29" t="n"/>
      <c r="H109" s="29" t="n">
        <v>94</v>
      </c>
      <c r="I109" s="30" t="inlineStr">
        <is>
          <t>The Mercy Garden</t>
        </is>
      </c>
      <c r="J109" s="29" t="inlineStr">
        <is>
          <t>Balm</t>
        </is>
      </c>
      <c r="K109" s="30" t="inlineStr">
        <is>
          <t>Saturday · Waning Gibbous</t>
        </is>
      </c>
      <c r="L109" s="29">
        <f>IF(M109="",0,LEN(M109)-LEN(SUBSTITUTE(M109,",",""))+1)</f>
        <v/>
      </c>
      <c r="M109" s="30" t="n"/>
      <c r="N109" s="29" t="n">
        <v>8</v>
      </c>
      <c r="O109" s="30" t="n"/>
      <c r="P109" s="30" t="inlineStr">
        <is>
          <t>Last chance this year</t>
        </is>
      </c>
    </row>
    <row r="110" ht="15" customHeight="1" s="18">
      <c r="A110" s="29" t="n">
        <v>64</v>
      </c>
      <c r="B110" s="29" t="inlineStr">
        <is>
          <t>June</t>
        </is>
      </c>
      <c r="C110" s="29" t="inlineStr">
        <is>
          <t>Saturday</t>
        </is>
      </c>
      <c r="D110" s="29" t="inlineStr">
        <is>
          <t>Waning Gibbous</t>
        </is>
      </c>
      <c r="E110" s="29" t="inlineStr">
        <is>
          <t>Clear &amp; sunny</t>
        </is>
      </c>
      <c r="F110" s="29" t="inlineStr">
        <is>
          <t>Noon</t>
        </is>
      </c>
      <c r="G110" s="29" t="n"/>
      <c r="H110" s="29" t="n">
        <v>99</v>
      </c>
      <c r="I110" s="30" t="inlineStr">
        <is>
          <t>The Open Palm</t>
        </is>
      </c>
      <c r="J110" s="29" t="inlineStr">
        <is>
          <t>Rune</t>
        </is>
      </c>
      <c r="K110" s="30" t="inlineStr">
        <is>
          <t>Saturday · Waning Moon</t>
        </is>
      </c>
      <c r="L110" s="29">
        <f>IF(M110="",0,LEN(M110)-LEN(SUBSTITUTE(M110,",",""))+1)</f>
        <v/>
      </c>
      <c r="M110" s="30" t="n"/>
      <c r="N110" s="29" t="n">
        <v>7</v>
      </c>
      <c r="O110" s="30" t="n"/>
      <c r="P110" s="30" t="inlineStr">
        <is>
          <t>Last chance this year</t>
        </is>
      </c>
    </row>
    <row r="111" ht="15" customHeight="1" s="18">
      <c r="A111" s="29" t="n">
        <v>64</v>
      </c>
      <c r="B111" s="29" t="inlineStr">
        <is>
          <t>June</t>
        </is>
      </c>
      <c r="C111" s="29" t="inlineStr">
        <is>
          <t>Saturday</t>
        </is>
      </c>
      <c r="D111" s="29" t="inlineStr">
        <is>
          <t>Waning Gibbous</t>
        </is>
      </c>
      <c r="E111" s="29" t="inlineStr">
        <is>
          <t>Clear &amp; sunny</t>
        </is>
      </c>
      <c r="F111" s="29" t="inlineStr">
        <is>
          <t>Noon</t>
        </is>
      </c>
      <c r="G111" s="29" t="n"/>
      <c r="H111" s="29" t="n">
        <v>118</v>
      </c>
      <c r="I111" s="30" t="inlineStr">
        <is>
          <t>The Severed Loop</t>
        </is>
      </c>
      <c r="J111" s="29" t="inlineStr">
        <is>
          <t>Witch's Ladder</t>
        </is>
      </c>
      <c r="K111" s="30" t="inlineStr">
        <is>
          <t>Saturday · Waning Moon</t>
        </is>
      </c>
      <c r="L111" s="29">
        <f>IF(M111="",0,LEN(M111)-LEN(SUBSTITUTE(M111,",",""))+1)</f>
        <v/>
      </c>
      <c r="M111" s="30" t="inlineStr">
        <is>
          <t>Shed snake skin</t>
        </is>
      </c>
      <c r="N111" s="29" t="n">
        <v>8</v>
      </c>
      <c r="O111" s="30" t="n"/>
      <c r="P111" s="30" t="inlineStr">
        <is>
          <t>Last chance this year</t>
        </is>
      </c>
    </row>
    <row r="112" ht="15" customHeight="1" s="18">
      <c r="A112" s="29" t="n">
        <v>65</v>
      </c>
      <c r="B112" s="29" t="inlineStr">
        <is>
          <t>July</t>
        </is>
      </c>
      <c r="C112" s="29" t="inlineStr">
        <is>
          <t>Sunday</t>
        </is>
      </c>
      <c r="D112" s="29" t="inlineStr">
        <is>
          <t>Last Quarter</t>
        </is>
      </c>
      <c r="E112" s="29" t="inlineStr">
        <is>
          <t>Clear &amp; sunny</t>
        </is>
      </c>
      <c r="F112" s="29" t="inlineStr">
        <is>
          <t>Sunrise</t>
        </is>
      </c>
      <c r="G112" s="29" t="n"/>
      <c r="H112" s="29" t="n">
        <v>193</v>
      </c>
      <c r="I112" s="30" t="inlineStr">
        <is>
          <t>The Full-Sized Flame</t>
        </is>
      </c>
      <c r="J112" s="29" t="inlineStr">
        <is>
          <t>Powder</t>
        </is>
      </c>
      <c r="K112" s="30" t="inlineStr">
        <is>
          <t>Sunday</t>
        </is>
      </c>
      <c r="L112" s="29">
        <f>IF(M112="",0,LEN(M112)-LEN(SUBSTITUTE(M112,",",""))+1)</f>
        <v/>
      </c>
      <c r="M112" s="30" t="n"/>
      <c r="N112" s="29" t="n">
        <v>7</v>
      </c>
      <c r="O112" s="30" t="n"/>
      <c r="P112" s="30" t="n"/>
    </row>
    <row r="113" ht="15" customHeight="1" s="18">
      <c r="A113" s="29" t="n">
        <v>66</v>
      </c>
      <c r="B113" s="29" t="inlineStr">
        <is>
          <t>July</t>
        </is>
      </c>
      <c r="C113" s="29" t="inlineStr">
        <is>
          <t>Monday</t>
        </is>
      </c>
      <c r="D113" s="29" t="inlineStr">
        <is>
          <t>Waning Crescent</t>
        </is>
      </c>
      <c r="E113" s="29" t="inlineStr">
        <is>
          <t>Rain</t>
        </is>
      </c>
      <c r="F113" s="29" t="inlineStr">
        <is>
          <t>Sunrise</t>
        </is>
      </c>
      <c r="G113" s="29" t="n"/>
      <c r="H113" s="29" t="n">
        <v>196</v>
      </c>
      <c r="I113" s="30" t="inlineStr">
        <is>
          <t>The Retired Myth</t>
        </is>
      </c>
      <c r="J113" s="29" t="inlineStr">
        <is>
          <t>Spell Bottle</t>
        </is>
      </c>
      <c r="K113" s="30" t="inlineStr">
        <is>
          <t>Waning Crescent</t>
        </is>
      </c>
      <c r="L113" s="29">
        <f>IF(M113="",0,LEN(M113)-LEN(SUBSTITUTE(M113,",",""))+1)</f>
        <v/>
      </c>
      <c r="M113" s="30" t="n"/>
      <c r="N113" s="29" t="n">
        <v>7</v>
      </c>
      <c r="O113" s="30" t="n"/>
      <c r="P113" s="30" t="n"/>
    </row>
    <row r="114" ht="15" customHeight="1" s="18">
      <c r="A114" s="29" t="n">
        <v>67</v>
      </c>
      <c r="B114" s="29" t="inlineStr">
        <is>
          <t>July</t>
        </is>
      </c>
      <c r="C114" s="29" t="inlineStr">
        <is>
          <t>Tuesday</t>
        </is>
      </c>
      <c r="D114" s="29" t="inlineStr">
        <is>
          <t>New Moon</t>
        </is>
      </c>
      <c r="E114" s="29" t="inlineStr">
        <is>
          <t>Windy</t>
        </is>
      </c>
      <c r="F114" s="29" t="inlineStr">
        <is>
          <t>Nightfall</t>
        </is>
      </c>
      <c r="G114" s="29" t="n"/>
      <c r="H114" s="29" t="n">
        <v>109</v>
      </c>
      <c r="I114" s="30" t="inlineStr">
        <is>
          <t>The Quiet Between Stars</t>
        </is>
      </c>
      <c r="J114" s="29" t="inlineStr">
        <is>
          <t>Incense</t>
        </is>
      </c>
      <c r="K114" s="30" t="inlineStr">
        <is>
          <t>Clear starry night · New Moon</t>
        </is>
      </c>
      <c r="L114" s="29">
        <f>IF(M114="",0,LEN(M114)-LEN(SUBSTITUTE(M114,",",""))+1)</f>
        <v/>
      </c>
      <c r="M114" s="30" t="n"/>
      <c r="N114" s="29" t="n">
        <v>8</v>
      </c>
      <c r="O114" s="30" t="n"/>
      <c r="P114" s="30" t="n"/>
    </row>
    <row r="115" ht="15" customHeight="1" s="18">
      <c r="A115" s="29" t="n">
        <v>68</v>
      </c>
      <c r="B115" s="29" t="inlineStr">
        <is>
          <t>July</t>
        </is>
      </c>
      <c r="C115" s="29" t="inlineStr">
        <is>
          <t>Wednesday</t>
        </is>
      </c>
      <c r="D115" s="29" t="inlineStr">
        <is>
          <t>Waxing Crescent</t>
        </is>
      </c>
      <c r="E115" s="29" t="inlineStr">
        <is>
          <t>Rain</t>
        </is>
      </c>
      <c r="F115" s="29" t="inlineStr">
        <is>
          <t>Sunrise</t>
        </is>
      </c>
      <c r="G115" s="29" t="n"/>
      <c r="H115" s="29" t="n">
        <v>162</v>
      </c>
      <c r="I115" s="30" t="inlineStr">
        <is>
          <t>The Errand Sprite</t>
        </is>
      </c>
      <c r="J115" s="29" t="inlineStr">
        <is>
          <t>Potion</t>
        </is>
      </c>
      <c r="K115" s="30" t="inlineStr">
        <is>
          <t>Wednesday · Sunrise</t>
        </is>
      </c>
      <c r="L115" s="29">
        <f>IF(M115="",0,LEN(M115)-LEN(SUBSTITUTE(M115,",",""))+1)</f>
        <v/>
      </c>
      <c r="M115" s="30" t="n"/>
      <c r="N115" s="29" t="n">
        <v>6</v>
      </c>
      <c r="O115" s="30" t="n"/>
      <c r="P115" s="30" t="n"/>
    </row>
    <row r="116" ht="15" customHeight="1" s="18">
      <c r="A116" s="29" t="n">
        <v>69</v>
      </c>
      <c r="B116" s="29" t="inlineStr">
        <is>
          <t>July</t>
        </is>
      </c>
      <c r="C116" s="29" t="inlineStr">
        <is>
          <t>Thursday</t>
        </is>
      </c>
      <c r="D116" s="29" t="inlineStr">
        <is>
          <t>First Quarter</t>
        </is>
      </c>
      <c r="E116" s="29" t="inlineStr">
        <is>
          <t>Clear &amp; sunny</t>
        </is>
      </c>
      <c r="F116" s="29" t="inlineStr">
        <is>
          <t>Sunrise</t>
        </is>
      </c>
      <c r="G116" s="29" t="n"/>
      <c r="H116" s="29" t="n">
        <v>37</v>
      </c>
      <c r="I116" s="30" t="inlineStr">
        <is>
          <t>The Abundance Garden</t>
        </is>
      </c>
      <c r="J116" s="29" t="inlineStr">
        <is>
          <t>Tea</t>
        </is>
      </c>
      <c r="K116" s="30" t="inlineStr">
        <is>
          <t>Thursday · Waxing Moon</t>
        </is>
      </c>
      <c r="L116" s="29">
        <f>IF(M116="",0,LEN(M116)-LEN(SUBSTITUTE(M116,",",""))+1)</f>
        <v/>
      </c>
      <c r="M116" s="30" t="inlineStr">
        <is>
          <t>Pressed moon petals, Wheat</t>
        </is>
      </c>
      <c r="N116" s="29" t="n">
        <v>7</v>
      </c>
      <c r="O116" s="30" t="inlineStr">
        <is>
          <t>Hester #45</t>
        </is>
      </c>
      <c r="P116" s="30" t="n"/>
    </row>
    <row r="117" ht="15" customHeight="1" s="18">
      <c r="A117" s="29" t="n">
        <v>70</v>
      </c>
      <c r="B117" s="29" t="inlineStr">
        <is>
          <t>July</t>
        </is>
      </c>
      <c r="C117" s="29" t="inlineStr">
        <is>
          <t>Friday</t>
        </is>
      </c>
      <c r="D117" s="29" t="inlineStr">
        <is>
          <t>Waxing Gibbous</t>
        </is>
      </c>
      <c r="E117" s="29" t="inlineStr">
        <is>
          <t>Clear &amp; sunny</t>
        </is>
      </c>
      <c r="F117" s="29" t="inlineStr">
        <is>
          <t>Sunrise</t>
        </is>
      </c>
      <c r="G117" s="29" t="inlineStr">
        <is>
          <t>Yes</t>
        </is>
      </c>
      <c r="H117" s="29" t="n">
        <v>211</v>
      </c>
      <c r="I117" s="30" t="inlineStr">
        <is>
          <t>The Glittering Entrance</t>
        </is>
      </c>
      <c r="J117" s="29" t="inlineStr">
        <is>
          <t>Glamour</t>
        </is>
      </c>
      <c r="K117" s="30" t="inlineStr">
        <is>
          <t>Friday · Sunrise</t>
        </is>
      </c>
      <c r="L117" s="29">
        <f>IF(M117="",0,LEN(M117)-LEN(SUBSTITUTE(M117,",",""))+1)</f>
        <v/>
      </c>
      <c r="M117" s="30" t="n"/>
      <c r="N117" s="29" t="n">
        <v>8</v>
      </c>
      <c r="O117" s="30" t="n"/>
      <c r="P117" s="30" t="n"/>
    </row>
    <row r="118" ht="15" customHeight="1" s="18">
      <c r="A118" s="29" t="n">
        <v>71</v>
      </c>
      <c r="B118" s="29" t="inlineStr">
        <is>
          <t>July</t>
        </is>
      </c>
      <c r="C118" s="29" t="inlineStr">
        <is>
          <t>Saturday</t>
        </is>
      </c>
      <c r="D118" s="29" t="inlineStr">
        <is>
          <t>Full Moon (Buck Moon)</t>
        </is>
      </c>
      <c r="E118" s="29" t="inlineStr">
        <is>
          <t>Clear &amp; sunny</t>
        </is>
      </c>
      <c r="F118" s="29" t="inlineStr">
        <is>
          <t>Sunrise</t>
        </is>
      </c>
      <c r="G118" s="29" t="n"/>
      <c r="H118" s="29" t="n">
        <v>17</v>
      </c>
      <c r="I118" s="30" t="inlineStr">
        <is>
          <t>Hearthkeeper's Blessing</t>
        </is>
      </c>
      <c r="J118" s="29" t="inlineStr">
        <is>
          <t>Witch Salt</t>
        </is>
      </c>
      <c r="K118" s="30" t="inlineStr">
        <is>
          <t>Saturday · Full Moon</t>
        </is>
      </c>
      <c r="L118" s="29">
        <f>IF(M118="",0,LEN(M118)-LEN(SUBSTITUTE(M118,",",""))+1)</f>
        <v/>
      </c>
      <c r="M118" s="30" t="n"/>
      <c r="N118" s="29" t="n">
        <v>10</v>
      </c>
      <c r="O118" s="30" t="n"/>
      <c r="P118" s="30" t="inlineStr">
        <is>
          <t>Last chance this year</t>
        </is>
      </c>
    </row>
    <row r="119" ht="15" customHeight="1" s="18">
      <c r="A119" s="29" t="n">
        <v>71</v>
      </c>
      <c r="B119" s="29" t="inlineStr">
        <is>
          <t>July</t>
        </is>
      </c>
      <c r="C119" s="29" t="inlineStr">
        <is>
          <t>Saturday</t>
        </is>
      </c>
      <c r="D119" s="29" t="inlineStr">
        <is>
          <t>Full Moon (Buck Moon)</t>
        </is>
      </c>
      <c r="E119" s="29" t="inlineStr">
        <is>
          <t>Clear &amp; sunny</t>
        </is>
      </c>
      <c r="F119" s="29" t="inlineStr">
        <is>
          <t>Sunrise</t>
        </is>
      </c>
      <c r="G119" s="29" t="n"/>
      <c r="H119" s="29" t="n">
        <v>46</v>
      </c>
      <c r="I119" s="30" t="inlineStr">
        <is>
          <t>The Unshaken Flame</t>
        </is>
      </c>
      <c r="J119" s="29" t="inlineStr">
        <is>
          <t>Balm</t>
        </is>
      </c>
      <c r="K119" s="30" t="inlineStr">
        <is>
          <t>Buck Moon (July full moon)</t>
        </is>
      </c>
      <c r="L119" s="29">
        <f>IF(M119="",0,LEN(M119)-LEN(SUBSTITUTE(M119,",",""))+1)</f>
        <v/>
      </c>
      <c r="M119" s="30" t="inlineStr">
        <is>
          <t>Buck Moon</t>
        </is>
      </c>
      <c r="N119" s="29" t="n">
        <v>6</v>
      </c>
      <c r="O119" s="30" t="n"/>
      <c r="P119" s="30" t="inlineStr">
        <is>
          <t>Last chance this year</t>
        </is>
      </c>
    </row>
    <row r="120" ht="15" customHeight="1" s="18">
      <c r="A120" s="29" t="n">
        <v>72</v>
      </c>
      <c r="B120" s="29" t="inlineStr">
        <is>
          <t>July</t>
        </is>
      </c>
      <c r="C120" s="29" t="inlineStr">
        <is>
          <t>Sunday</t>
        </is>
      </c>
      <c r="D120" s="29" t="inlineStr">
        <is>
          <t>Waning Gibbous</t>
        </is>
      </c>
      <c r="E120" s="29" t="inlineStr">
        <is>
          <t>Rain</t>
        </is>
      </c>
      <c r="F120" s="29" t="inlineStr">
        <is>
          <t>Sunrise</t>
        </is>
      </c>
      <c r="G120" s="29" t="n"/>
      <c r="H120" s="29" t="n">
        <v>230</v>
      </c>
      <c r="I120" s="30" t="inlineStr">
        <is>
          <t>The Sticker Spell</t>
        </is>
      </c>
      <c r="J120" s="29" t="inlineStr">
        <is>
          <t>Witch's Ladder</t>
        </is>
      </c>
      <c r="K120" s="30" t="inlineStr">
        <is>
          <t>Any time</t>
        </is>
      </c>
      <c r="L120" s="29">
        <f>IF(M120="",0,LEN(M120)-LEN(SUBSTITUTE(M120,",",""))+1)</f>
        <v/>
      </c>
      <c r="M120" s="30" t="n"/>
      <c r="N120" s="29" t="n">
        <v>3</v>
      </c>
      <c r="O120" s="30" t="n"/>
      <c r="P120" s="30" t="n"/>
    </row>
    <row r="121" ht="15" customHeight="1" s="18">
      <c r="A121" s="29" t="n">
        <v>73</v>
      </c>
      <c r="B121" s="29" t="inlineStr">
        <is>
          <t>August</t>
        </is>
      </c>
      <c r="C121" s="29" t="inlineStr">
        <is>
          <t>Monday</t>
        </is>
      </c>
      <c r="D121" s="29" t="inlineStr">
        <is>
          <t>Last Quarter</t>
        </is>
      </c>
      <c r="E121" s="29" t="inlineStr">
        <is>
          <t>Clear &amp; sunny</t>
        </is>
      </c>
      <c r="F121" s="29" t="inlineStr">
        <is>
          <t>Sunrise</t>
        </is>
      </c>
      <c r="G121" s="29" t="n"/>
      <c r="H121" s="29" t="n">
        <v>184</v>
      </c>
      <c r="I121" s="30" t="inlineStr">
        <is>
          <t>The Guiltless Garden</t>
        </is>
      </c>
      <c r="J121" s="29" t="inlineStr">
        <is>
          <t>Water</t>
        </is>
      </c>
      <c r="K121" s="30" t="inlineStr">
        <is>
          <t>after Rain</t>
        </is>
      </c>
      <c r="L121" s="29">
        <f>IF(M121="",0,LEN(M121)-LEN(SUBSTITUTE(M121,",",""))+1)</f>
        <v/>
      </c>
      <c r="M121" s="30" t="n"/>
      <c r="N121" s="29" t="n">
        <v>6</v>
      </c>
      <c r="O121" s="30" t="n"/>
      <c r="P121" s="30" t="n"/>
    </row>
    <row r="122" ht="15" customHeight="1" s="18">
      <c r="A122" s="29" t="n">
        <v>74</v>
      </c>
      <c r="B122" s="29" t="inlineStr">
        <is>
          <t>August</t>
        </is>
      </c>
      <c r="C122" s="29" t="inlineStr">
        <is>
          <t>Tuesday</t>
        </is>
      </c>
      <c r="D122" s="29" t="inlineStr">
        <is>
          <t>Waning Crescent</t>
        </is>
      </c>
      <c r="E122" s="29" t="inlineStr">
        <is>
          <t>Clear &amp; sunny</t>
        </is>
      </c>
      <c r="F122" s="29" t="inlineStr">
        <is>
          <t>Sunrise</t>
        </is>
      </c>
      <c r="G122" s="29" t="n"/>
      <c r="H122" s="29" t="n">
        <v>185</v>
      </c>
      <c r="I122" s="30" t="inlineStr">
        <is>
          <t>The Ember Keeper</t>
        </is>
      </c>
      <c r="J122" s="29" t="inlineStr">
        <is>
          <t>Oil</t>
        </is>
      </c>
      <c r="K122" s="30" t="inlineStr">
        <is>
          <t>Tuesday · Waning Moon</t>
        </is>
      </c>
      <c r="L122" s="29">
        <f>IF(M122="",0,LEN(M122)-LEN(SUBSTITUTE(M122,",",""))+1)</f>
        <v/>
      </c>
      <c r="M122" s="30" t="n"/>
      <c r="N122" s="29" t="n">
        <v>8</v>
      </c>
      <c r="O122" s="30" t="n"/>
      <c r="P122" s="30" t="n"/>
    </row>
    <row r="123" ht="15" customHeight="1" s="18">
      <c r="A123" s="29" t="n">
        <v>75</v>
      </c>
      <c r="B123" s="29" t="inlineStr">
        <is>
          <t>August</t>
        </is>
      </c>
      <c r="C123" s="29" t="inlineStr">
        <is>
          <t>Wednesday</t>
        </is>
      </c>
      <c r="D123" s="29" t="inlineStr">
        <is>
          <t>New Moon</t>
        </is>
      </c>
      <c r="E123" s="29" t="inlineStr">
        <is>
          <t>Clear &amp; sunny</t>
        </is>
      </c>
      <c r="F123" s="29" t="inlineStr">
        <is>
          <t>Sunrise</t>
        </is>
      </c>
      <c r="G123" s="29" t="n"/>
      <c r="H123" s="29" t="n">
        <v>228</v>
      </c>
      <c r="I123" s="30" t="inlineStr">
        <is>
          <t>The Accidental Star</t>
        </is>
      </c>
      <c r="J123" s="29" t="inlineStr">
        <is>
          <t>Rune</t>
        </is>
      </c>
      <c r="K123" s="30" t="inlineStr">
        <is>
          <t>Shooting star (rare event)</t>
        </is>
      </c>
      <c r="L123" s="29">
        <f>IF(M123="",0,LEN(M123)-LEN(SUBSTITUTE(M123,",",""))+1)</f>
        <v/>
      </c>
      <c r="M123" s="30" t="inlineStr">
        <is>
          <t>Violet ink, Shooting stars</t>
        </is>
      </c>
      <c r="N123" s="29" t="n">
        <v>2</v>
      </c>
      <c r="O123" s="30" t="n"/>
      <c r="P123" s="30" t="n"/>
    </row>
    <row r="124" ht="15" customHeight="1" s="18">
      <c r="A124" s="29" t="n">
        <v>76</v>
      </c>
      <c r="B124" s="29" t="inlineStr">
        <is>
          <t>August</t>
        </is>
      </c>
      <c r="C124" s="29" t="inlineStr">
        <is>
          <t>Thursday</t>
        </is>
      </c>
      <c r="D124" s="29" t="inlineStr">
        <is>
          <t>Waxing Crescent</t>
        </is>
      </c>
      <c r="E124" s="29" t="inlineStr">
        <is>
          <t>Clear &amp; sunny</t>
        </is>
      </c>
      <c r="F124" s="29" t="inlineStr">
        <is>
          <t>Noon</t>
        </is>
      </c>
      <c r="G124" s="29" t="n"/>
      <c r="H124" s="29" t="n">
        <v>215</v>
      </c>
      <c r="I124" s="30" t="inlineStr">
        <is>
          <t>The Lucky Pixel</t>
        </is>
      </c>
      <c r="J124" s="29" t="inlineStr">
        <is>
          <t>Talisman</t>
        </is>
      </c>
      <c r="K124" s="30" t="inlineStr">
        <is>
          <t>Thursday</t>
        </is>
      </c>
      <c r="L124" s="29">
        <f>IF(M124="",0,LEN(M124)-LEN(SUBSTITUTE(M124,",",""))+1)</f>
        <v/>
      </c>
      <c r="M124" s="30" t="inlineStr">
        <is>
          <t>Square button</t>
        </is>
      </c>
      <c r="N124" s="29" t="n">
        <v>6</v>
      </c>
      <c r="O124" s="30" t="n"/>
      <c r="P124" s="30" t="n"/>
    </row>
    <row r="125" ht="15" customHeight="1" s="18">
      <c r="A125" s="29" t="n">
        <v>77</v>
      </c>
      <c r="B125" s="29" t="inlineStr">
        <is>
          <t>August</t>
        </is>
      </c>
      <c r="C125" s="29" t="inlineStr">
        <is>
          <t>Friday</t>
        </is>
      </c>
      <c r="D125" s="29" t="inlineStr">
        <is>
          <t>First Quarter</t>
        </is>
      </c>
      <c r="E125" s="29" t="inlineStr">
        <is>
          <t>Clear &amp; sunny</t>
        </is>
      </c>
      <c r="F125" s="29" t="inlineStr">
        <is>
          <t>Sunrise</t>
        </is>
      </c>
      <c r="G125" s="29" t="n"/>
      <c r="H125" s="29" t="n">
        <v>233</v>
      </c>
      <c r="I125" s="30" t="inlineStr">
        <is>
          <t>The Casual Enchantment</t>
        </is>
      </c>
      <c r="J125" s="29" t="inlineStr">
        <is>
          <t>Glamour</t>
        </is>
      </c>
      <c r="K125" s="30" t="inlineStr">
        <is>
          <t>Any time</t>
        </is>
      </c>
      <c r="L125" s="29">
        <f>IF(M125="",0,LEN(M125)-LEN(SUBSTITUTE(M125,",",""))+1)</f>
        <v/>
      </c>
      <c r="M125" s="30" t="n"/>
      <c r="N125" s="29" t="n">
        <v>3</v>
      </c>
      <c r="O125" s="30" t="n"/>
      <c r="P125" s="30" t="n"/>
    </row>
    <row r="126" ht="15" customHeight="1" s="18">
      <c r="A126" s="29" t="n">
        <v>78</v>
      </c>
      <c r="B126" s="29" t="inlineStr">
        <is>
          <t>August</t>
        </is>
      </c>
      <c r="C126" s="29" t="inlineStr">
        <is>
          <t>Saturday</t>
        </is>
      </c>
      <c r="D126" s="29" t="inlineStr">
        <is>
          <t>Waxing Gibbous</t>
        </is>
      </c>
      <c r="E126" s="29" t="inlineStr">
        <is>
          <t>Thunderstorm</t>
        </is>
      </c>
      <c r="F126" s="29" t="inlineStr">
        <is>
          <t>Sunrise</t>
        </is>
      </c>
      <c r="G126" s="29" t="n"/>
      <c r="H126" s="29" t="n">
        <v>186</v>
      </c>
      <c r="I126" s="30" t="inlineStr">
        <is>
          <t>The Unapologetic Gate</t>
        </is>
      </c>
      <c r="J126" s="29" t="inlineStr">
        <is>
          <t>Sigil</t>
        </is>
      </c>
      <c r="K126" s="30" t="inlineStr">
        <is>
          <t>Saturday</t>
        </is>
      </c>
      <c r="L126" s="29">
        <f>IF(M126="",0,LEN(M126)-LEN(SUBSTITUTE(M126,",",""))+1)</f>
        <v/>
      </c>
      <c r="M126" s="30" t="inlineStr">
        <is>
          <t>Red ink</t>
        </is>
      </c>
      <c r="N126" s="29" t="n">
        <v>4</v>
      </c>
      <c r="O126" s="30" t="n"/>
      <c r="P126" s="30" t="n"/>
    </row>
    <row r="127" ht="15" customHeight="1" s="18">
      <c r="A127" s="29" t="n">
        <v>79</v>
      </c>
      <c r="B127" s="29" t="inlineStr">
        <is>
          <t>August</t>
        </is>
      </c>
      <c r="C127" s="29" t="inlineStr">
        <is>
          <t>Sunday</t>
        </is>
      </c>
      <c r="D127" s="29" t="inlineStr">
        <is>
          <t>Full Moon (Sturgeon Moon)</t>
        </is>
      </c>
      <c r="E127" s="29" t="inlineStr">
        <is>
          <t>Clear &amp; sunny</t>
        </is>
      </c>
      <c r="F127" s="29" t="inlineStr">
        <is>
          <t>Sunrise</t>
        </is>
      </c>
      <c r="G127" s="29" t="n"/>
      <c r="H127" s="29" t="n">
        <v>83</v>
      </c>
      <c r="I127" s="30" t="inlineStr">
        <is>
          <t>The Gallery of Becoming</t>
        </is>
      </c>
      <c r="J127" s="29" t="inlineStr">
        <is>
          <t>Sigil</t>
        </is>
      </c>
      <c r="K127" s="30" t="inlineStr">
        <is>
          <t>Sunday · Full Moon</t>
        </is>
      </c>
      <c r="L127" s="29">
        <f>IF(M127="",0,LEN(M127)-LEN(SUBSTITUTE(M127,",",""))+1)</f>
        <v/>
      </c>
      <c r="M127" s="30" t="n"/>
      <c r="N127" s="29" t="n">
        <v>7</v>
      </c>
      <c r="O127" s="30" t="n"/>
      <c r="P127" s="30" t="inlineStr">
        <is>
          <t>Last chance this year</t>
        </is>
      </c>
    </row>
    <row r="128" ht="23.25" customHeight="1" s="18">
      <c r="A128" s="29" t="n">
        <v>79</v>
      </c>
      <c r="B128" s="29" t="inlineStr">
        <is>
          <t>August</t>
        </is>
      </c>
      <c r="C128" s="29" t="inlineStr">
        <is>
          <t>Sunday</t>
        </is>
      </c>
      <c r="D128" s="29" t="inlineStr">
        <is>
          <t>Full Moon (Sturgeon Moon)</t>
        </is>
      </c>
      <c r="E128" s="29" t="inlineStr">
        <is>
          <t>Clear &amp; sunny</t>
        </is>
      </c>
      <c r="F128" s="29" t="inlineStr">
        <is>
          <t>Sunrise</t>
        </is>
      </c>
      <c r="G128" s="29" t="n"/>
      <c r="H128" s="29" t="n">
        <v>141</v>
      </c>
      <c r="I128" s="30" t="inlineStr">
        <is>
          <t>Orbit of Becoming</t>
        </is>
      </c>
      <c r="J128" s="29" t="inlineStr">
        <is>
          <t>Poppet</t>
        </is>
      </c>
      <c r="K128" s="30" t="inlineStr">
        <is>
          <t>Sturgeon Moon (August full moon)</t>
        </is>
      </c>
      <c r="L128" s="29">
        <f>IF(M128="",0,LEN(M128)-LEN(SUBSTITUTE(M128,",",""))+1)</f>
        <v/>
      </c>
      <c r="M128" s="30" t="inlineStr">
        <is>
          <t>Sturgeon Moon</t>
        </is>
      </c>
      <c r="N128" s="29" t="n">
        <v>4</v>
      </c>
      <c r="O128" s="30" t="n"/>
      <c r="P128" s="30" t="inlineStr">
        <is>
          <t>Last chance this year</t>
        </is>
      </c>
    </row>
    <row r="129" ht="15" customHeight="1" s="18">
      <c r="A129" s="29" t="n">
        <v>80</v>
      </c>
      <c r="B129" s="29" t="inlineStr">
        <is>
          <t>August</t>
        </is>
      </c>
      <c r="C129" s="29" t="inlineStr">
        <is>
          <t>Monday</t>
        </is>
      </c>
      <c r="D129" s="29" t="inlineStr">
        <is>
          <t>Waning Gibbous</t>
        </is>
      </c>
      <c r="E129" s="29" t="inlineStr">
        <is>
          <t>Rain</t>
        </is>
      </c>
      <c r="F129" s="29" t="inlineStr">
        <is>
          <t>Noon</t>
        </is>
      </c>
      <c r="G129" s="29" t="n"/>
      <c r="H129" s="29" t="n">
        <v>239</v>
      </c>
      <c r="I129" s="30" t="inlineStr">
        <is>
          <t>The Keepsake Minute</t>
        </is>
      </c>
      <c r="J129" s="29" t="inlineStr">
        <is>
          <t>Water</t>
        </is>
      </c>
      <c r="K129" s="30" t="inlineStr">
        <is>
          <t>Any time</t>
        </is>
      </c>
      <c r="L129" s="29">
        <f>IF(M129="",0,LEN(M129)-LEN(SUBSTITUTE(M129,",",""))+1)</f>
        <v/>
      </c>
      <c r="M129" s="30" t="inlineStr">
        <is>
          <t>Web Dew</t>
        </is>
      </c>
      <c r="N129" s="29" t="n">
        <v>3</v>
      </c>
      <c r="O129" s="30" t="inlineStr">
        <is>
          <t>Goldie #2</t>
        </is>
      </c>
      <c r="P129" s="30" t="n"/>
    </row>
    <row r="130" ht="15" customHeight="1" s="18">
      <c r="A130" s="29" t="n">
        <v>81</v>
      </c>
      <c r="B130" s="29" t="inlineStr">
        <is>
          <t>September</t>
        </is>
      </c>
      <c r="C130" s="29" t="inlineStr">
        <is>
          <t>Tuesday</t>
        </is>
      </c>
      <c r="D130" s="29" t="inlineStr">
        <is>
          <t>Last Quarter</t>
        </is>
      </c>
      <c r="E130" s="29" t="inlineStr">
        <is>
          <t>Clear &amp; sunny</t>
        </is>
      </c>
      <c r="F130" s="29" t="inlineStr">
        <is>
          <t>Sunrise</t>
        </is>
      </c>
      <c r="G130" s="29" t="n"/>
      <c r="H130" s="29" t="n">
        <v>237</v>
      </c>
      <c r="I130" s="30" t="inlineStr">
        <is>
          <t>The Side-Quest Spark</t>
        </is>
      </c>
      <c r="J130" s="29" t="inlineStr">
        <is>
          <t>Wand</t>
        </is>
      </c>
      <c r="K130" s="30" t="inlineStr">
        <is>
          <t>Any time</t>
        </is>
      </c>
      <c r="L130" s="29">
        <f>IF(M130="",0,LEN(M130)-LEN(SUBSTITUTE(M130,",",""))+1)</f>
        <v/>
      </c>
      <c r="M130" s="30" t="n"/>
      <c r="N130" s="29" t="n">
        <v>3</v>
      </c>
      <c r="O130" s="30" t="n"/>
      <c r="P130" s="30" t="n"/>
    </row>
    <row r="131" ht="15" customHeight="1" s="18">
      <c r="A131" s="29" t="n">
        <v>82</v>
      </c>
      <c r="B131" s="29" t="inlineStr">
        <is>
          <t>September</t>
        </is>
      </c>
      <c r="C131" s="29" t="inlineStr">
        <is>
          <t>Wednesday</t>
        </is>
      </c>
      <c r="D131" s="29" t="inlineStr">
        <is>
          <t>Waning Crescent</t>
        </is>
      </c>
      <c r="E131" s="29" t="inlineStr">
        <is>
          <t>Fog / Mist</t>
        </is>
      </c>
      <c r="F131" s="29" t="inlineStr">
        <is>
          <t>Sunrise</t>
        </is>
      </c>
      <c r="G131" s="29" t="n"/>
      <c r="H131" s="29" t="n">
        <v>191</v>
      </c>
      <c r="I131" s="30" t="inlineStr">
        <is>
          <t>The Forgotten Room</t>
        </is>
      </c>
      <c r="J131" s="29" t="inlineStr">
        <is>
          <t>Sachet</t>
        </is>
      </c>
      <c r="K131" s="30" t="inlineStr">
        <is>
          <t>Fog / Mist</t>
        </is>
      </c>
      <c r="L131" s="29">
        <f>IF(M131="",0,LEN(M131)-LEN(SUBSTITUTE(M131,",",""))+1)</f>
        <v/>
      </c>
      <c r="M131" s="30" t="inlineStr">
        <is>
          <t>Locket</t>
        </is>
      </c>
      <c r="N131" s="29" t="n">
        <v>5</v>
      </c>
      <c r="O131" s="30" t="n"/>
      <c r="P131" s="30" t="n"/>
    </row>
    <row r="132" ht="15" customHeight="1" s="18">
      <c r="A132" s="29" t="n">
        <v>83</v>
      </c>
      <c r="B132" s="29" t="inlineStr">
        <is>
          <t>September</t>
        </is>
      </c>
      <c r="C132" s="29" t="inlineStr">
        <is>
          <t>Thursday</t>
        </is>
      </c>
      <c r="D132" s="29" t="inlineStr">
        <is>
          <t>New Moon</t>
        </is>
      </c>
      <c r="E132" s="29" t="inlineStr">
        <is>
          <t>Clear &amp; sunny</t>
        </is>
      </c>
      <c r="F132" s="29" t="inlineStr">
        <is>
          <t>Sunrise</t>
        </is>
      </c>
      <c r="G132" s="29" t="n"/>
      <c r="H132" s="29" t="n">
        <v>119</v>
      </c>
      <c r="I132" s="30" t="inlineStr">
        <is>
          <t>The Thousandth Version</t>
        </is>
      </c>
      <c r="J132" s="29" t="inlineStr">
        <is>
          <t>Glamour</t>
        </is>
      </c>
      <c r="K132" s="30" t="inlineStr">
        <is>
          <t>New Moon</t>
        </is>
      </c>
      <c r="L132" s="29">
        <f>IF(M132="",0,LEN(M132)-LEN(SUBSTITUTE(M132,",",""))+1)</f>
        <v/>
      </c>
      <c r="M132" s="30" t="n"/>
      <c r="N132" s="29" t="n">
        <v>7</v>
      </c>
      <c r="O132" s="30" t="n"/>
      <c r="P132" s="30" t="n"/>
    </row>
    <row r="133" ht="15" customHeight="1" s="18">
      <c r="A133" s="29" t="n">
        <v>85</v>
      </c>
      <c r="B133" s="29" t="inlineStr">
        <is>
          <t>September</t>
        </is>
      </c>
      <c r="C133" s="29" t="inlineStr">
        <is>
          <t>Saturday</t>
        </is>
      </c>
      <c r="D133" s="29" t="inlineStr">
        <is>
          <t>First Quarter</t>
        </is>
      </c>
      <c r="E133" s="29" t="inlineStr">
        <is>
          <t>Clear &amp; sunny</t>
        </is>
      </c>
      <c r="F133" s="29" t="inlineStr">
        <is>
          <t>Sunrise</t>
        </is>
      </c>
      <c r="G133" s="29" t="n"/>
      <c r="H133" s="29" t="n">
        <v>101</v>
      </c>
      <c r="I133" s="30" t="inlineStr">
        <is>
          <t>The Golden Ordinary</t>
        </is>
      </c>
      <c r="J133" s="29" t="inlineStr">
        <is>
          <t>Potion</t>
        </is>
      </c>
      <c r="K133" s="30" t="inlineStr">
        <is>
          <t>Mabon</t>
        </is>
      </c>
      <c r="L133" s="29">
        <f>IF(M133="",0,LEN(M133)-LEN(SUBSTITUTE(M133,",",""))+1)</f>
        <v/>
      </c>
      <c r="M133" s="30" t="inlineStr">
        <is>
          <t>Mabon</t>
        </is>
      </c>
      <c r="N133" s="29" t="n">
        <v>8</v>
      </c>
      <c r="O133" s="30" t="inlineStr">
        <is>
          <t>Edmund #71</t>
        </is>
      </c>
      <c r="P133" s="30" t="n"/>
    </row>
    <row r="134" ht="15" customHeight="1" s="18">
      <c r="A134" s="29" t="n">
        <v>87</v>
      </c>
      <c r="B134" s="29" t="inlineStr">
        <is>
          <t>September</t>
        </is>
      </c>
      <c r="C134" s="29" t="inlineStr">
        <is>
          <t>Monday</t>
        </is>
      </c>
      <c r="D134" s="29" t="inlineStr">
        <is>
          <t>Full Moon (Harvest Moon)</t>
        </is>
      </c>
      <c r="E134" s="29" t="inlineStr">
        <is>
          <t>Clear &amp; sunny</t>
        </is>
      </c>
      <c r="F134" s="29" t="inlineStr">
        <is>
          <t>Sunrise</t>
        </is>
      </c>
      <c r="G134" s="29" t="n"/>
      <c r="H134" s="29" t="n">
        <v>3</v>
      </c>
      <c r="I134" s="30" t="inlineStr">
        <is>
          <t>Two Hearts, One Hearth</t>
        </is>
      </c>
      <c r="J134" s="29" t="inlineStr">
        <is>
          <t>Spell Bottle</t>
        </is>
      </c>
      <c r="K134" s="30" t="inlineStr">
        <is>
          <t>Monday · Full Moon</t>
        </is>
      </c>
      <c r="L134" s="29">
        <f>IF(M134="",0,LEN(M134)-LEN(SUBSTITUTE(M134,",",""))+1)</f>
        <v/>
      </c>
      <c r="M134" s="30" t="inlineStr">
        <is>
          <t>Apple, Cedar chips</t>
        </is>
      </c>
      <c r="N134" s="29" t="n">
        <v>9</v>
      </c>
      <c r="O134" s="30" t="n"/>
      <c r="P134" s="30" t="inlineStr">
        <is>
          <t>Last chance this year</t>
        </is>
      </c>
    </row>
    <row r="135" ht="23.25" customHeight="1" s="18">
      <c r="A135" s="29" t="n">
        <v>87</v>
      </c>
      <c r="B135" s="29" t="inlineStr">
        <is>
          <t>September</t>
        </is>
      </c>
      <c r="C135" s="29" t="inlineStr">
        <is>
          <t>Monday</t>
        </is>
      </c>
      <c r="D135" s="29" t="inlineStr">
        <is>
          <t>Full Moon (Harvest Moon)</t>
        </is>
      </c>
      <c r="E135" s="29" t="inlineStr">
        <is>
          <t>Clear &amp; sunny</t>
        </is>
      </c>
      <c r="F135" s="29" t="inlineStr">
        <is>
          <t>Sunrise</t>
        </is>
      </c>
      <c r="G135" s="29" t="n"/>
      <c r="H135" s="29" t="n">
        <v>40</v>
      </c>
      <c r="I135" s="30" t="inlineStr">
        <is>
          <t>The Giving Star</t>
        </is>
      </c>
      <c r="J135" s="29" t="inlineStr">
        <is>
          <t>Charm</t>
        </is>
      </c>
      <c r="K135" s="30" t="inlineStr">
        <is>
          <t>Harvest Moon (September full moon)</t>
        </is>
      </c>
      <c r="L135" s="29">
        <f>IF(M135="",0,LEN(M135)-LEN(SUBSTITUTE(M135,",",""))+1)</f>
        <v/>
      </c>
      <c r="M135" s="30" t="inlineStr">
        <is>
          <t>Harvest Moon</t>
        </is>
      </c>
      <c r="N135" s="29" t="n">
        <v>7</v>
      </c>
      <c r="O135" s="30" t="n"/>
      <c r="P135" s="30" t="inlineStr">
        <is>
          <t>Last chance this year</t>
        </is>
      </c>
    </row>
    <row r="136" ht="15" customHeight="1" s="18">
      <c r="A136" s="29" t="n">
        <v>87</v>
      </c>
      <c r="B136" s="29" t="inlineStr">
        <is>
          <t>September</t>
        </is>
      </c>
      <c r="C136" s="29" t="inlineStr">
        <is>
          <t>Monday</t>
        </is>
      </c>
      <c r="D136" s="29" t="inlineStr">
        <is>
          <t>Full Moon (Harvest Moon)</t>
        </is>
      </c>
      <c r="E136" s="29" t="inlineStr">
        <is>
          <t>Clear &amp; sunny</t>
        </is>
      </c>
      <c r="F136" s="29" t="inlineStr">
        <is>
          <t>Sunrise</t>
        </is>
      </c>
      <c r="G136" s="29" t="n"/>
      <c r="H136" s="29" t="n">
        <v>112</v>
      </c>
      <c r="I136" s="30" t="inlineStr">
        <is>
          <t>Ink Beneath the Moon</t>
        </is>
      </c>
      <c r="J136" s="29" t="inlineStr">
        <is>
          <t>Wand</t>
        </is>
      </c>
      <c r="K136" s="30" t="inlineStr">
        <is>
          <t>Monday · Full Moon</t>
        </is>
      </c>
      <c r="L136" s="29">
        <f>IF(M136="",0,LEN(M136)-LEN(SUBSTITUTE(M136,",",""))+1)</f>
        <v/>
      </c>
      <c r="M136" s="30" t="inlineStr">
        <is>
          <t>Quill</t>
        </is>
      </c>
      <c r="N136" s="29" t="n">
        <v>7</v>
      </c>
      <c r="O136" s="30" t="n"/>
      <c r="P136" s="30" t="inlineStr">
        <is>
          <t>Last chance this year</t>
        </is>
      </c>
    </row>
    <row r="137" ht="15" customHeight="1" s="18">
      <c r="A137" s="29" t="n">
        <v>87</v>
      </c>
      <c r="B137" s="29" t="inlineStr">
        <is>
          <t>September</t>
        </is>
      </c>
      <c r="C137" s="29" t="inlineStr">
        <is>
          <t>Monday</t>
        </is>
      </c>
      <c r="D137" s="29" t="inlineStr">
        <is>
          <t>Full Moon (Harvest Moon)</t>
        </is>
      </c>
      <c r="E137" s="29" t="inlineStr">
        <is>
          <t>Clear &amp; sunny</t>
        </is>
      </c>
      <c r="F137" s="29" t="inlineStr">
        <is>
          <t>Nightfall</t>
        </is>
      </c>
      <c r="G137" s="29" t="inlineStr">
        <is>
          <t>Yes</t>
        </is>
      </c>
      <c r="H137" s="29" t="n">
        <v>115</v>
      </c>
      <c r="I137" s="30" t="inlineStr">
        <is>
          <t>The Silver Sleepgate</t>
        </is>
      </c>
      <c r="J137" s="29" t="inlineStr">
        <is>
          <t>Spell Bottle</t>
        </is>
      </c>
      <c r="K137" s="30" t="inlineStr">
        <is>
          <t>Monday · Full Moon · Nightfall</t>
        </is>
      </c>
      <c r="L137" s="29">
        <f>IF(M137="",0,LEN(M137)-LEN(SUBSTITUTE(M137,",",""))+1)</f>
        <v/>
      </c>
      <c r="M137" s="30" t="n"/>
      <c r="N137" s="29" t="n">
        <v>11</v>
      </c>
      <c r="O137" s="30" t="n"/>
      <c r="P137" s="30" t="inlineStr">
        <is>
          <t>Last chance this year</t>
        </is>
      </c>
    </row>
    <row r="138" ht="15" customHeight="1" s="18">
      <c r="A138" s="29" t="n">
        <v>89</v>
      </c>
      <c r="B138" s="29" t="inlineStr">
        <is>
          <t>October</t>
        </is>
      </c>
      <c r="C138" s="29" t="inlineStr">
        <is>
          <t>Wednesday</t>
        </is>
      </c>
      <c r="D138" s="29" t="inlineStr">
        <is>
          <t>Last Quarter</t>
        </is>
      </c>
      <c r="E138" s="29" t="inlineStr">
        <is>
          <t>Rain</t>
        </is>
      </c>
      <c r="F138" s="29" t="inlineStr">
        <is>
          <t>Sunrise</t>
        </is>
      </c>
      <c r="G138" s="29" t="n"/>
      <c r="H138" s="29" t="n">
        <v>204</v>
      </c>
      <c r="I138" s="30" t="inlineStr">
        <is>
          <t>The Velvet Truth</t>
        </is>
      </c>
      <c r="J138" s="29" t="inlineStr">
        <is>
          <t>Hand Mirror</t>
        </is>
      </c>
      <c r="K138" s="30" t="inlineStr">
        <is>
          <t>Wednesday</t>
        </is>
      </c>
      <c r="L138" s="29">
        <f>IF(M138="",0,LEN(M138)-LEN(SUBSTITUTE(M138,",",""))+1)</f>
        <v/>
      </c>
      <c r="M138" s="30" t="n"/>
      <c r="N138" s="29" t="n">
        <v>5</v>
      </c>
      <c r="O138" s="30" t="n"/>
      <c r="P138" s="30" t="n"/>
    </row>
    <row r="139" ht="15" customHeight="1" s="18">
      <c r="A139" s="29" t="n">
        <v>91</v>
      </c>
      <c r="B139" s="29" t="inlineStr">
        <is>
          <t>October</t>
        </is>
      </c>
      <c r="C139" s="29" t="inlineStr">
        <is>
          <t>Friday</t>
        </is>
      </c>
      <c r="D139" s="29" t="inlineStr">
        <is>
          <t>New Moon</t>
        </is>
      </c>
      <c r="E139" s="29" t="inlineStr">
        <is>
          <t>Rain</t>
        </is>
      </c>
      <c r="F139" s="29" t="inlineStr">
        <is>
          <t>Nightfall</t>
        </is>
      </c>
      <c r="G139" s="29" t="inlineStr">
        <is>
          <t>Yes</t>
        </is>
      </c>
      <c r="H139" s="29" t="n">
        <v>120</v>
      </c>
      <c r="I139" s="30" t="inlineStr">
        <is>
          <t>The Mirror Below</t>
        </is>
      </c>
      <c r="J139" s="29" t="inlineStr">
        <is>
          <t>Hand Mirror</t>
        </is>
      </c>
      <c r="K139" s="30" t="inlineStr">
        <is>
          <t>Dark Moon · Nightfall</t>
        </is>
      </c>
      <c r="L139" s="29">
        <f>IF(M139="",0,LEN(M139)-LEN(SUBSTITUTE(M139,",",""))+1)</f>
        <v/>
      </c>
      <c r="M139" s="30" t="n"/>
      <c r="N139" s="29" t="n">
        <v>7</v>
      </c>
      <c r="O139" s="30" t="n"/>
      <c r="P139" s="30" t="n"/>
    </row>
    <row r="140" ht="15" customHeight="1" s="18">
      <c r="A140" s="29" t="n">
        <v>91</v>
      </c>
      <c r="B140" s="29" t="inlineStr">
        <is>
          <t>October</t>
        </is>
      </c>
      <c r="C140" s="29" t="inlineStr">
        <is>
          <t>Friday</t>
        </is>
      </c>
      <c r="D140" s="29" t="inlineStr">
        <is>
          <t>New Moon</t>
        </is>
      </c>
      <c r="E140" s="29" t="inlineStr">
        <is>
          <t>Rain</t>
        </is>
      </c>
      <c r="F140" s="29" t="inlineStr">
        <is>
          <t>Sunrise</t>
        </is>
      </c>
      <c r="G140" s="29" t="n"/>
      <c r="H140" s="29" t="n">
        <v>121</v>
      </c>
      <c r="I140" s="30" t="inlineStr">
        <is>
          <t>The First Crescent</t>
        </is>
      </c>
      <c r="J140" s="29" t="inlineStr">
        <is>
          <t>Sigil</t>
        </is>
      </c>
      <c r="K140" s="30" t="inlineStr">
        <is>
          <t>New Moon</t>
        </is>
      </c>
      <c r="L140" s="29">
        <f>IF(M140="",0,LEN(M140)-LEN(SUBSTITUTE(M140,",",""))+1)</f>
        <v/>
      </c>
      <c r="M140" s="30" t="n"/>
      <c r="N140" s="29" t="n">
        <v>7</v>
      </c>
      <c r="O140" s="30" t="n"/>
      <c r="P140" s="30" t="n"/>
    </row>
    <row r="141" ht="15" customHeight="1" s="18">
      <c r="A141" s="29" t="n">
        <v>92</v>
      </c>
      <c r="B141" s="29" t="inlineStr">
        <is>
          <t>October</t>
        </is>
      </c>
      <c r="C141" s="29" t="inlineStr">
        <is>
          <t>Saturday</t>
        </is>
      </c>
      <c r="D141" s="29" t="inlineStr">
        <is>
          <t>Waxing Crescent</t>
        </is>
      </c>
      <c r="E141" s="29" t="inlineStr">
        <is>
          <t>Cloudy</t>
        </is>
      </c>
      <c r="F141" s="29" t="inlineStr">
        <is>
          <t>Sunrise</t>
        </is>
      </c>
      <c r="G141" s="29" t="n"/>
      <c r="H141" s="29" t="n">
        <v>24</v>
      </c>
      <c r="I141" s="30" t="inlineStr">
        <is>
          <t>Rooted in Iron</t>
        </is>
      </c>
      <c r="J141" s="29" t="inlineStr">
        <is>
          <t>Rune</t>
        </is>
      </c>
      <c r="K141" s="30" t="inlineStr">
        <is>
          <t>Saturday · after Rain</t>
        </is>
      </c>
      <c r="L141" s="29">
        <f>IF(M141="",0,LEN(M141)-LEN(SUBSTITUTE(M141,",",""))+1)</f>
        <v/>
      </c>
      <c r="M141" s="30" t="inlineStr">
        <is>
          <t>Iron filings</t>
        </is>
      </c>
      <c r="N141" s="29" t="n">
        <v>9</v>
      </c>
      <c r="O141" s="30" t="n"/>
      <c r="P141" s="30" t="inlineStr">
        <is>
          <t>Last chance this year</t>
        </is>
      </c>
    </row>
    <row r="142" ht="15" customHeight="1" s="18">
      <c r="A142" s="29" t="n">
        <v>95</v>
      </c>
      <c r="B142" s="29" t="inlineStr">
        <is>
          <t>October</t>
        </is>
      </c>
      <c r="C142" s="29" t="inlineStr">
        <is>
          <t>Tuesday</t>
        </is>
      </c>
      <c r="D142" s="29" t="inlineStr">
        <is>
          <t>Full Moon (Hunter's Moon)</t>
        </is>
      </c>
      <c r="E142" s="29" t="inlineStr">
        <is>
          <t>Clear &amp; sunny</t>
        </is>
      </c>
      <c r="F142" s="29" t="inlineStr">
        <is>
          <t>Nightfall</t>
        </is>
      </c>
      <c r="G142" s="29" t="inlineStr">
        <is>
          <t>Yes</t>
        </is>
      </c>
      <c r="H142" s="29" t="n">
        <v>15</v>
      </c>
      <c r="I142" s="30" t="inlineStr">
        <is>
          <t>Beloved by Starlight</t>
        </is>
      </c>
      <c r="J142" s="29" t="inlineStr">
        <is>
          <t>Sigil</t>
        </is>
      </c>
      <c r="K142" s="30" t="inlineStr">
        <is>
          <t>Clear starry night · Full Moon</t>
        </is>
      </c>
      <c r="L142" s="29">
        <f>IF(M142="",0,LEN(M142)-LEN(SUBSTITUTE(M142,",",""))+1)</f>
        <v/>
      </c>
      <c r="M142" s="30" t="n"/>
      <c r="N142" s="29" t="n">
        <v>8</v>
      </c>
      <c r="O142" s="30" t="n"/>
      <c r="P142" s="30" t="inlineStr">
        <is>
          <t>Last chance this year</t>
        </is>
      </c>
    </row>
    <row r="143" ht="15" customHeight="1" s="18">
      <c r="A143" s="29" t="n">
        <v>95</v>
      </c>
      <c r="B143" s="29" t="inlineStr">
        <is>
          <t>October</t>
        </is>
      </c>
      <c r="C143" s="29" t="inlineStr">
        <is>
          <t>Tuesday</t>
        </is>
      </c>
      <c r="D143" s="29" t="inlineStr">
        <is>
          <t>Full Moon (Hunter's Moon)</t>
        </is>
      </c>
      <c r="E143" s="29" t="inlineStr">
        <is>
          <t>Clear &amp; sunny</t>
        </is>
      </c>
      <c r="F143" s="29" t="inlineStr">
        <is>
          <t>Sunrise</t>
        </is>
      </c>
      <c r="G143" s="29" t="n"/>
      <c r="H143" s="29" t="n">
        <v>27</v>
      </c>
      <c r="I143" s="30" t="inlineStr">
        <is>
          <t>The Silver Cocoon</t>
        </is>
      </c>
      <c r="J143" s="29" t="inlineStr">
        <is>
          <t>Soap</t>
        </is>
      </c>
      <c r="K143" s="30" t="inlineStr">
        <is>
          <t>Full Moon</t>
        </is>
      </c>
      <c r="L143" s="29">
        <f>IF(M143="",0,LEN(M143)-LEN(SUBSTITUTE(M143,",",""))+1)</f>
        <v/>
      </c>
      <c r="M143" s="30" t="n"/>
      <c r="N143" s="29" t="n">
        <v>8</v>
      </c>
      <c r="O143" s="30" t="n"/>
      <c r="P143" s="30" t="inlineStr">
        <is>
          <t>Last chance this year</t>
        </is>
      </c>
    </row>
    <row r="144" ht="15" customHeight="1" s="18">
      <c r="A144" s="29" t="n">
        <v>95</v>
      </c>
      <c r="B144" s="29" t="inlineStr">
        <is>
          <t>October</t>
        </is>
      </c>
      <c r="C144" s="29" t="inlineStr">
        <is>
          <t>Tuesday</t>
        </is>
      </c>
      <c r="D144" s="29" t="inlineStr">
        <is>
          <t>Full Moon (Hunter's Moon)</t>
        </is>
      </c>
      <c r="E144" s="29" t="inlineStr">
        <is>
          <t>Clear &amp; sunny</t>
        </is>
      </c>
      <c r="F144" s="29" t="inlineStr">
        <is>
          <t>Nightfall</t>
        </is>
      </c>
      <c r="G144" s="29" t="inlineStr">
        <is>
          <t>Yes</t>
        </is>
      </c>
      <c r="H144" s="29" t="n">
        <v>63</v>
      </c>
      <c r="I144" s="30" t="inlineStr">
        <is>
          <t>Constellation Calling</t>
        </is>
      </c>
      <c r="J144" s="29" t="inlineStr">
        <is>
          <t>Spell Bottle</t>
        </is>
      </c>
      <c r="K144" s="30" t="inlineStr">
        <is>
          <t>Clear starry night · Full Moon</t>
        </is>
      </c>
      <c r="L144" s="29">
        <f>IF(M144="",0,LEN(M144)-LEN(SUBSTITUTE(M144,",",""))+1)</f>
        <v/>
      </c>
      <c r="M144" s="30" t="n"/>
      <c r="N144" s="29" t="n">
        <v>9</v>
      </c>
      <c r="O144" s="30" t="n"/>
      <c r="P144" s="30" t="inlineStr">
        <is>
          <t>Last chance this year</t>
        </is>
      </c>
    </row>
    <row r="145" ht="15" customHeight="1" s="18">
      <c r="A145" s="29" t="n">
        <v>95</v>
      </c>
      <c r="B145" s="29" t="inlineStr">
        <is>
          <t>October</t>
        </is>
      </c>
      <c r="C145" s="29" t="inlineStr">
        <is>
          <t>Tuesday</t>
        </is>
      </c>
      <c r="D145" s="29" t="inlineStr">
        <is>
          <t>Full Moon (Hunter's Moon)</t>
        </is>
      </c>
      <c r="E145" s="29" t="inlineStr">
        <is>
          <t>Clear &amp; sunny</t>
        </is>
      </c>
      <c r="F145" s="29" t="inlineStr">
        <is>
          <t>Nightfall</t>
        </is>
      </c>
      <c r="G145" s="29" t="inlineStr">
        <is>
          <t>Yes</t>
        </is>
      </c>
      <c r="H145" s="29" t="n">
        <v>142</v>
      </c>
      <c r="I145" s="30" t="inlineStr">
        <is>
          <t>Velvet Firmament</t>
        </is>
      </c>
      <c r="J145" s="29" t="inlineStr">
        <is>
          <t>Soap</t>
        </is>
      </c>
      <c r="K145" s="30" t="inlineStr">
        <is>
          <t>Full Moon · Clear starry night</t>
        </is>
      </c>
      <c r="L145" s="29">
        <f>IF(M145="",0,LEN(M145)-LEN(SUBSTITUTE(M145,",",""))+1)</f>
        <v/>
      </c>
      <c r="M145" s="30" t="n"/>
      <c r="N145" s="29" t="n">
        <v>5</v>
      </c>
      <c r="O145" s="30" t="n"/>
      <c r="P145" s="30" t="inlineStr">
        <is>
          <t>Last chance this year</t>
        </is>
      </c>
    </row>
    <row r="146" ht="15" customHeight="1" s="18">
      <c r="A146" s="29" t="n">
        <v>96</v>
      </c>
      <c r="B146" s="29" t="inlineStr">
        <is>
          <t>October</t>
        </is>
      </c>
      <c r="C146" s="29" t="inlineStr">
        <is>
          <t>Wednesday</t>
        </is>
      </c>
      <c r="D146" s="29" t="inlineStr">
        <is>
          <t>Waning Gibbous</t>
        </is>
      </c>
      <c r="E146" s="29" t="inlineStr">
        <is>
          <t>Fog / Mist</t>
        </is>
      </c>
      <c r="F146" s="29" t="inlineStr">
        <is>
          <t>Noon</t>
        </is>
      </c>
      <c r="G146" s="29" t="n"/>
      <c r="H146" s="29" t="n">
        <v>213</v>
      </c>
      <c r="I146" s="30" t="inlineStr">
        <is>
          <t>The Lost-and-Found Familiar</t>
        </is>
      </c>
      <c r="J146" s="29" t="inlineStr">
        <is>
          <t>Wand</t>
        </is>
      </c>
      <c r="K146" s="30" t="inlineStr">
        <is>
          <t>Wednesday</t>
        </is>
      </c>
      <c r="L146" s="29">
        <f>IF(M146="",0,LEN(M146)-LEN(SUBSTITUTE(M146,",",""))+1)</f>
        <v/>
      </c>
      <c r="M146" s="30" t="n"/>
      <c r="N146" s="29" t="n">
        <v>5</v>
      </c>
      <c r="O146" s="30" t="n"/>
      <c r="P146" s="30" t="inlineStr">
        <is>
          <t>Last chance this year</t>
        </is>
      </c>
    </row>
    <row r="147" ht="15" customHeight="1" s="18">
      <c r="A147" s="29" t="n">
        <v>96</v>
      </c>
      <c r="B147" s="29" t="inlineStr">
        <is>
          <t>October</t>
        </is>
      </c>
      <c r="C147" s="29" t="inlineStr">
        <is>
          <t>Wednesday</t>
        </is>
      </c>
      <c r="D147" s="29" t="inlineStr">
        <is>
          <t>Waning Gibbous</t>
        </is>
      </c>
      <c r="E147" s="29" t="inlineStr">
        <is>
          <t>Fog / Mist</t>
        </is>
      </c>
      <c r="F147" s="29" t="inlineStr">
        <is>
          <t>Noon</t>
        </is>
      </c>
      <c r="G147" s="29" t="n"/>
      <c r="H147" s="29" t="n">
        <v>226</v>
      </c>
      <c r="I147" s="30" t="inlineStr">
        <is>
          <t>The Quicksilver Quip</t>
        </is>
      </c>
      <c r="J147" s="29" t="inlineStr">
        <is>
          <t>Tea</t>
        </is>
      </c>
      <c r="K147" s="30" t="inlineStr">
        <is>
          <t>Wednesday</t>
        </is>
      </c>
      <c r="L147" s="29">
        <f>IF(M147="",0,LEN(M147)-LEN(SUBSTITUTE(M147,",",""))+1)</f>
        <v/>
      </c>
      <c r="M147" s="30" t="n"/>
      <c r="N147" s="29" t="n">
        <v>6</v>
      </c>
      <c r="O147" s="30" t="n"/>
      <c r="P147" s="30" t="inlineStr">
        <is>
          <t>Last chance this year</t>
        </is>
      </c>
    </row>
    <row r="148" ht="15" customHeight="1" s="18">
      <c r="A148" s="29" t="n">
        <v>97</v>
      </c>
      <c r="B148" s="29" t="inlineStr">
        <is>
          <t>October</t>
        </is>
      </c>
      <c r="C148" s="29" t="inlineStr">
        <is>
          <t>Thursday</t>
        </is>
      </c>
      <c r="D148" s="29" t="inlineStr">
        <is>
          <t>Last Quarter</t>
        </is>
      </c>
      <c r="E148" s="29" t="inlineStr">
        <is>
          <t>Cloudy</t>
        </is>
      </c>
      <c r="F148" s="29" t="inlineStr">
        <is>
          <t>Noon</t>
        </is>
      </c>
      <c r="G148" s="29" t="n"/>
      <c r="H148" s="29" t="n">
        <v>117</v>
      </c>
      <c r="I148" s="30" t="inlineStr">
        <is>
          <t>The Cocoon Key</t>
        </is>
      </c>
      <c r="J148" s="29" t="inlineStr">
        <is>
          <t>Poppet</t>
        </is>
      </c>
      <c r="K148" s="30" t="inlineStr">
        <is>
          <t>Samhain · Waning Moon</t>
        </is>
      </c>
      <c r="L148" s="29">
        <f>IF(M148="",0,LEN(M148)-LEN(SUBSTITUTE(M148,",",""))+1)</f>
        <v/>
      </c>
      <c r="M148" s="30" t="n"/>
      <c r="N148" s="29" t="n">
        <v>9</v>
      </c>
      <c r="O148" s="30" t="n"/>
      <c r="P148" s="30" t="n"/>
    </row>
    <row r="149" ht="15" customHeight="1" s="18">
      <c r="A149" s="29" t="n">
        <v>98</v>
      </c>
      <c r="B149" s="29" t="inlineStr">
        <is>
          <t>October</t>
        </is>
      </c>
      <c r="C149" s="29" t="inlineStr">
        <is>
          <t>Friday</t>
        </is>
      </c>
      <c r="D149" s="29" t="inlineStr">
        <is>
          <t>Waning Crescent</t>
        </is>
      </c>
      <c r="E149" s="29" t="inlineStr">
        <is>
          <t>Clear &amp; sunny</t>
        </is>
      </c>
      <c r="F149" s="29" t="inlineStr">
        <is>
          <t>Sunrise</t>
        </is>
      </c>
      <c r="G149" s="29" t="n"/>
      <c r="H149" s="29" t="n">
        <v>190</v>
      </c>
      <c r="I149" s="30" t="inlineStr">
        <is>
          <t>The Unpinned Mask</t>
        </is>
      </c>
      <c r="J149" s="29" t="inlineStr">
        <is>
          <t>Glamour</t>
        </is>
      </c>
      <c r="K149" s="30" t="inlineStr">
        <is>
          <t>Samhain</t>
        </is>
      </c>
      <c r="L149" s="29">
        <f>IF(M149="",0,LEN(M149)-LEN(SUBSTITUTE(M149,",",""))+1)</f>
        <v/>
      </c>
      <c r="M149" s="30" t="n"/>
      <c r="N149" s="29" t="n">
        <v>5</v>
      </c>
      <c r="O149" s="30" t="n"/>
      <c r="P149" s="30" t="n"/>
    </row>
    <row r="150" ht="15" customHeight="1" s="18">
      <c r="A150" s="29" t="n">
        <v>99</v>
      </c>
      <c r="B150" s="29" t="inlineStr">
        <is>
          <t>October</t>
        </is>
      </c>
      <c r="C150" s="29" t="inlineStr">
        <is>
          <t>Saturday</t>
        </is>
      </c>
      <c r="D150" s="29" t="inlineStr">
        <is>
          <t>New Moon</t>
        </is>
      </c>
      <c r="E150" s="29" t="inlineStr">
        <is>
          <t>Clear &amp; sunny</t>
        </is>
      </c>
      <c r="F150" s="29" t="inlineStr">
        <is>
          <t>Sunrise</t>
        </is>
      </c>
      <c r="G150" s="29" t="n"/>
      <c r="H150" s="29" t="n">
        <v>126</v>
      </c>
      <c r="I150" s="30" t="inlineStr">
        <is>
          <t>The Cosmic Thread</t>
        </is>
      </c>
      <c r="J150" s="29" t="inlineStr">
        <is>
          <t>Talisman</t>
        </is>
      </c>
      <c r="K150" s="30" t="inlineStr">
        <is>
          <t>New Moon</t>
        </is>
      </c>
      <c r="L150" s="29">
        <f>IF(M150="",0,LEN(M150)-LEN(SUBSTITUTE(M150,",",""))+1)</f>
        <v/>
      </c>
      <c r="M150" s="30" t="n"/>
      <c r="N150" s="29" t="n">
        <v>7</v>
      </c>
      <c r="O150" s="30" t="n"/>
      <c r="P150" s="30" t="inlineStr">
        <is>
          <t>Last chance this year</t>
        </is>
      </c>
    </row>
  </sheetData>
  <autoFilter ref="A1:P150"/>
  <conditionalFormatting sqref="L2:L150">
    <cfRule type="expression" rank="0" priority="2" equalAverage="0" aboveAverage="0" dxfId="6" text="" percent="0" bottom="0">
      <formula>L2&gt;=5</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2" customWidth="1" style="18" min="3" max="3"/>
    <col width="36" customWidth="1" style="18" min="4" max="4"/>
    <col width="9" customWidth="1" style="18" min="5" max="5"/>
    <col width="18" customWidth="1" style="18" min="6" max="6"/>
    <col width="13" customWidth="1" style="18" min="7" max="7"/>
    <col width="32" customWidth="1" style="18" min="8" max="8"/>
    <col width="40" customWidth="1" style="18" min="9" max="9"/>
    <col width="18" customWidth="1" style="18" min="10" max="10"/>
    <col width="13" customWidth="1" style="18" min="11" max="11"/>
    <col width="32" customWidth="1" style="18" min="12" max="12"/>
    <col width="40" customWidth="1" style="18" min="13" max="13"/>
    <col width="90" customWidth="1" style="18" min="14" max="14"/>
  </cols>
  <sheetData>
    <row r="1">
      <c r="A1" s="33" t="inlineStr">
        <is>
          <t>Day</t>
        </is>
      </c>
      <c r="B1" s="33" t="inlineStr">
        <is>
          <t>Hour</t>
        </is>
      </c>
      <c r="C1" s="33" t="inlineStr">
        <is>
          <t>From</t>
        </is>
      </c>
      <c r="D1" s="33" t="inlineStr">
        <is>
          <t>Title</t>
        </is>
      </c>
      <c r="E1" s="33" t="inlineStr">
        <is>
          <t>Hints (#)</t>
        </is>
      </c>
      <c r="F1" s="33" t="inlineStr">
        <is>
          <t>Ingredient 1</t>
        </is>
      </c>
      <c r="G1" s="33" t="inlineStr">
        <is>
          <t>Keyword 1</t>
        </is>
      </c>
      <c r="H1" s="33" t="inlineStr">
        <is>
          <t>First needed 1</t>
        </is>
      </c>
      <c r="I1" s="33" t="inlineStr">
        <is>
          <t>Why it is hard 1</t>
        </is>
      </c>
      <c r="J1" s="33" t="inlineStr">
        <is>
          <t>Ingredient 2</t>
        </is>
      </c>
      <c r="K1" s="33" t="inlineStr">
        <is>
          <t>Keyword 2</t>
        </is>
      </c>
      <c r="L1" s="33" t="inlineStr">
        <is>
          <t>First needed 2</t>
        </is>
      </c>
      <c r="M1" s="33" t="inlineStr">
        <is>
          <t>Why it is hard 2</t>
        </is>
      </c>
      <c r="N1" s="33" t="inlineStr">
        <is>
          <t>Text</t>
        </is>
      </c>
    </row>
    <row r="2">
      <c r="A2" s="34" t="n">
        <v>1</v>
      </c>
      <c r="B2" s="34" t="inlineStr">
        <is>
          <t>Noon</t>
        </is>
      </c>
      <c r="C2" s="34" t="inlineStr">
        <is>
          <t>Mill Lane Apothecary, Wrenmoor</t>
        </is>
      </c>
      <c r="D2" s="34" t="inlineStr">
        <is>
          <t>From the apothecary on Mill Lane</t>
        </is>
      </c>
      <c r="E2" s="34" t="n">
        <v>1</v>
      </c>
      <c r="F2" s="34" t="inlineStr">
        <is>
          <t>Nettle</t>
        </is>
      </c>
      <c r="G2" s="34" t="inlineStr">
        <is>
          <t>healing</t>
        </is>
      </c>
      <c r="H2" s="34" t="inlineStr">
        <is>
          <t>Day 1 · #194 The Inner Housekeeper</t>
        </is>
      </c>
      <c r="I2" s="34" t="inlineStr">
        <is>
          <t>its entry shows no keyword; searching healing finds 3 other herbs &amp; flowers entries instead</t>
        </is>
      </c>
      <c r="J2" s="34" t="inlineStr"/>
      <c r="K2" s="34" t="inlineStr"/>
      <c r="L2" s="34" t="inlineStr"/>
      <c r="M2" s="34" t="inlineStr"/>
      <c r="N2" s="34" t="inlineStr">
        <is>
          <t>To whoever keeps the Emporium now,
Our shelves are bare of the one herb we can't do without. You'll know the one: it stings your fingers when you pick it, and then it builds a worn-out body back up. Nothing does more for healing after a long sickness.
Could you spare us a bundle or two? We'll pay in honey, as we always did.
Agnes, Mill Lane Apothecary, Wrenmoor</t>
        </is>
      </c>
    </row>
    <row r="3">
      <c r="A3" s="34" t="n">
        <v>5</v>
      </c>
      <c r="B3" s="34" t="inlineStr">
        <is>
          <t>Twilight</t>
        </is>
      </c>
      <c r="C3" s="34" t="inlineStr">
        <is>
          <t>The Halloway Baths</t>
        </is>
      </c>
      <c r="D3" s="34" t="inlineStr">
        <is>
          <t>From the bathhouse at Halloway</t>
        </is>
      </c>
      <c r="E3" s="34" t="n">
        <v>2</v>
      </c>
      <c r="F3" s="34" t="inlineStr">
        <is>
          <t>Epsom salt</t>
        </is>
      </c>
      <c r="G3" s="34" t="inlineStr">
        <is>
          <t>cleansing</t>
        </is>
      </c>
      <c r="H3" s="34" t="inlineStr">
        <is>
          <t>Day 10 · #161 The Fresh Linen Familiar</t>
        </is>
      </c>
      <c r="I3" s="34" t="inlineStr">
        <is>
          <t>its entry shows no keyword; searching cleansing finds 2 other pantry: salts, sugars &amp; baking entries instead</t>
        </is>
      </c>
      <c r="J3" s="34" t="inlineStr">
        <is>
          <t>Rose clay</t>
        </is>
      </c>
      <c r="K3" s="34" t="inlineStr">
        <is>
          <t>comfort</t>
        </is>
      </c>
      <c r="L3" s="34" t="inlineStr">
        <is>
          <t>Day 45 · #98 The Soft Return</t>
        </is>
      </c>
      <c r="M3" s="34" t="inlineStr">
        <is>
          <t>its entry shows only self-love; searching comfort finds 3 other pantry: salts, sugars &amp; baking entries instead</t>
        </is>
      </c>
      <c r="N3" s="34" t="inlineStr">
        <is>
          <t>To the Emporium,
Two orders, if you would. The bitter white crystals our guests tip into the hot pool after a long walk: they draw the ache out of the legs, and my mother called a soak in them a proper cleansing. And the soft pink mud for the face masks. The old ladies say nothing gives them more comfort of an evening.
We have been buying poor stuff from Marrowgate and the guests can tell.
Mr Hugo Fairweather, Manager, the Halloway Baths</t>
        </is>
      </c>
    </row>
    <row r="4">
      <c r="A4" s="34" t="n">
        <v>7</v>
      </c>
      <c r="B4" s="34" t="inlineStr">
        <is>
          <t>Noon</t>
        </is>
      </c>
      <c r="C4" s="34" t="inlineStr">
        <is>
          <t>The Honeywell Beekeepers</t>
        </is>
      </c>
      <c r="D4" s="34" t="inlineStr">
        <is>
          <t>From the beekeepers of Honeywell</t>
        </is>
      </c>
      <c r="E4" s="34" t="n">
        <v>1</v>
      </c>
      <c r="F4" s="34" t="inlineStr">
        <is>
          <t>Sweet pea</t>
        </is>
      </c>
      <c r="G4" s="34" t="inlineStr">
        <is>
          <t>friendship</t>
        </is>
      </c>
      <c r="H4" s="34" t="inlineStr">
        <is>
          <t>Day 12 · #65 Words Like Honey</t>
        </is>
      </c>
      <c r="I4" s="34" t="inlineStr">
        <is>
          <t>its entry shows no keyword; searching friendship finds 1 other herbs &amp; flowers entry instead</t>
        </is>
      </c>
      <c r="J4" s="34" t="inlineStr"/>
      <c r="K4" s="34" t="inlineStr"/>
      <c r="L4" s="34" t="inlineStr"/>
      <c r="M4" s="34" t="inlineStr"/>
      <c r="N4" s="34" t="inlineStr">
        <is>
          <t>Dear Emporium,
We grow a ruffled, sweet-smelling climber along the hive fence, the flower everyone sends when they mean thank you. The bees adore it and so do the neighbours. A jar of honey and a posy of it on the doorstep has kept friendship sweet on our lane for forty years.
This year the frost took it. If you have dried flowers to spare, we'll pay in comb.
Martha Hale and the Honeywell Beekeepers</t>
        </is>
      </c>
    </row>
    <row r="5">
      <c r="A5" s="34" t="n">
        <v>10</v>
      </c>
      <c r="B5" s="34" t="inlineStr">
        <is>
          <t>Noon</t>
        </is>
      </c>
      <c r="C5" s="34" t="inlineStr">
        <is>
          <t>Cloverdale Village School</t>
        </is>
      </c>
      <c r="D5" s="34" t="inlineStr">
        <is>
          <t>From the village school in Cloverdale</t>
        </is>
      </c>
      <c r="E5" s="34" t="n">
        <v>2</v>
      </c>
      <c r="F5" s="34" t="inlineStr">
        <is>
          <t>Daisy</t>
        </is>
      </c>
      <c r="G5" s="34" t="inlineStr">
        <is>
          <t>friendship</t>
        </is>
      </c>
      <c r="H5" s="34" t="inlineStr">
        <is>
          <t>Day 13 · #68 A Thousand Little Lights</t>
        </is>
      </c>
      <c r="I5" s="34" t="inlineStr">
        <is>
          <t>its entry shows only beginnings; searching friendship finds 7 other herbs &amp; flowers entries instead</t>
        </is>
      </c>
      <c r="J5" s="34" t="inlineStr">
        <is>
          <t>Clover</t>
        </is>
      </c>
      <c r="K5" s="34" t="inlineStr">
        <is>
          <t>luck</t>
        </is>
      </c>
      <c r="L5" s="34" t="inlineStr">
        <is>
          <t>Day 20 · #31 Cloverkiss</t>
        </is>
      </c>
      <c r="M5" s="34" t="inlineStr">
        <is>
          <t>its entry shows only friendship; searching luck finds 7 other herbs &amp; flowers entries instead</t>
        </is>
      </c>
      <c r="N5" s="34" t="inlineStr">
        <is>
          <t>Dear Emporium,
A new girl starts with us next week, and I want her first day to go well. Here the children make a chain of the little white-and-yellow field flowers for anyone new; it is how friendship starts in Cloverdale. The older ones go hunting in the fields for the plain three-leaved kind to tuck in her pocket, for luck.
The frost has spoilt both. Have you any dried?
Miss Primrose Dell, Cloverdale Village School</t>
        </is>
      </c>
    </row>
    <row r="6">
      <c r="A6" s="34" t="n">
        <v>12</v>
      </c>
      <c r="B6" s="34" t="inlineStr">
        <is>
          <t>Noon</t>
        </is>
      </c>
      <c r="C6" s="34" t="inlineStr">
        <is>
          <t>Lavinia's Bridal Rooms, Kingsmere</t>
        </is>
      </c>
      <c r="D6" s="34" t="inlineStr">
        <is>
          <t>From a bridal boutique in Kingsmere</t>
        </is>
      </c>
      <c r="E6" s="34" t="n">
        <v>2</v>
      </c>
      <c r="F6" s="34" t="inlineStr">
        <is>
          <t>Orange blossom</t>
        </is>
      </c>
      <c r="G6" s="34" t="inlineStr">
        <is>
          <t>joy</t>
        </is>
      </c>
      <c r="H6" s="34" t="inlineStr">
        <is>
          <t>Day 16 · #55 Celestial Spotlight</t>
        </is>
      </c>
      <c r="I6" s="34" t="inlineStr">
        <is>
          <t>its entry shows no keyword; searching joy finds 7 other herbs &amp; flowers entries instead</t>
        </is>
      </c>
      <c r="J6" s="34" t="inlineStr">
        <is>
          <t>White lily</t>
        </is>
      </c>
      <c r="K6" s="34" t="inlineStr">
        <is>
          <t>beauty</t>
        </is>
      </c>
      <c r="L6" s="34" t="inlineStr">
        <is>
          <t>Day 24 · #52 Swanlight</t>
        </is>
      </c>
      <c r="M6" s="34" t="inlineStr">
        <is>
          <t>its entry shows only truth; searching beauty finds 5 other herbs &amp; flowers entries instead</t>
        </is>
      </c>
      <c r="N6" s="34" t="inlineStr">
        <is>
          <t>Darling shop,
Wedding season is upon us. My brides want the small white flowers from the citrus tree woven into their hair, as their grandmothers wore them: they say a bride crowned with them glows with joy. The tall still white flower goes in the bouquet. Nothing gives a quiet bride beauty like it.
Send whatever you can. Kingsmere does not do things by halves.
Lavinia, Lavinia's Bridal Rooms, Kingsmere</t>
        </is>
      </c>
    </row>
    <row r="7">
      <c r="A7" s="34" t="n">
        <v>13</v>
      </c>
      <c r="B7" s="34" t="inlineStr">
        <is>
          <t>Twilight</t>
        </is>
      </c>
      <c r="C7" s="34" t="inlineStr">
        <is>
          <t>The Coastguard Station, Caldwell-on-Sea</t>
        </is>
      </c>
      <c r="D7" s="34" t="inlineStr">
        <is>
          <t>From the coastguard at Caldwell-on-Sea</t>
        </is>
      </c>
      <c r="E7" s="34" t="n">
        <v>1</v>
      </c>
      <c r="F7" s="34" t="inlineStr">
        <is>
          <t>Black tourmaline</t>
        </is>
      </c>
      <c r="G7" s="34" t="inlineStr">
        <is>
          <t>protection</t>
        </is>
      </c>
      <c r="H7" s="34" t="inlineStr">
        <is>
          <t>Day 15 · #16 The Iron Moon</t>
        </is>
      </c>
      <c r="I7" s="34" t="inlineStr">
        <is>
          <t>its entry shows no keyword; searching protection finds 3 other crystals entries instead</t>
        </is>
      </c>
      <c r="J7" s="34" t="inlineStr"/>
      <c r="K7" s="34" t="inlineStr"/>
      <c r="L7" s="34" t="inlineStr"/>
      <c r="M7" s="34" t="inlineStr"/>
      <c r="N7" s="34" t="inlineStr">
        <is>
          <t>To the Emporium,
Every coastguard on this stretch keeps a black, ridged stone in his coat, the kind that looks like a bundle of burnt matches. The old men say it soaks up whatever is thrown at you. It is the only protection I trust on a night shift.
Mine went over the side in the last storm. Could you send another?
Officer Jory Penrose, Caldwell-on-Sea</t>
        </is>
      </c>
    </row>
    <row r="8">
      <c r="A8" s="34" t="n">
        <v>17</v>
      </c>
      <c r="B8" s="34" t="inlineStr">
        <is>
          <t>Noon</t>
        </is>
      </c>
      <c r="C8" s="34" t="inlineStr">
        <is>
          <t>St Aldric's Church, Thornbury</t>
        </is>
      </c>
      <c r="D8" s="34" t="inlineStr">
        <is>
          <t>From the churchwarden at Thornbury</t>
        </is>
      </c>
      <c r="E8" s="34" t="n">
        <v>2</v>
      </c>
      <c r="F8" s="34" t="inlineStr">
        <is>
          <t>Copal</t>
        </is>
      </c>
      <c r="G8" s="34" t="inlineStr">
        <is>
          <t>calm</t>
        </is>
      </c>
      <c r="H8" s="34" t="inlineStr">
        <is>
          <t>Day 21 · #96 The Last Candle</t>
        </is>
      </c>
      <c r="I8" s="34" t="inlineStr">
        <is>
          <t>its entry shows no keyword; searching calm finds 1 other resins &amp; incense entry instead</t>
        </is>
      </c>
      <c r="J8" s="34" t="inlineStr">
        <is>
          <t>Black pepper</t>
        </is>
      </c>
      <c r="K8" s="34" t="inlineStr">
        <is>
          <t>courage</t>
        </is>
      </c>
      <c r="L8" s="34" t="inlineStr">
        <is>
          <t>Day 25 · #85 First Spark, First Flame</t>
        </is>
      </c>
      <c r="M8" s="34" t="inlineStr">
        <is>
          <t>its entry shows no keyword; searching courage finds 1 other spices entry instead</t>
        </is>
      </c>
      <c r="N8" s="34" t="inlineStr">
        <is>
          <t>To the Emporium,
The vicar has asked me, against my better judgement, to write. He wants the pale sweet resin from overseas for the censer. When it burns, he says, the whole parish sits together in calm, even the Hendersons. He also grinds the little hot black corns over his breakfast eggs before every sermon, for the courage to face us.
Our grocer has run out of both. I trust this stays between us.
Mr Edgar Penhallow, Churchwarden, Thornbury</t>
        </is>
      </c>
    </row>
    <row r="9">
      <c r="A9" s="34" t="n">
        <v>20</v>
      </c>
      <c r="B9" s="34" t="inlineStr">
        <is>
          <t>Sunrise</t>
        </is>
      </c>
      <c r="C9" s="34" t="inlineStr">
        <is>
          <t>Damson Cottage Jams, Plumtree Hollow</t>
        </is>
      </c>
      <c r="D9" s="34" t="inlineStr">
        <is>
          <t>From a jam-maker in Plumtree Hollow</t>
        </is>
      </c>
      <c r="E9" s="34" t="n">
        <v>1</v>
      </c>
      <c r="F9" s="34" t="inlineStr">
        <is>
          <t>Peridot</t>
        </is>
      </c>
      <c r="G9" s="34" t="inlineStr">
        <is>
          <t>growth</t>
        </is>
      </c>
      <c r="H9" s="34" t="inlineStr">
        <is>
          <t>Day 25 · #135 The Green Comet</t>
        </is>
      </c>
      <c r="I9" s="34" t="inlineStr">
        <is>
          <t>its entry shows no keyword; searching growth finds 1 other crystals entry instead</t>
        </is>
      </c>
      <c r="J9" s="34" t="inlineStr"/>
      <c r="K9" s="34" t="inlineStr"/>
      <c r="L9" s="34" t="inlineStr"/>
      <c r="M9" s="34" t="inlineStr"/>
      <c r="N9" s="34" t="inlineStr">
        <is>
          <t>Hello from the Hollow,
When the plum trees come back after a bad winter, my aunt used to hang a little pale green stone on a ribbon from the oldest branch. She said it was for the first good week after a hard season, and for growth. The trees never failed her.
The ribbon snapped and the stone is lost in the long grass. Do you sell them?
Bessie Damson, Plumtree Hollow</t>
        </is>
      </c>
    </row>
    <row r="10">
      <c r="A10" s="34" t="n">
        <v>24</v>
      </c>
      <c r="B10" s="34" t="inlineStr">
        <is>
          <t>Twilight</t>
        </is>
      </c>
      <c r="C10" s="34" t="inlineStr">
        <is>
          <t>Crumb &amp; Co. Bakery, Whitcombe</t>
        </is>
      </c>
      <c r="D10" s="34" t="inlineStr">
        <is>
          <t>From the bakery in Whitcombe</t>
        </is>
      </c>
      <c r="E10" s="34" t="n">
        <v>2</v>
      </c>
      <c r="F10" s="34" t="inlineStr">
        <is>
          <t>Raisins</t>
        </is>
      </c>
      <c r="G10" s="34" t="inlineStr">
        <is>
          <t>joy</t>
        </is>
      </c>
      <c r="H10" s="34" t="inlineStr">
        <is>
          <t>Day 29 · #90 The Pocket-Sized Triumph</t>
        </is>
      </c>
      <c r="I10" s="34" t="inlineStr">
        <is>
          <t>its entry shows no keyword; searching joy finds 2 other fruits entries instead</t>
        </is>
      </c>
      <c r="J10" s="34" t="inlineStr">
        <is>
          <t>Cocoa</t>
        </is>
      </c>
      <c r="K10" s="34" t="inlineStr">
        <is>
          <t>comfort</t>
        </is>
      </c>
      <c r="L10" s="34" t="inlineStr">
        <is>
          <t>Day 32 · #235 The Sweetness Permission</t>
        </is>
      </c>
      <c r="M10" s="34" t="inlineStr">
        <is>
          <t>its entry shows no keyword; searching comfort finds 3 other pantry: salts, sugars &amp; baking entries instead</t>
        </is>
      </c>
      <c r="N10" s="34" t="inlineStr">
        <is>
          <t>Dear neighbour,
Two things for the winter menu. The little shrivelled dark fruit we fold into lunch-box buns. The mothers say one bun is pure joy for a child at school. And the dark bitter powder for the mugs we serve when people come in from the cold. Nothing else is such a comfort in January.
Our supplier in Greywater has gone bust. Could you help?
Mrs Ada Crumb, Crumb &amp; Co., Whitcombe</t>
        </is>
      </c>
    </row>
    <row r="11">
      <c r="A11" s="34" t="n">
        <v>30</v>
      </c>
      <c r="B11" s="34" t="inlineStr">
        <is>
          <t>Noon</t>
        </is>
      </c>
      <c r="C11" s="34" t="inlineStr">
        <is>
          <t>Thistle &amp; Sons Wandwrights, Elderhollow</t>
        </is>
      </c>
      <c r="D11" s="34" t="inlineStr">
        <is>
          <t>From the wandwrights in Elderhollow</t>
        </is>
      </c>
      <c r="E11" s="34" t="n">
        <v>2</v>
      </c>
      <c r="F11" s="34" t="inlineStr">
        <is>
          <t>Willow bark</t>
        </is>
      </c>
      <c r="G11" s="34" t="inlineStr">
        <is>
          <t>intuition</t>
        </is>
      </c>
      <c r="H11" s="34" t="inlineStr">
        <is>
          <t>Day 38 · #106 The Dreaming Garden</t>
        </is>
      </c>
      <c r="I11" s="34" t="inlineStr">
        <is>
          <t>its entry shows no keyword; searching intuition finds 4 other herbs &amp; flowers entries instead</t>
        </is>
      </c>
      <c r="J11" s="34" t="inlineStr">
        <is>
          <t>Wormwood</t>
        </is>
      </c>
      <c r="K11" s="34" t="inlineStr">
        <is>
          <t>transformation</t>
        </is>
      </c>
      <c r="L11" s="34" t="inlineStr">
        <is>
          <t>Day 36 · #116 The Phoenix's First Petal</t>
        </is>
      </c>
      <c r="M11" s="34" t="inlineStr">
        <is>
          <t>its entry shows no keyword; searching transformation finds 1 other herbs &amp; flowers entry instead</t>
        </is>
      </c>
      <c r="N11" s="34" t="inlineStr">
        <is>
          <t>Madam,
Two old remedies my grandfather kept, which no one else seems to stock. The bark of the weeping tree by the river, which every grandmother uses for a sore back; few know that the old witches chewed it for intuition. And the bitter silver-grey herb he steeped in his spirits once a year, for transformation. He said it was not for the faint-hearted.
If you have either, we would pay well.
Silas Thistle, Thistle &amp; Sons Wandwrights, Elderhollow</t>
        </is>
      </c>
    </row>
    <row r="12">
      <c r="A12" s="34" t="n">
        <v>33</v>
      </c>
      <c r="B12" s="34" t="inlineStr">
        <is>
          <t>Twilight</t>
        </is>
      </c>
      <c r="C12" s="34" t="inlineStr">
        <is>
          <t>The Crossed Keys Inn, Ashby Cross</t>
        </is>
      </c>
      <c r="D12" s="34" t="inlineStr">
        <is>
          <t>From the coaching inn at Ashby Cross</t>
        </is>
      </c>
      <c r="E12" s="34" t="n">
        <v>1</v>
      </c>
      <c r="F12" s="34" t="inlineStr">
        <is>
          <t>Wooden die</t>
        </is>
      </c>
      <c r="G12" s="34" t="inlineStr">
        <is>
          <t>luck</t>
        </is>
      </c>
      <c r="H12" s="34" t="inlineStr">
        <is>
          <t>Day 39 · #232 The Critical-Hit Charm</t>
        </is>
      </c>
      <c r="I12" s="34" t="inlineStr">
        <is>
          <t>its entry shows no keyword; searching luck finds 1 other findings &amp; tools entry instead</t>
        </is>
      </c>
      <c r="J12" s="34" t="inlineStr"/>
      <c r="K12" s="34" t="inlineStr"/>
      <c r="L12" s="34" t="inlineStr"/>
      <c r="M12" s="34" t="inlineStr"/>
      <c r="N12" s="34" t="inlineStr">
        <is>
          <t>To the Emporium,
Travellers wait here for the coach, and the waiting turns to gambling by supper. One old carter swears by a little carved wooden cube with dots on its faces that he blessed at your shop years ago. He says it gives him luck every time he throws it.
The other regulars now want one each. Do you still bless them?
Harry Oakes, landlord, the Crossed Keys, Ashby Cross</t>
        </is>
      </c>
    </row>
    <row r="13">
      <c r="A13" s="34" t="n">
        <v>37</v>
      </c>
      <c r="B13" s="34" t="inlineStr">
        <is>
          <t>Sunrise</t>
        </is>
      </c>
      <c r="C13" s="34" t="inlineStr">
        <is>
          <t>The Starfall Retreat</t>
        </is>
      </c>
      <c r="D13" s="34" t="inlineStr">
        <is>
          <t>From the retreat at Starfall</t>
        </is>
      </c>
      <c r="E13" s="34" t="n">
        <v>1</v>
      </c>
      <c r="F13" s="34" t="inlineStr">
        <is>
          <t>Lotus</t>
        </is>
      </c>
      <c r="G13" s="34" t="inlineStr">
        <is>
          <t>calm</t>
        </is>
      </c>
      <c r="H13" s="34" t="inlineStr">
        <is>
          <t>Day 44 · #102 The Slow-Blooming Rose</t>
        </is>
      </c>
      <c r="I13" s="34" t="inlineStr">
        <is>
          <t>its entry shows only intuition; searching calm finds 4 other herbs &amp; flowers entries instead</t>
        </is>
      </c>
      <c r="J13" s="34" t="inlineStr"/>
      <c r="K13" s="34" t="inlineStr"/>
      <c r="L13" s="34" t="inlineStr"/>
      <c r="M13" s="34" t="inlineStr"/>
      <c r="N13" s="34" t="inlineStr">
        <is>
          <t>Dear Emporium,
Our guests come up the mountain to sit and look at the stars, and most of them can't sit still for a minute. Our founder floated the great pale water flower in a bowl at the centre of the room. She said the inner sight it brings is only half its use; mostly it brings calm.
Have you any dried blooms?
Sister Wren, the Starfall Retreat</t>
        </is>
      </c>
    </row>
    <row r="14">
      <c r="A14" s="34" t="n">
        <v>43</v>
      </c>
      <c r="B14" s="34" t="inlineStr">
        <is>
          <t>Noon</t>
        </is>
      </c>
      <c r="C14" s="34" t="inlineStr">
        <is>
          <t>Hedge End Farm, Bramblebee</t>
        </is>
      </c>
      <c r="D14" s="34" t="inlineStr">
        <is>
          <t>From a farm in Bramblebee</t>
        </is>
      </c>
      <c r="E14" s="34" t="n">
        <v>1</v>
      </c>
      <c r="F14" s="34" t="inlineStr">
        <is>
          <t>Rose thorns</t>
        </is>
      </c>
      <c r="G14" s="34" t="inlineStr">
        <is>
          <t>boundaries</t>
        </is>
      </c>
      <c r="H14" s="34" t="inlineStr">
        <is>
          <t>Day 50 · #9 The Unbinding Rose</t>
        </is>
      </c>
      <c r="I14" s="34" t="inlineStr">
        <is>
          <t>its entry shows no keyword; searching boundaries finds 2 other herbs &amp; flowers entries instead</t>
        </is>
      </c>
      <c r="J14" s="34" t="inlineStr"/>
      <c r="K14" s="34" t="inlineStr"/>
      <c r="L14" s="34" t="inlineStr"/>
      <c r="M14" s="34" t="inlineStr"/>
      <c r="N14" s="34" t="inlineStr">
        <is>
          <t>Hello,
My mother used to grow a hedge of the old pink climbing flowers along our lane, and she kept a jar of the sharp bits she clipped off the stems. One on the windowsill, she said, and people learn your boundaries without you saying a word.
My sister-in-law visits every Sunday. Have you a jar?
Dora Bramble, Hedge End Farm, Bramblebee</t>
        </is>
      </c>
    </row>
    <row r="15">
      <c r="A15" s="34" t="n">
        <v>48</v>
      </c>
      <c r="B15" s="34" t="inlineStr">
        <is>
          <t>Noon</t>
        </is>
      </c>
      <c r="C15" s="34" t="inlineStr">
        <is>
          <t>Mrs Pennywhistle's Sweet Shop, Sugarbrook</t>
        </is>
      </c>
      <c r="D15" s="34" t="inlineStr">
        <is>
          <t>From the sweet shop in Sugarbrook</t>
        </is>
      </c>
      <c r="E15" s="34" t="n">
        <v>2</v>
      </c>
      <c r="F15" s="34" t="inlineStr">
        <is>
          <t>Pink glitter</t>
        </is>
      </c>
      <c r="G15" s="34" t="inlineStr">
        <is>
          <t>self-love</t>
        </is>
      </c>
      <c r="H15" s="34" t="inlineStr">
        <is>
          <t>Day 56 · #198 The Forgiving Tide</t>
        </is>
      </c>
      <c r="I15" s="34" t="inlineStr">
        <is>
          <t>its entry shows no keyword; searching self-love finds 2 other pantry: salts, sugars &amp; baking entries instead</t>
        </is>
      </c>
      <c r="J15" s="34" t="inlineStr">
        <is>
          <t>Pink sprinkles</t>
        </is>
      </c>
      <c r="K15" s="34" t="inlineStr">
        <is>
          <t>love</t>
        </is>
      </c>
      <c r="L15" s="34" t="inlineStr">
        <is>
          <t>Day 63 · #11 Strawberry Moon</t>
        </is>
      </c>
      <c r="M15" s="34" t="inlineStr">
        <is>
          <t>its entry shows no keyword; searching love finds 1 other pantry: salts, sugars &amp; baking entry instead</t>
        </is>
      </c>
      <c r="N15" s="34" t="inlineStr">
        <is>
          <t>Dear shop,
The girls who come in after school have been told to tone it down, and it shows. I used to dust their cake pops with the shiny pink stuff, and they'd walk out with some self-love again. And the boys buy cupcakes with the little pink sugar strands on top to hand to a sweetheart. My grandmother called those love on a cake.
I'm out of both. I'll send fudge.
Mrs Pennywhistle, Sugarbrook</t>
        </is>
      </c>
    </row>
    <row r="16">
      <c r="A16" s="34" t="n">
        <v>55</v>
      </c>
      <c r="B16" s="34" t="inlineStr">
        <is>
          <t>Twilight</t>
        </is>
      </c>
      <c r="C16" s="34" t="inlineStr">
        <is>
          <t>The Cider Fair Committee, Pippin Green</t>
        </is>
      </c>
      <c r="D16" s="34" t="inlineStr">
        <is>
          <t>From the cider fair committee in Pippin Green</t>
        </is>
      </c>
      <c r="E16" s="34" t="n">
        <v>1</v>
      </c>
      <c r="F16" s="34" t="inlineStr">
        <is>
          <t>Bee pollen</t>
        </is>
      </c>
      <c r="G16" s="34" t="inlineStr">
        <is>
          <t>friendship</t>
        </is>
      </c>
      <c r="H16" s="34" t="inlineStr">
        <is>
          <t>Day 61 · #75 The Honeybee Feast</t>
        </is>
      </c>
      <c r="I16" s="34" t="inlineStr">
        <is>
          <t>its entry shows no keyword</t>
        </is>
      </c>
      <c r="J16" s="34" t="inlineStr"/>
      <c r="K16" s="34" t="inlineStr"/>
      <c r="L16" s="34" t="inlineStr"/>
      <c r="M16" s="34" t="inlineStr"/>
      <c r="N16" s="34" t="inlineStr">
        <is>
          <t>Dear Emporium,
Our orchard bees leave little golden grains on everything in May, and the old orchard keepers sprinkled them over the fair loaves. They said whoever shares that bread shares the friendship of the hive.
Our hives had a bad year. Could you send a jar for the fair?
Rhoda Bell, Cider Fair Committee, Pippin Green</t>
        </is>
      </c>
    </row>
    <row r="17">
      <c r="A17" s="34" t="n">
        <v>66</v>
      </c>
      <c r="B17" s="34" t="inlineStr">
        <is>
          <t>Twilight</t>
        </is>
      </c>
      <c r="C17" s="34" t="inlineStr">
        <is>
          <t>Old Things, Buttonwick</t>
        </is>
      </c>
      <c r="D17" s="34" t="inlineStr">
        <is>
          <t>From an antique shop in Buttonwick</t>
        </is>
      </c>
      <c r="E17" s="34" t="n">
        <v>1</v>
      </c>
      <c r="F17" s="34" t="inlineStr">
        <is>
          <t>Square button</t>
        </is>
      </c>
      <c r="G17" s="34" t="inlineStr">
        <is>
          <t>play</t>
        </is>
      </c>
      <c r="H17" s="34" t="inlineStr">
        <is>
          <t>Day 76 · #215 The Lucky Pixel</t>
        </is>
      </c>
      <c r="I17" s="34" t="inlineStr">
        <is>
          <t>its entry shows no keyword; searching play finds 1 other buttons entry instead</t>
        </is>
      </c>
      <c r="J17" s="34" t="inlineStr"/>
      <c r="K17" s="34" t="inlineStr"/>
      <c r="L17" s="34" t="inlineStr"/>
      <c r="M17" s="34" t="inlineStr"/>
      <c r="N17" s="34" t="inlineStr">
        <is>
          <t>Dear neighbour,
A house clearance turned up a box of buttons, and among them one odd square one that must be a lost counter from some old board game. I left it on the counter and the grandchildren wanted to play all afternoon.
I'll hold it for you. Come by.
Mr Ambrose Tuck, Old Things, Buttonwick</t>
        </is>
      </c>
    </row>
    <row r="18">
      <c r="A18" s="34" t="n">
        <v>74</v>
      </c>
      <c r="B18" s="34" t="inlineStr">
        <is>
          <t>Noon</t>
        </is>
      </c>
      <c r="C18" s="34" t="inlineStr">
        <is>
          <t>Wend Mill, Greywater</t>
        </is>
      </c>
      <c r="D18" s="34" t="inlineStr">
        <is>
          <t>From the mill at Greywater</t>
        </is>
      </c>
      <c r="E18" s="34" t="n">
        <v>1</v>
      </c>
      <c r="F18" s="34" t="inlineStr">
        <is>
          <t>Cedar chips</t>
        </is>
      </c>
      <c r="G18" s="34" t="inlineStr">
        <is>
          <t>home</t>
        </is>
      </c>
      <c r="H18" s="34" t="inlineStr">
        <is>
          <t>Day 87 · #3 Two Hearts, One Hearth</t>
        </is>
      </c>
      <c r="I18" s="34" t="inlineStr">
        <is>
          <t>its entry shows no keyword; searching home finds 1 other herbs &amp; flowers entry instead</t>
        </is>
      </c>
      <c r="J18" s="34" t="inlineStr"/>
      <c r="K18" s="34" t="inlineStr"/>
      <c r="L18" s="34" t="inlineStr"/>
      <c r="M18" s="34" t="inlineStr"/>
      <c r="N18" s="34" t="inlineStr">
        <is>
          <t>To the Emporium,
My father scattered sweet red wood shavings in the flour bins and the drawers of the mill house, until the whole place smelled like home. Since he passed, it smells of damp.
Could you send a bag?
Sam Wend, Wend Mill, Greywater</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G9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7" min="1" max="1"/>
    <col width="12" customWidth="1" style="17" min="2" max="2"/>
    <col width="38" customWidth="1" style="17" min="3" max="3"/>
    <col width="14" customWidth="1" style="17" min="4" max="4"/>
    <col width="12" customWidth="1" style="17" min="5" max="5"/>
    <col width="8" customWidth="1" style="17" min="6" max="7"/>
  </cols>
  <sheetData>
    <row r="1" ht="15" customHeight="1" s="18">
      <c r="A1" s="21" t="inlineStr">
        <is>
          <t>Due day</t>
        </is>
      </c>
      <c r="B1" s="21" t="inlineStr">
        <is>
          <t>Customer</t>
        </is>
      </c>
      <c r="C1" s="21" t="inlineStr">
        <is>
          <t>Recipe</t>
        </is>
      </c>
      <c r="D1" s="21" t="inlineStr">
        <is>
          <t>New without walk-ins</t>
        </is>
      </c>
      <c r="E1" s="21" t="inlineStr">
        <is>
          <t>New with plan</t>
        </is>
      </c>
      <c r="F1" s="21" t="inlineStr">
        <is>
          <t>Drop</t>
        </is>
      </c>
      <c r="G1" s="21" t="inlineStr">
        <is>
          <t>Flag</t>
        </is>
      </c>
    </row>
    <row r="2" ht="15" customHeight="1" s="18">
      <c r="A2" s="22" t="n">
        <v>1</v>
      </c>
      <c r="B2" s="22" t="inlineStr">
        <is>
          <t>Hester</t>
        </is>
      </c>
      <c r="C2" s="22" t="inlineStr">
        <is>
          <t>#111 The Language of Ravens</t>
        </is>
      </c>
      <c r="D2" s="22" t="n">
        <v>3</v>
      </c>
      <c r="E2" s="22" t="n">
        <v>3</v>
      </c>
      <c r="F2" s="22">
        <f>D2-E2</f>
        <v/>
      </c>
      <c r="G2" s="22">
        <f>IF(E2&gt;=5,"Check","")</f>
        <v/>
      </c>
    </row>
    <row r="3" ht="15" customHeight="1" s="18">
      <c r="A3" s="22" t="n">
        <v>2</v>
      </c>
      <c r="B3" s="22" t="inlineStr">
        <is>
          <t>Edmund</t>
        </is>
      </c>
      <c r="C3" s="22" t="inlineStr">
        <is>
          <t>#95 Lavender Hour</t>
        </is>
      </c>
      <c r="D3" s="22" t="n">
        <v>0</v>
      </c>
      <c r="E3" s="22" t="n">
        <v>0</v>
      </c>
      <c r="F3" s="22">
        <f>D3-E3</f>
        <v/>
      </c>
      <c r="G3" s="22">
        <f>IF(E3&gt;=5,"Check","")</f>
        <v/>
      </c>
    </row>
    <row r="4" ht="15" customHeight="1" s="18">
      <c r="A4" s="22" t="n">
        <v>3</v>
      </c>
      <c r="B4" s="22" t="inlineStr">
        <is>
          <t>Dottie</t>
        </is>
      </c>
      <c r="C4" s="22" t="inlineStr">
        <is>
          <t>#153 The Order of Little Things</t>
        </is>
      </c>
      <c r="D4" s="22" t="n">
        <v>0</v>
      </c>
      <c r="E4" s="22" t="n">
        <v>0</v>
      </c>
      <c r="F4" s="22">
        <f>D4-E4</f>
        <v/>
      </c>
      <c r="G4" s="22">
        <f>IF(E4&gt;=5,"Check","")</f>
        <v/>
      </c>
    </row>
    <row r="5" ht="15" customHeight="1" s="18">
      <c r="A5" s="22" t="n">
        <v>5</v>
      </c>
      <c r="B5" s="22" t="inlineStr">
        <is>
          <t>Goldie</t>
        </is>
      </c>
      <c r="C5" s="22" t="inlineStr">
        <is>
          <t>#58 The Velvet Tongue</t>
        </is>
      </c>
      <c r="D5" s="22" t="n">
        <v>4</v>
      </c>
      <c r="E5" s="22" t="n">
        <v>4</v>
      </c>
      <c r="F5" s="22">
        <f>D5-E5</f>
        <v/>
      </c>
      <c r="G5" s="22">
        <f>IF(E5&gt;=5,"Check","")</f>
        <v/>
      </c>
    </row>
    <row r="6" ht="15" customHeight="1" s="18">
      <c r="A6" s="22" t="n">
        <v>12</v>
      </c>
      <c r="B6" s="22" t="inlineStr">
        <is>
          <t>Morwenna</t>
        </is>
      </c>
      <c r="C6" s="22" t="inlineStr">
        <is>
          <t>#21 Wayfarer's Ward</t>
        </is>
      </c>
      <c r="D6" s="22" t="n">
        <v>6</v>
      </c>
      <c r="E6" s="22" t="n">
        <v>2</v>
      </c>
      <c r="F6" s="22">
        <f>D6-E6</f>
        <v/>
      </c>
      <c r="G6" s="22">
        <f>IF(E6&gt;=5,"Check","")</f>
        <v/>
      </c>
    </row>
    <row r="7" ht="15" customHeight="1" s="18">
      <c r="A7" s="22" t="n">
        <v>9</v>
      </c>
      <c r="B7" s="22" t="inlineStr">
        <is>
          <t>Felix</t>
        </is>
      </c>
      <c r="C7" s="22" t="inlineStr">
        <is>
          <t>#36 Fortune Favors the Bold</t>
        </is>
      </c>
      <c r="D7" s="22" t="n">
        <v>7</v>
      </c>
      <c r="E7" s="22" t="n">
        <v>5</v>
      </c>
      <c r="F7" s="22">
        <f>D7-E7</f>
        <v/>
      </c>
      <c r="G7" s="22">
        <f>IF(E7&gt;=5,"Check","")</f>
        <v/>
      </c>
    </row>
    <row r="8" ht="15" customHeight="1" s="18">
      <c r="A8" s="22" t="n">
        <v>10</v>
      </c>
      <c r="B8" s="22" t="inlineStr">
        <is>
          <t>Rosalind</t>
        </is>
      </c>
      <c r="C8" s="22" t="inlineStr">
        <is>
          <t>#23 The Midnight Sentinel</t>
        </is>
      </c>
      <c r="D8" s="22" t="n">
        <v>2</v>
      </c>
      <c r="E8" s="22" t="n">
        <v>1</v>
      </c>
      <c r="F8" s="22">
        <f>D8-E8</f>
        <v/>
      </c>
      <c r="G8" s="22">
        <f>IF(E8&gt;=5,"Check","")</f>
        <v/>
      </c>
    </row>
    <row r="9" ht="15" customHeight="1" s="18">
      <c r="A9" s="22" t="n">
        <v>10</v>
      </c>
      <c r="B9" s="22" t="inlineStr">
        <is>
          <t>Dottie</t>
        </is>
      </c>
      <c r="C9" s="22" t="inlineStr">
        <is>
          <t>#161 The Fresh Linen Familiar</t>
        </is>
      </c>
      <c r="D9" s="22" t="n">
        <v>2</v>
      </c>
      <c r="E9" s="22" t="n">
        <v>0</v>
      </c>
      <c r="F9" s="22">
        <f>D9-E9</f>
        <v/>
      </c>
      <c r="G9" s="22">
        <f>IF(E9&gt;=5,"Check","")</f>
        <v/>
      </c>
    </row>
    <row r="10" ht="15" customHeight="1" s="18">
      <c r="A10" s="22" t="n">
        <v>16</v>
      </c>
      <c r="B10" s="22" t="inlineStr">
        <is>
          <t>Ivy</t>
        </is>
      </c>
      <c r="C10" s="22" t="inlineStr">
        <is>
          <t>#229 The Little Spotlight</t>
        </is>
      </c>
      <c r="D10" s="22" t="n">
        <v>1</v>
      </c>
      <c r="E10" s="22" t="n">
        <v>1</v>
      </c>
      <c r="F10" s="22">
        <f>D10-E10</f>
        <v/>
      </c>
      <c r="G10" s="22">
        <f>IF(E10&gt;=5,"Check","")</f>
        <v/>
      </c>
    </row>
    <row r="11" ht="15" customHeight="1" s="18">
      <c r="A11" s="22" t="n">
        <v>13</v>
      </c>
      <c r="B11" s="22" t="inlineStr">
        <is>
          <t>Hester</t>
        </is>
      </c>
      <c r="C11" s="22" t="inlineStr">
        <is>
          <t>#68 A Thousand Little Lights</t>
        </is>
      </c>
      <c r="D11" s="22" t="n">
        <v>6</v>
      </c>
      <c r="E11" s="22" t="n">
        <v>3</v>
      </c>
      <c r="F11" s="22">
        <f>D11-E11</f>
        <v/>
      </c>
      <c r="G11" s="22">
        <f>IF(E11&gt;=5,"Check","")</f>
        <v/>
      </c>
    </row>
    <row r="12" ht="15" customHeight="1" s="18">
      <c r="A12" s="22" t="n">
        <v>19</v>
      </c>
      <c r="B12" s="22" t="inlineStr">
        <is>
          <t>Noor</t>
        </is>
      </c>
      <c r="C12" s="22" t="inlineStr">
        <is>
          <t>#86 The Owl's Lantern</t>
        </is>
      </c>
      <c r="D12" s="22" t="n">
        <v>2</v>
      </c>
      <c r="E12" s="22" t="n">
        <v>0</v>
      </c>
      <c r="F12" s="22">
        <f>D12-E12</f>
        <v/>
      </c>
      <c r="G12" s="22">
        <f>IF(E12&gt;=5,"Check","")</f>
        <v/>
      </c>
    </row>
    <row r="13" ht="15" customHeight="1" s="18">
      <c r="A13" s="22" t="n">
        <v>15</v>
      </c>
      <c r="B13" s="22" t="inlineStr">
        <is>
          <t>Morwenna</t>
        </is>
      </c>
      <c r="C13" s="22" t="inlineStr">
        <is>
          <t>#16 The Iron Moon</t>
        </is>
      </c>
      <c r="D13" s="22" t="n">
        <v>5</v>
      </c>
      <c r="E13" s="22" t="n">
        <v>2</v>
      </c>
      <c r="F13" s="22">
        <f>D13-E13</f>
        <v/>
      </c>
      <c r="G13" s="22">
        <f>IF(E13&gt;=5,"Check","")</f>
        <v/>
      </c>
    </row>
    <row r="14" ht="15" customHeight="1" s="18">
      <c r="A14" s="22" t="n">
        <v>18</v>
      </c>
      <c r="B14" s="22" t="inlineStr">
        <is>
          <t>Felix</t>
        </is>
      </c>
      <c r="C14" s="22" t="inlineStr">
        <is>
          <t>#151 Rise, Little Flame</t>
        </is>
      </c>
      <c r="D14" s="22" t="n">
        <v>3</v>
      </c>
      <c r="E14" s="22" t="n">
        <v>0</v>
      </c>
      <c r="F14" s="22">
        <f>D14-E14</f>
        <v/>
      </c>
      <c r="G14" s="22">
        <f>IF(E14&gt;=5,"Check","")</f>
        <v/>
      </c>
    </row>
    <row r="15" ht="15" customHeight="1" s="18">
      <c r="A15" s="22" t="n">
        <v>26</v>
      </c>
      <c r="B15" s="22" t="inlineStr">
        <is>
          <t>Noor</t>
        </is>
      </c>
      <c r="C15" s="22" t="inlineStr">
        <is>
          <t>#82 The Clear Quartz Hour</t>
        </is>
      </c>
      <c r="D15" s="22" t="n">
        <v>3</v>
      </c>
      <c r="E15" s="22" t="n">
        <v>1</v>
      </c>
      <c r="F15" s="22">
        <f>D15-E15</f>
        <v/>
      </c>
      <c r="G15" s="22">
        <f>IF(E15&gt;=5,"Check","")</f>
        <v/>
      </c>
    </row>
    <row r="16" ht="15" customHeight="1" s="18">
      <c r="A16" s="22" t="n">
        <v>28</v>
      </c>
      <c r="B16" s="22" t="inlineStr">
        <is>
          <t>Goldie</t>
        </is>
      </c>
      <c r="C16" s="22" t="inlineStr">
        <is>
          <t>#7 The Blushing Star</t>
        </is>
      </c>
      <c r="D16" s="22" t="n">
        <v>6</v>
      </c>
      <c r="E16" s="22" t="n">
        <v>2</v>
      </c>
      <c r="F16" s="22">
        <f>D16-E16</f>
        <v/>
      </c>
      <c r="G16" s="22">
        <f>IF(E16&gt;=5,"Check","")</f>
        <v/>
      </c>
    </row>
    <row r="17" ht="15" customHeight="1" s="18">
      <c r="A17" s="22" t="n">
        <v>26</v>
      </c>
      <c r="B17" s="22" t="inlineStr">
        <is>
          <t>Rosalind</t>
        </is>
      </c>
      <c r="C17" s="22" t="inlineStr">
        <is>
          <t>#155 The Blanket Fort Blessing</t>
        </is>
      </c>
      <c r="D17" s="22" t="n">
        <v>2</v>
      </c>
      <c r="E17" s="22" t="n">
        <v>0</v>
      </c>
      <c r="F17" s="22">
        <f>D17-E17</f>
        <v/>
      </c>
      <c r="G17" s="22">
        <f>IF(E17&gt;=5,"Check","")</f>
        <v/>
      </c>
    </row>
    <row r="18" ht="15" customHeight="1" s="18">
      <c r="A18" s="22" t="n">
        <v>21</v>
      </c>
      <c r="B18" s="22" t="inlineStr">
        <is>
          <t>Edmund</t>
        </is>
      </c>
      <c r="C18" s="22" t="inlineStr">
        <is>
          <t>#96 The Last Candle</t>
        </is>
      </c>
      <c r="D18" s="22" t="n">
        <v>2</v>
      </c>
      <c r="E18" s="22" t="n">
        <v>2</v>
      </c>
      <c r="F18" s="22">
        <f>D18-E18</f>
        <v/>
      </c>
      <c r="G18" s="22">
        <f>IF(E18&gt;=5,"Check","")</f>
        <v/>
      </c>
    </row>
    <row r="19" ht="15" customHeight="1" s="18">
      <c r="A19" s="22" t="n">
        <v>24</v>
      </c>
      <c r="B19" s="22" t="inlineStr">
        <is>
          <t>Morwenna</t>
        </is>
      </c>
      <c r="C19" s="22" t="inlineStr">
        <is>
          <t>#145 The Tidal Heart</t>
        </is>
      </c>
      <c r="D19" s="22" t="n">
        <v>4</v>
      </c>
      <c r="E19" s="22" t="n">
        <v>4</v>
      </c>
      <c r="F19" s="22">
        <f>D19-E19</f>
        <v/>
      </c>
      <c r="G19" s="22">
        <f>IF(E19&gt;=5,"Check","")</f>
        <v/>
      </c>
    </row>
    <row r="20" ht="15" customHeight="1" s="18">
      <c r="A20" s="22" t="n">
        <v>24</v>
      </c>
      <c r="B20" s="22" t="inlineStr">
        <is>
          <t>Noor</t>
        </is>
      </c>
      <c r="C20" s="22" t="inlineStr">
        <is>
          <t>#172 The Sleepy Stardrop</t>
        </is>
      </c>
      <c r="D20" s="22" t="n">
        <v>0</v>
      </c>
      <c r="E20" s="22" t="n">
        <v>0</v>
      </c>
      <c r="F20" s="22">
        <f>D20-E20</f>
        <v/>
      </c>
      <c r="G20" s="22">
        <f>IF(E20&gt;=5,"Check","")</f>
        <v/>
      </c>
    </row>
    <row r="21" ht="15" customHeight="1" s="18">
      <c r="A21" s="22" t="n">
        <v>33</v>
      </c>
      <c r="B21" s="22" t="inlineStr">
        <is>
          <t>Sam</t>
        </is>
      </c>
      <c r="C21" s="22" t="inlineStr">
        <is>
          <t>#221 The Soundtrack Summoner</t>
        </is>
      </c>
      <c r="D21" s="22" t="n">
        <v>1</v>
      </c>
      <c r="E21" s="22" t="n">
        <v>0</v>
      </c>
      <c r="F21" s="22">
        <f>D21-E21</f>
        <v/>
      </c>
      <c r="G21" s="22">
        <f>IF(E21&gt;=5,"Check","")</f>
        <v/>
      </c>
    </row>
    <row r="22" ht="15" customHeight="1" s="18">
      <c r="A22" s="22" t="n">
        <v>25</v>
      </c>
      <c r="B22" s="22" t="inlineStr">
        <is>
          <t>Hester</t>
        </is>
      </c>
      <c r="C22" s="22" t="inlineStr">
        <is>
          <t>#135 The Green Comet</t>
        </is>
      </c>
      <c r="D22" s="22" t="n">
        <v>6</v>
      </c>
      <c r="E22" s="22" t="n">
        <v>2</v>
      </c>
      <c r="F22" s="22">
        <f>D22-E22</f>
        <v/>
      </c>
      <c r="G22" s="22">
        <f>IF(E22&gt;=5,"Check","")</f>
        <v/>
      </c>
    </row>
    <row r="23" ht="15" customHeight="1" s="18">
      <c r="A23" s="22" t="n">
        <v>26</v>
      </c>
      <c r="B23" s="22" t="inlineStr">
        <is>
          <t>Dottie</t>
        </is>
      </c>
      <c r="C23" s="22" t="inlineStr">
        <is>
          <t>#166 The Pocket-Sized Hearth</t>
        </is>
      </c>
      <c r="D23" s="22" t="n">
        <v>1</v>
      </c>
      <c r="E23" s="22" t="n">
        <v>0</v>
      </c>
      <c r="F23" s="22">
        <f>D23-E23</f>
        <v/>
      </c>
      <c r="G23" s="22">
        <f>IF(E23&gt;=5,"Check","")</f>
        <v/>
      </c>
    </row>
    <row r="24" ht="15" customHeight="1" s="18">
      <c r="A24" s="22" t="n">
        <v>28</v>
      </c>
      <c r="B24" s="22" t="inlineStr">
        <is>
          <t>Ivy</t>
        </is>
      </c>
      <c r="C24" s="22" t="inlineStr">
        <is>
          <t>#218 The Outfit Oracle</t>
        </is>
      </c>
      <c r="D24" s="22" t="n">
        <v>4</v>
      </c>
      <c r="E24" s="22" t="n">
        <v>1</v>
      </c>
      <c r="F24" s="22">
        <f>D24-E24</f>
        <v/>
      </c>
      <c r="G24" s="22">
        <f>IF(E24&gt;=5,"Check","")</f>
        <v/>
      </c>
    </row>
    <row r="25" ht="15" customHeight="1" s="18">
      <c r="A25" s="22" t="n">
        <v>33</v>
      </c>
      <c r="B25" s="22" t="inlineStr">
        <is>
          <t>Goldie</t>
        </is>
      </c>
      <c r="C25" s="22" t="inlineStr">
        <is>
          <t>#219 The Hello Spell</t>
        </is>
      </c>
      <c r="D25" s="22" t="n">
        <v>2</v>
      </c>
      <c r="E25" s="22" t="n">
        <v>0</v>
      </c>
      <c r="F25" s="22">
        <f>D25-E25</f>
        <v/>
      </c>
      <c r="G25" s="22">
        <f>IF(E25&gt;=5,"Check","")</f>
        <v/>
      </c>
    </row>
    <row r="26" ht="15" customHeight="1" s="18">
      <c r="A26" s="22" t="n">
        <v>34</v>
      </c>
      <c r="B26" s="22" t="inlineStr">
        <is>
          <t>Felix</t>
        </is>
      </c>
      <c r="C26" s="22" t="inlineStr">
        <is>
          <t>#34 The Crowned Path</t>
        </is>
      </c>
      <c r="D26" s="22" t="n">
        <v>4</v>
      </c>
      <c r="E26" s="22" t="n">
        <v>2</v>
      </c>
      <c r="F26" s="22">
        <f>D26-E26</f>
        <v/>
      </c>
      <c r="G26" s="22">
        <f>IF(E26&gt;=5,"Check","")</f>
        <v/>
      </c>
    </row>
    <row r="27" ht="15" customHeight="1" s="18">
      <c r="A27" s="22" t="n">
        <v>31</v>
      </c>
      <c r="B27" s="22" t="inlineStr">
        <is>
          <t>Morwenna</t>
        </is>
      </c>
      <c r="C27" s="22" t="inlineStr">
        <is>
          <t>#124 The Shadowed Halo</t>
        </is>
      </c>
      <c r="D27" s="22" t="n">
        <v>5</v>
      </c>
      <c r="E27" s="22" t="n">
        <v>1</v>
      </c>
      <c r="F27" s="22">
        <f>D27-E27</f>
        <v/>
      </c>
      <c r="G27" s="22">
        <f>IF(E27&gt;=5,"Check","")</f>
        <v/>
      </c>
    </row>
    <row r="28" ht="15" customHeight="1" s="18">
      <c r="A28" s="22" t="n">
        <v>35</v>
      </c>
      <c r="B28" s="22" t="inlineStr">
        <is>
          <t>Edmund</t>
        </is>
      </c>
      <c r="C28" s="22" t="inlineStr">
        <is>
          <t>#69 Company of the Moon</t>
        </is>
      </c>
      <c r="D28" s="22" t="n">
        <v>4</v>
      </c>
      <c r="E28" s="22" t="n">
        <v>0</v>
      </c>
      <c r="F28" s="22">
        <f>D28-E28</f>
        <v/>
      </c>
      <c r="G28" s="22">
        <f>IF(E28&gt;=5,"Check","")</f>
        <v/>
      </c>
    </row>
    <row r="29" ht="15" customHeight="1" s="18">
      <c r="A29" s="22" t="n">
        <v>32</v>
      </c>
      <c r="B29" s="22" t="inlineStr">
        <is>
          <t>Dottie</t>
        </is>
      </c>
      <c r="C29" s="22" t="inlineStr">
        <is>
          <t>#235 The Sweetness Permission</t>
        </is>
      </c>
      <c r="D29" s="22" t="n">
        <v>1</v>
      </c>
      <c r="E29" s="22" t="n">
        <v>1</v>
      </c>
      <c r="F29" s="22">
        <f>D29-E29</f>
        <v/>
      </c>
      <c r="G29" s="22">
        <f>IF(E29&gt;=5,"Check","")</f>
        <v/>
      </c>
    </row>
    <row r="30" ht="15" customHeight="1" s="18">
      <c r="A30" s="22" t="n">
        <v>38</v>
      </c>
      <c r="B30" s="22" t="inlineStr">
        <is>
          <t>Noor</t>
        </is>
      </c>
      <c r="C30" s="22" t="inlineStr">
        <is>
          <t>#64 The Open Lantern</t>
        </is>
      </c>
      <c r="D30" s="22" t="n">
        <v>0</v>
      </c>
      <c r="E30" s="22" t="n">
        <v>0</v>
      </c>
      <c r="F30" s="22">
        <f>D30-E30</f>
        <v/>
      </c>
      <c r="G30" s="22">
        <f>IF(E30&gt;=5,"Check","")</f>
        <v/>
      </c>
    </row>
    <row r="31" ht="15" customHeight="1" s="18">
      <c r="A31" s="22" t="n">
        <v>34</v>
      </c>
      <c r="B31" s="22" t="inlineStr">
        <is>
          <t>Edmund</t>
        </is>
      </c>
      <c r="C31" s="22" t="inlineStr">
        <is>
          <t>#208 The Rain-Rooted Heart</t>
        </is>
      </c>
      <c r="D31" s="22" t="n">
        <v>5</v>
      </c>
      <c r="E31" s="22" t="n">
        <v>0</v>
      </c>
      <c r="F31" s="22">
        <f>D31-E31</f>
        <v/>
      </c>
      <c r="G31" s="22">
        <f>IF(E31&gt;=5,"Check","")</f>
        <v/>
      </c>
    </row>
    <row r="32" ht="15" customHeight="1" s="18">
      <c r="A32" s="22" t="n">
        <v>39</v>
      </c>
      <c r="B32" s="22" t="inlineStr">
        <is>
          <t>Sam</t>
        </is>
      </c>
      <c r="C32" s="22" t="inlineStr">
        <is>
          <t>#232 The Critical-Hit Charm</t>
        </is>
      </c>
      <c r="D32" s="22" t="n">
        <v>4</v>
      </c>
      <c r="E32" s="22" t="n">
        <v>3</v>
      </c>
      <c r="F32" s="22">
        <f>D32-E32</f>
        <v/>
      </c>
      <c r="G32" s="22">
        <f>IF(E32&gt;=5,"Check","")</f>
        <v/>
      </c>
    </row>
    <row r="33" ht="15" customHeight="1" s="18">
      <c r="A33" s="22" t="n">
        <v>36</v>
      </c>
      <c r="B33" s="22" t="inlineStr">
        <is>
          <t>Hester</t>
        </is>
      </c>
      <c r="C33" s="22" t="inlineStr">
        <is>
          <t>#150 The Promise of Blue Hour</t>
        </is>
      </c>
      <c r="D33" s="22" t="n">
        <v>3</v>
      </c>
      <c r="E33" s="22" t="n">
        <v>0</v>
      </c>
      <c r="F33" s="22">
        <f>D33-E33</f>
        <v/>
      </c>
      <c r="G33" s="22">
        <f>IF(E33&gt;=5,"Check","")</f>
        <v/>
      </c>
    </row>
    <row r="34" ht="15" customHeight="1" s="18">
      <c r="A34" s="22" t="n">
        <v>39</v>
      </c>
      <c r="B34" s="22" t="inlineStr">
        <is>
          <t>Ivy</t>
        </is>
      </c>
      <c r="C34" s="22" t="inlineStr">
        <is>
          <t>#20 The Unclouded Eye</t>
        </is>
      </c>
      <c r="D34" s="22" t="n">
        <v>2</v>
      </c>
      <c r="E34" s="22" t="n">
        <v>1</v>
      </c>
      <c r="F34" s="22">
        <f>D34-E34</f>
        <v/>
      </c>
      <c r="G34" s="22">
        <f>IF(E34&gt;=5,"Check","")</f>
        <v/>
      </c>
    </row>
    <row r="35" ht="15" customHeight="1" s="18">
      <c r="A35" s="22" t="n">
        <v>38</v>
      </c>
      <c r="B35" s="22" t="inlineStr">
        <is>
          <t>Rosalind</t>
        </is>
      </c>
      <c r="C35" s="22" t="inlineStr">
        <is>
          <t>#171 The Pillow Fort Moon</t>
        </is>
      </c>
      <c r="D35" s="22" t="n">
        <v>2</v>
      </c>
      <c r="E35" s="22" t="n">
        <v>0</v>
      </c>
      <c r="F35" s="22">
        <f>D35-E35</f>
        <v/>
      </c>
      <c r="G35" s="22">
        <f>IF(E35&gt;=5,"Check","")</f>
        <v/>
      </c>
    </row>
    <row r="36" ht="15" customHeight="1" s="18">
      <c r="A36" s="22" t="n">
        <v>45</v>
      </c>
      <c r="B36" s="22" t="inlineStr">
        <is>
          <t>Morwenna</t>
        </is>
      </c>
      <c r="C36" s="22" t="inlineStr">
        <is>
          <t>#26 Sanctuary in Blue</t>
        </is>
      </c>
      <c r="D36" s="22" t="n">
        <v>2</v>
      </c>
      <c r="E36" s="22" t="n">
        <v>1</v>
      </c>
      <c r="F36" s="22">
        <f>D36-E36</f>
        <v/>
      </c>
      <c r="G36" s="22">
        <f>IF(E36&gt;=5,"Check","")</f>
        <v/>
      </c>
    </row>
    <row r="37" ht="15" customHeight="1" s="18">
      <c r="A37" s="22" t="n">
        <v>44</v>
      </c>
      <c r="B37" s="22" t="inlineStr">
        <is>
          <t>Felix</t>
        </is>
      </c>
      <c r="C37" s="22" t="inlineStr">
        <is>
          <t>#163 The Unhurried Hour</t>
        </is>
      </c>
      <c r="D37" s="22" t="n">
        <v>0</v>
      </c>
      <c r="E37" s="22" t="n">
        <v>0</v>
      </c>
      <c r="F37" s="22">
        <f>D37-E37</f>
        <v/>
      </c>
      <c r="G37" s="22">
        <f>IF(E37&gt;=5,"Check","")</f>
        <v/>
      </c>
    </row>
    <row r="38" ht="15" customHeight="1" s="18">
      <c r="A38" s="22" t="n">
        <v>50</v>
      </c>
      <c r="B38" s="22" t="inlineStr">
        <is>
          <t>Noor</t>
        </is>
      </c>
      <c r="C38" s="22" t="inlineStr">
        <is>
          <t>#89 Done Is Enchanted</t>
        </is>
      </c>
      <c r="D38" s="22" t="n">
        <v>2</v>
      </c>
      <c r="E38" s="22" t="n">
        <v>0</v>
      </c>
      <c r="F38" s="22">
        <f>D38-E38</f>
        <v/>
      </c>
      <c r="G38" s="22">
        <f>IF(E38&gt;=5,"Check","")</f>
        <v/>
      </c>
    </row>
    <row r="39" ht="15" customHeight="1" s="18">
      <c r="A39" s="22" t="n">
        <v>43</v>
      </c>
      <c r="B39" s="22" t="inlineStr">
        <is>
          <t>Dottie</t>
        </is>
      </c>
      <c r="C39" s="22" t="inlineStr">
        <is>
          <t>#159 Rain on the Windowsill</t>
        </is>
      </c>
      <c r="D39" s="22" t="n">
        <v>1</v>
      </c>
      <c r="E39" s="22" t="n">
        <v>0</v>
      </c>
      <c r="F39" s="22">
        <f>D39-E39</f>
        <v/>
      </c>
      <c r="G39" s="22">
        <f>IF(E39&gt;=5,"Check","")</f>
        <v/>
      </c>
    </row>
    <row r="40" ht="15" customHeight="1" s="18">
      <c r="A40" s="22" t="n">
        <v>45</v>
      </c>
      <c r="B40" s="22" t="inlineStr">
        <is>
          <t>Edmund</t>
        </is>
      </c>
      <c r="C40" s="22" t="inlineStr">
        <is>
          <t>#98 The Soft Return</t>
        </is>
      </c>
      <c r="D40" s="22" t="n">
        <v>1</v>
      </c>
      <c r="E40" s="22" t="n">
        <v>1</v>
      </c>
      <c r="F40" s="22">
        <f>D40-E40</f>
        <v/>
      </c>
      <c r="G40" s="22">
        <f>IF(E40&gt;=5,"Check","")</f>
        <v/>
      </c>
    </row>
    <row r="41" ht="15" customHeight="1" s="18">
      <c r="A41" s="22" t="n">
        <v>47</v>
      </c>
      <c r="B41" s="22" t="inlineStr">
        <is>
          <t>Morwenna</t>
        </is>
      </c>
      <c r="C41" s="22" t="inlineStr">
        <is>
          <t>#113 The Little Moon Temple</t>
        </is>
      </c>
      <c r="D41" s="22" t="n">
        <v>2</v>
      </c>
      <c r="E41" s="22" t="n">
        <v>0</v>
      </c>
      <c r="F41" s="22">
        <f>D41-E41</f>
        <v/>
      </c>
      <c r="G41" s="22">
        <f>IF(E41&gt;=5,"Check","")</f>
        <v/>
      </c>
    </row>
    <row r="42" ht="15" customHeight="1" s="18">
      <c r="A42" s="22" t="n">
        <v>49</v>
      </c>
      <c r="B42" s="22" t="inlineStr">
        <is>
          <t>Goldie</t>
        </is>
      </c>
      <c r="C42" s="22" t="inlineStr">
        <is>
          <t>#238 The Personal Fan Club</t>
        </is>
      </c>
      <c r="D42" s="22" t="n">
        <v>1</v>
      </c>
      <c r="E42" s="22" t="n">
        <v>0</v>
      </c>
      <c r="F42" s="22">
        <f>D42-E42</f>
        <v/>
      </c>
      <c r="G42" s="22">
        <f>IF(E42&gt;=5,"Check","")</f>
        <v/>
      </c>
    </row>
    <row r="43" ht="15" customHeight="1" s="18">
      <c r="A43" s="22" t="n">
        <v>50</v>
      </c>
      <c r="B43" s="22" t="inlineStr">
        <is>
          <t>Hester</t>
        </is>
      </c>
      <c r="C43" s="22" t="inlineStr">
        <is>
          <t>#6 Venus in Bloom</t>
        </is>
      </c>
      <c r="D43" s="22" t="n">
        <v>4</v>
      </c>
      <c r="E43" s="22" t="n">
        <v>0</v>
      </c>
      <c r="F43" s="22">
        <f>D43-E43</f>
        <v/>
      </c>
      <c r="G43" s="22">
        <f>IF(E43&gt;=5,"Check","")</f>
        <v/>
      </c>
    </row>
    <row r="44" ht="15" customHeight="1" s="18">
      <c r="A44" s="22" t="n">
        <v>50</v>
      </c>
      <c r="B44" s="22" t="inlineStr">
        <is>
          <t>Rosalind</t>
        </is>
      </c>
      <c r="C44" s="22" t="inlineStr">
        <is>
          <t>#173 One Tiny Task at a Time</t>
        </is>
      </c>
      <c r="D44" s="22" t="n">
        <v>2</v>
      </c>
      <c r="E44" s="22" t="n">
        <v>0</v>
      </c>
      <c r="F44" s="22">
        <f>D44-E44</f>
        <v/>
      </c>
      <c r="G44" s="22">
        <f>IF(E44&gt;=5,"Check","")</f>
        <v/>
      </c>
    </row>
    <row r="45" ht="15" customHeight="1" s="18">
      <c r="A45" s="22" t="n">
        <v>55</v>
      </c>
      <c r="B45" s="22" t="inlineStr">
        <is>
          <t>Dottie</t>
        </is>
      </c>
      <c r="C45" s="22" t="inlineStr">
        <is>
          <t>#154 The Silver Shopping Star</t>
        </is>
      </c>
      <c r="D45" s="22" t="n">
        <v>3</v>
      </c>
      <c r="E45" s="22" t="n">
        <v>0</v>
      </c>
      <c r="F45" s="22">
        <f>D45-E45</f>
        <v/>
      </c>
      <c r="G45" s="22">
        <f>IF(E45&gt;=5,"Check","")</f>
        <v/>
      </c>
    </row>
    <row r="46" ht="15" customHeight="1" s="18">
      <c r="A46" s="22" t="n">
        <v>60</v>
      </c>
      <c r="B46" s="22" t="inlineStr">
        <is>
          <t>Noor</t>
        </is>
      </c>
      <c r="C46" s="22" t="inlineStr">
        <is>
          <t>#77 Brainstorm Stardust</t>
        </is>
      </c>
      <c r="D46" s="22" t="n">
        <v>3</v>
      </c>
      <c r="E46" s="22" t="n">
        <v>3</v>
      </c>
      <c r="F46" s="22">
        <f>D46-E46</f>
        <v/>
      </c>
      <c r="G46" s="22">
        <f>IF(E46&gt;=5,"Check","")</f>
        <v/>
      </c>
    </row>
    <row r="47" ht="15" customHeight="1" s="18">
      <c r="A47" s="22" t="n">
        <v>61</v>
      </c>
      <c r="B47" s="22" t="inlineStr">
        <is>
          <t>Sam</t>
        </is>
      </c>
      <c r="C47" s="22" t="inlineStr">
        <is>
          <t>#223 The Rhythm of Doing</t>
        </is>
      </c>
      <c r="D47" s="22" t="n">
        <v>0</v>
      </c>
      <c r="E47" s="22" t="n">
        <v>0</v>
      </c>
      <c r="F47" s="22">
        <f>D47-E47</f>
        <v/>
      </c>
      <c r="G47" s="22">
        <f>IF(E47&gt;=5,"Check","")</f>
        <v/>
      </c>
    </row>
    <row r="48" ht="15" customHeight="1" s="18">
      <c r="A48" s="22" t="n">
        <v>55</v>
      </c>
      <c r="B48" s="22" t="inlineStr">
        <is>
          <t>Morwenna</t>
        </is>
      </c>
      <c r="C48" s="22" t="inlineStr">
        <is>
          <t>#140 The Moonlit Appointment</t>
        </is>
      </c>
      <c r="D48" s="22" t="n">
        <v>0</v>
      </c>
      <c r="E48" s="22" t="n">
        <v>0</v>
      </c>
      <c r="F48" s="22">
        <f>D48-E48</f>
        <v/>
      </c>
      <c r="G48" s="22">
        <f>IF(E48&gt;=5,"Check","")</f>
        <v/>
      </c>
    </row>
    <row r="49" ht="15" customHeight="1" s="18">
      <c r="A49" s="22" t="n">
        <v>63</v>
      </c>
      <c r="B49" s="22" t="inlineStr">
        <is>
          <t>Goldie</t>
        </is>
      </c>
      <c r="C49" s="22" t="inlineStr">
        <is>
          <t>#12 The Lover's Mirror</t>
        </is>
      </c>
      <c r="D49" s="22" t="n">
        <v>2</v>
      </c>
      <c r="E49" s="22" t="n">
        <v>0</v>
      </c>
      <c r="F49" s="22">
        <f>D49-E49</f>
        <v/>
      </c>
      <c r="G49" s="22">
        <f>IF(E49&gt;=5,"Check","")</f>
        <v/>
      </c>
    </row>
    <row r="50" ht="15" customHeight="1" s="18">
      <c r="A50" s="22" t="n">
        <v>63</v>
      </c>
      <c r="B50" s="22" t="inlineStr">
        <is>
          <t>Ivy</t>
        </is>
      </c>
      <c r="C50" s="22" t="inlineStr">
        <is>
          <t>#53 The Enchanted Wardrobe</t>
        </is>
      </c>
      <c r="D50" s="22" t="n">
        <v>2</v>
      </c>
      <c r="E50" s="22" t="n">
        <v>1</v>
      </c>
      <c r="F50" s="22">
        <f>D50-E50</f>
        <v/>
      </c>
      <c r="G50" s="22">
        <f>IF(E50&gt;=5,"Check","")</f>
        <v/>
      </c>
    </row>
    <row r="51" ht="15" customHeight="1" s="18">
      <c r="A51" s="22" t="n">
        <v>67</v>
      </c>
      <c r="B51" s="22" t="inlineStr">
        <is>
          <t>Felix</t>
        </is>
      </c>
      <c r="C51" s="22" t="inlineStr">
        <is>
          <t>#182 The Door You Know</t>
        </is>
      </c>
      <c r="D51" s="22" t="n">
        <v>1</v>
      </c>
      <c r="E51" s="22" t="n">
        <v>1</v>
      </c>
      <c r="F51" s="22">
        <f>D51-E51</f>
        <v/>
      </c>
      <c r="G51" s="22">
        <f>IF(E51&gt;=5,"Check","")</f>
        <v/>
      </c>
    </row>
    <row r="52" ht="15" customHeight="1" s="18">
      <c r="A52" s="22" t="n">
        <v>60</v>
      </c>
      <c r="B52" s="22" t="inlineStr">
        <is>
          <t>Sam</t>
        </is>
      </c>
      <c r="C52" s="22" t="inlineStr">
        <is>
          <t>#76 The Muse Unlocked</t>
        </is>
      </c>
      <c r="D52" s="22" t="n">
        <v>0</v>
      </c>
      <c r="E52" s="22" t="n">
        <v>0</v>
      </c>
      <c r="F52" s="22">
        <f>D52-E52</f>
        <v/>
      </c>
      <c r="G52" s="22">
        <f>IF(E52&gt;=5,"Check","")</f>
        <v/>
      </c>
    </row>
    <row r="53" ht="15" customHeight="1" s="18">
      <c r="A53" s="22" t="n">
        <v>63</v>
      </c>
      <c r="B53" s="22" t="inlineStr">
        <is>
          <t>Goldie</t>
        </is>
      </c>
      <c r="C53" s="22" t="inlineStr">
        <is>
          <t>#11 Strawberry Moon</t>
        </is>
      </c>
      <c r="D53" s="22" t="n">
        <v>2</v>
      </c>
      <c r="E53" s="22" t="n">
        <v>2</v>
      </c>
      <c r="F53" s="22">
        <f>D53-E53</f>
        <v/>
      </c>
      <c r="G53" s="22">
        <f>IF(E53&gt;=5,"Check","")</f>
        <v/>
      </c>
    </row>
    <row r="54" ht="15" customHeight="1" s="18">
      <c r="A54" s="22" t="n">
        <v>61</v>
      </c>
      <c r="B54" s="22" t="inlineStr">
        <is>
          <t>Dottie</t>
        </is>
      </c>
      <c r="C54" s="22" t="inlineStr">
        <is>
          <t>#75 The Honeybee Feast</t>
        </is>
      </c>
      <c r="D54" s="22" t="n">
        <v>3</v>
      </c>
      <c r="E54" s="22" t="n">
        <v>3</v>
      </c>
      <c r="F54" s="22">
        <f>D54-E54</f>
        <v/>
      </c>
      <c r="G54" s="22">
        <f>IF(E54&gt;=5,"Check","")</f>
        <v/>
      </c>
    </row>
    <row r="55" ht="15" customHeight="1" s="18">
      <c r="A55" s="22" t="n">
        <v>63</v>
      </c>
      <c r="B55" s="22" t="inlineStr">
        <is>
          <t>Hester</t>
        </is>
      </c>
      <c r="C55" s="22" t="inlineStr">
        <is>
          <t>#137 Solstice Honey</t>
        </is>
      </c>
      <c r="D55" s="22" t="n">
        <v>3</v>
      </c>
      <c r="E55" s="22" t="n">
        <v>0</v>
      </c>
      <c r="F55" s="22">
        <f>D55-E55</f>
        <v/>
      </c>
      <c r="G55" s="22">
        <f>IF(E55&gt;=5,"Check","")</f>
        <v/>
      </c>
    </row>
    <row r="56" ht="15" customHeight="1" s="18">
      <c r="A56" s="22" t="n">
        <v>63</v>
      </c>
      <c r="B56" s="22" t="inlineStr">
        <is>
          <t>Morwenna</t>
        </is>
      </c>
      <c r="C56" s="22" t="inlineStr">
        <is>
          <t>#60 A Body Made of Stars</t>
        </is>
      </c>
      <c r="D56" s="22" t="n">
        <v>5</v>
      </c>
      <c r="E56" s="22" t="n">
        <v>0</v>
      </c>
      <c r="F56" s="22">
        <f>D56-E56</f>
        <v/>
      </c>
      <c r="G56" s="22">
        <f>IF(E56&gt;=5,"Check","")</f>
        <v/>
      </c>
    </row>
    <row r="57" ht="15" customHeight="1" s="18">
      <c r="A57" s="22" t="n">
        <v>67</v>
      </c>
      <c r="B57" s="22" t="inlineStr">
        <is>
          <t>Felix</t>
        </is>
      </c>
      <c r="C57" s="22" t="inlineStr">
        <is>
          <t>#87 The Fool's Golden Star</t>
        </is>
      </c>
      <c r="D57" s="22" t="n">
        <v>3</v>
      </c>
      <c r="E57" s="22" t="n">
        <v>2</v>
      </c>
      <c r="F57" s="22">
        <f>D57-E57</f>
        <v/>
      </c>
      <c r="G57" s="22">
        <f>IF(E57&gt;=5,"Check","")</f>
        <v/>
      </c>
    </row>
    <row r="58" ht="15" customHeight="1" s="18">
      <c r="A58" s="22" t="n">
        <v>65</v>
      </c>
      <c r="B58" s="22" t="inlineStr">
        <is>
          <t>Noor</t>
        </is>
      </c>
      <c r="C58" s="22" t="inlineStr">
        <is>
          <t>#189 The Cracked Porcelain Crown</t>
        </is>
      </c>
      <c r="D58" s="22" t="n">
        <v>0</v>
      </c>
      <c r="E58" s="22" t="n">
        <v>0</v>
      </c>
      <c r="F58" s="22">
        <f>D58-E58</f>
        <v/>
      </c>
      <c r="G58" s="22">
        <f>IF(E58&gt;=5,"Check","")</f>
        <v/>
      </c>
    </row>
    <row r="59" ht="15" customHeight="1" s="18">
      <c r="A59" s="22" t="n">
        <v>66</v>
      </c>
      <c r="B59" s="22" t="inlineStr">
        <is>
          <t>Edmund</t>
        </is>
      </c>
      <c r="C59" s="22" t="inlineStr">
        <is>
          <t>#156 The Supper of Small Wonders</t>
        </is>
      </c>
      <c r="D59" s="22" t="n">
        <v>0</v>
      </c>
      <c r="E59" s="22" t="n">
        <v>0</v>
      </c>
      <c r="F59" s="22">
        <f>D59-E59</f>
        <v/>
      </c>
      <c r="G59" s="22">
        <f>IF(E59&gt;=5,"Check","")</f>
        <v/>
      </c>
    </row>
    <row r="60" ht="15" customHeight="1" s="18">
      <c r="A60" s="22" t="n">
        <v>72</v>
      </c>
      <c r="B60" s="22" t="inlineStr">
        <is>
          <t>Ivy</t>
        </is>
      </c>
      <c r="C60" s="22" t="inlineStr">
        <is>
          <t>#188 The Green-Eyed Lantern</t>
        </is>
      </c>
      <c r="D60" s="22" t="n">
        <v>1</v>
      </c>
      <c r="E60" s="22" t="n">
        <v>0</v>
      </c>
      <c r="F60" s="22">
        <f>D60-E60</f>
        <v/>
      </c>
      <c r="G60" s="22">
        <f>IF(E60&gt;=5,"Check","")</f>
        <v/>
      </c>
    </row>
    <row r="61" ht="15" customHeight="1" s="18">
      <c r="A61" s="22" t="n">
        <v>68</v>
      </c>
      <c r="B61" s="22" t="inlineStr">
        <is>
          <t>Dottie</t>
        </is>
      </c>
      <c r="C61" s="22" t="inlineStr">
        <is>
          <t>#227 The Cozy-Cute Conjuring</t>
        </is>
      </c>
      <c r="D61" s="22" t="n">
        <v>4</v>
      </c>
      <c r="E61" s="22" t="n">
        <v>2</v>
      </c>
      <c r="F61" s="22">
        <f>D61-E61</f>
        <v/>
      </c>
      <c r="G61" s="22">
        <f>IF(E61&gt;=5,"Check","")</f>
        <v/>
      </c>
    </row>
    <row r="62" ht="15" customHeight="1" s="18">
      <c r="A62" s="22" t="n">
        <v>78</v>
      </c>
      <c r="B62" s="22" t="inlineStr">
        <is>
          <t>Sam</t>
        </is>
      </c>
      <c r="C62" s="22" t="inlineStr">
        <is>
          <t>#240 The Glitterbomb Muse</t>
        </is>
      </c>
      <c r="D62" s="22" t="n">
        <v>1</v>
      </c>
      <c r="E62" s="22" t="n">
        <v>0</v>
      </c>
      <c r="F62" s="22">
        <f>D62-E62</f>
        <v/>
      </c>
      <c r="G62" s="22">
        <f>IF(E62&gt;=5,"Check","")</f>
        <v/>
      </c>
    </row>
    <row r="63" ht="15" customHeight="1" s="18">
      <c r="A63" s="22" t="n">
        <v>75</v>
      </c>
      <c r="B63" s="22" t="inlineStr">
        <is>
          <t>Goldie</t>
        </is>
      </c>
      <c r="C63" s="22" t="inlineStr">
        <is>
          <t>#157 The Honeyed Hello</t>
        </is>
      </c>
      <c r="D63" s="22" t="n">
        <v>0</v>
      </c>
      <c r="E63" s="22" t="n">
        <v>0</v>
      </c>
      <c r="F63" s="22">
        <f>D63-E63</f>
        <v/>
      </c>
      <c r="G63" s="22">
        <f>IF(E63&gt;=5,"Check","")</f>
        <v/>
      </c>
    </row>
    <row r="64" ht="15" customHeight="1" s="18">
      <c r="A64" s="22" t="n">
        <v>71</v>
      </c>
      <c r="B64" s="22" t="inlineStr">
        <is>
          <t>Morwenna</t>
        </is>
      </c>
      <c r="C64" s="22" t="inlineStr">
        <is>
          <t>#125 A Thousand Open Eyes</t>
        </is>
      </c>
      <c r="D64" s="22" t="n">
        <v>0</v>
      </c>
      <c r="E64" s="22" t="n">
        <v>0</v>
      </c>
      <c r="F64" s="22">
        <f>D64-E64</f>
        <v/>
      </c>
      <c r="G64" s="22">
        <f>IF(E64&gt;=5,"Check","")</f>
        <v/>
      </c>
    </row>
    <row r="65" ht="15" customHeight="1" s="18">
      <c r="A65" s="22" t="n">
        <v>72</v>
      </c>
      <c r="B65" s="22" t="inlineStr">
        <is>
          <t>Rosalind</t>
        </is>
      </c>
      <c r="C65" s="22" t="inlineStr">
        <is>
          <t>#176 The Sunday Softening</t>
        </is>
      </c>
      <c r="D65" s="22" t="n">
        <v>1</v>
      </c>
      <c r="E65" s="22" t="n">
        <v>0</v>
      </c>
      <c r="F65" s="22">
        <f>D65-E65</f>
        <v/>
      </c>
      <c r="G65" s="22">
        <f>IF(E65&gt;=5,"Check","")</f>
        <v/>
      </c>
    </row>
    <row r="66" ht="15" customHeight="1" s="18">
      <c r="A66" s="22" t="n">
        <v>73</v>
      </c>
      <c r="B66" s="22" t="inlineStr">
        <is>
          <t>Hester</t>
        </is>
      </c>
      <c r="C66" s="22" t="inlineStr">
        <is>
          <t>#45 The Honeyed Hearth</t>
        </is>
      </c>
      <c r="D66" s="22" t="n">
        <v>6</v>
      </c>
      <c r="E66" s="22" t="n">
        <v>2</v>
      </c>
      <c r="F66" s="22">
        <f>D66-E66</f>
        <v/>
      </c>
      <c r="G66" s="22">
        <f>IF(E66&gt;=5,"Check","")</f>
        <v/>
      </c>
    </row>
    <row r="67" ht="15" customHeight="1" s="18">
      <c r="A67" s="22" t="n">
        <v>73</v>
      </c>
      <c r="B67" s="22" t="inlineStr">
        <is>
          <t>Ivy</t>
        </is>
      </c>
      <c r="C67" s="22" t="inlineStr">
        <is>
          <t>#54 The Only Moon</t>
        </is>
      </c>
      <c r="D67" s="22" t="n">
        <v>1</v>
      </c>
      <c r="E67" s="22" t="n">
        <v>0</v>
      </c>
      <c r="F67" s="22">
        <f>D67-E67</f>
        <v/>
      </c>
      <c r="G67" s="22">
        <f>IF(E67&gt;=5,"Check","")</f>
        <v/>
      </c>
    </row>
    <row r="68" ht="15" customHeight="1" s="18">
      <c r="A68" s="22" t="n">
        <v>76</v>
      </c>
      <c r="B68" s="22" t="inlineStr">
        <is>
          <t>Felix</t>
        </is>
      </c>
      <c r="C68" s="22" t="inlineStr">
        <is>
          <t>#33 Key to the Golden Hour</t>
        </is>
      </c>
      <c r="D68" s="22" t="n">
        <v>2</v>
      </c>
      <c r="E68" s="22" t="n">
        <v>0</v>
      </c>
      <c r="F68" s="22">
        <f>D68-E68</f>
        <v/>
      </c>
      <c r="G68" s="22">
        <f>IF(E68&gt;=5,"Check","")</f>
        <v/>
      </c>
    </row>
    <row r="69" ht="15" customHeight="1" s="18">
      <c r="A69" s="22" t="n">
        <v>84</v>
      </c>
      <c r="B69" s="22" t="inlineStr">
        <is>
          <t>Goldie</t>
        </is>
      </c>
      <c r="C69" s="22" t="inlineStr">
        <is>
          <t>#2 The Velvet Thread</t>
        </is>
      </c>
      <c r="D69" s="22" t="n">
        <v>3</v>
      </c>
      <c r="E69" s="22" t="n">
        <v>1</v>
      </c>
      <c r="F69" s="22">
        <f>D69-E69</f>
        <v/>
      </c>
      <c r="G69" s="22">
        <f>IF(E69&gt;=5,"Check","")</f>
        <v/>
      </c>
    </row>
    <row r="70" ht="15" customHeight="1" s="18">
      <c r="A70" s="22" t="n">
        <v>79</v>
      </c>
      <c r="B70" s="22" t="inlineStr">
        <is>
          <t>Dottie</t>
        </is>
      </c>
      <c r="C70" s="22" t="inlineStr">
        <is>
          <t>#175 The Everyday Jester</t>
        </is>
      </c>
      <c r="D70" s="22" t="n">
        <v>3</v>
      </c>
      <c r="E70" s="22" t="n">
        <v>0</v>
      </c>
      <c r="F70" s="22">
        <f>D70-E70</f>
        <v/>
      </c>
      <c r="G70" s="22">
        <f>IF(E70&gt;=5,"Check","")</f>
        <v/>
      </c>
    </row>
    <row r="71" ht="15" customHeight="1" s="18">
      <c r="A71" s="22" t="n">
        <v>85</v>
      </c>
      <c r="B71" s="22" t="inlineStr">
        <is>
          <t>Edmund</t>
        </is>
      </c>
      <c r="C71" s="22" t="inlineStr">
        <is>
          <t>#71 The Woven Village</t>
        </is>
      </c>
      <c r="D71" s="22" t="n">
        <v>3</v>
      </c>
      <c r="E71" s="22" t="n">
        <v>0</v>
      </c>
      <c r="F71" s="22">
        <f>D71-E71</f>
        <v/>
      </c>
      <c r="G71" s="22">
        <f>IF(E71&gt;=5,"Check","")</f>
        <v/>
      </c>
    </row>
    <row r="72" ht="15" customHeight="1" s="18">
      <c r="A72" s="22" t="n">
        <v>79</v>
      </c>
      <c r="B72" s="22" t="inlineStr">
        <is>
          <t>Ivy</t>
        </is>
      </c>
      <c r="C72" s="22" t="inlineStr">
        <is>
          <t>#51 One of a Kind</t>
        </is>
      </c>
      <c r="D72" s="22" t="n">
        <v>4</v>
      </c>
      <c r="E72" s="22" t="n">
        <v>2</v>
      </c>
      <c r="F72" s="22">
        <f>D72-E72</f>
        <v/>
      </c>
      <c r="G72" s="22">
        <f>IF(E72&gt;=5,"Check","")</f>
        <v/>
      </c>
    </row>
    <row r="73" ht="15" customHeight="1" s="18">
      <c r="A73" s="22" t="n">
        <v>80</v>
      </c>
      <c r="B73" s="22" t="inlineStr">
        <is>
          <t>Morwenna</t>
        </is>
      </c>
      <c r="C73" s="22" t="inlineStr">
        <is>
          <t>#122 The Waning Veil</t>
        </is>
      </c>
      <c r="D73" s="22" t="n">
        <v>1</v>
      </c>
      <c r="E73" s="22" t="n">
        <v>0</v>
      </c>
      <c r="F73" s="22">
        <f>D73-E73</f>
        <v/>
      </c>
      <c r="G73" s="22">
        <f>IF(E73&gt;=5,"Check","")</f>
        <v/>
      </c>
    </row>
    <row r="74" ht="15" customHeight="1" s="18">
      <c r="A74" s="22" t="n">
        <v>81</v>
      </c>
      <c r="B74" s="22" t="inlineStr">
        <is>
          <t>Noor</t>
        </is>
      </c>
      <c r="C74" s="22" t="inlineStr">
        <is>
          <t>#206 The Clear Bell</t>
        </is>
      </c>
      <c r="D74" s="22" t="n">
        <v>0</v>
      </c>
      <c r="E74" s="22" t="n">
        <v>0</v>
      </c>
      <c r="F74" s="22">
        <f>D74-E74</f>
        <v/>
      </c>
      <c r="G74" s="22">
        <f>IF(E74&gt;=5,"Check","")</f>
        <v/>
      </c>
    </row>
    <row r="75" ht="15" customHeight="1" s="18">
      <c r="A75" s="22" t="n">
        <v>87</v>
      </c>
      <c r="B75" s="22" t="inlineStr">
        <is>
          <t>Goldie</t>
        </is>
      </c>
      <c r="C75" s="22" t="inlineStr">
        <is>
          <t>#8 Heartspeak</t>
        </is>
      </c>
      <c r="D75" s="22" t="n">
        <v>3</v>
      </c>
      <c r="E75" s="22" t="n">
        <v>0</v>
      </c>
      <c r="F75" s="22">
        <f>D75-E75</f>
        <v/>
      </c>
      <c r="G75" s="22">
        <f>IF(E75&gt;=5,"Check","")</f>
        <v/>
      </c>
    </row>
    <row r="76" ht="15" customHeight="1" s="18">
      <c r="A76" s="22" t="n">
        <v>86</v>
      </c>
      <c r="B76" s="22" t="inlineStr">
        <is>
          <t>Sam</t>
        </is>
      </c>
      <c r="C76" s="22" t="inlineStr">
        <is>
          <t>#84 The Artist's Entrance</t>
        </is>
      </c>
      <c r="D76" s="22" t="n">
        <v>1</v>
      </c>
      <c r="E76" s="22" t="n">
        <v>0</v>
      </c>
      <c r="F76" s="22">
        <f>D76-E76</f>
        <v/>
      </c>
      <c r="G76" s="22">
        <f>IF(E76&gt;=5,"Check","")</f>
        <v/>
      </c>
    </row>
    <row r="77" ht="15" customHeight="1" s="18">
      <c r="A77" s="22" t="n">
        <v>85</v>
      </c>
      <c r="B77" s="22" t="inlineStr">
        <is>
          <t>Dottie</t>
        </is>
      </c>
      <c r="C77" s="22" t="inlineStr">
        <is>
          <t>#42 The Golden Nest</t>
        </is>
      </c>
      <c r="D77" s="22" t="n">
        <v>1</v>
      </c>
      <c r="E77" s="22" t="n">
        <v>0</v>
      </c>
      <c r="F77" s="22">
        <f>D77-E77</f>
        <v/>
      </c>
      <c r="G77" s="22">
        <f>IF(E77&gt;=5,"Check","")</f>
        <v/>
      </c>
    </row>
    <row r="78" ht="15" customHeight="1" s="18">
      <c r="A78" s="22" t="n">
        <v>86</v>
      </c>
      <c r="B78" s="22" t="inlineStr">
        <is>
          <t>Hester</t>
        </is>
      </c>
      <c r="C78" s="22" t="inlineStr">
        <is>
          <t>#197 The Two-Sided Star</t>
        </is>
      </c>
      <c r="D78" s="22" t="n">
        <v>2</v>
      </c>
      <c r="E78" s="22" t="n">
        <v>0</v>
      </c>
      <c r="F78" s="22">
        <f>D78-E78</f>
        <v/>
      </c>
      <c r="G78" s="22">
        <f>IF(E78&gt;=5,"Check","")</f>
        <v/>
      </c>
    </row>
    <row r="79" ht="15" customHeight="1" s="18">
      <c r="A79" s="22" t="n">
        <v>87</v>
      </c>
      <c r="B79" s="22" t="inlineStr">
        <is>
          <t>Morwenna</t>
        </is>
      </c>
      <c r="C79" s="22" t="inlineStr">
        <is>
          <t>#139 The North Star Within</t>
        </is>
      </c>
      <c r="D79" s="22" t="n">
        <v>1</v>
      </c>
      <c r="E79" s="22" t="n">
        <v>0</v>
      </c>
      <c r="F79" s="22">
        <f>D79-E79</f>
        <v/>
      </c>
      <c r="G79" s="22">
        <f>IF(E79&gt;=5,"Check","")</f>
        <v/>
      </c>
    </row>
    <row r="80" ht="15" customHeight="1" s="18">
      <c r="A80" s="22" t="n">
        <v>93</v>
      </c>
      <c r="B80" s="22" t="inlineStr">
        <is>
          <t>Felix</t>
        </is>
      </c>
      <c r="C80" s="22" t="inlineStr">
        <is>
          <t>#209 The Worth Beyond Work</t>
        </is>
      </c>
      <c r="D80" s="22" t="n">
        <v>0</v>
      </c>
      <c r="E80" s="22" t="n">
        <v>0</v>
      </c>
      <c r="F80" s="22">
        <f>D80-E80</f>
        <v/>
      </c>
      <c r="G80" s="22">
        <f>IF(E80&gt;=5,"Check","")</f>
        <v/>
      </c>
    </row>
    <row r="81" ht="15" customHeight="1" s="18">
      <c r="A81" s="22" t="n">
        <v>93</v>
      </c>
      <c r="B81" s="22" t="inlineStr">
        <is>
          <t>Rosalind</t>
        </is>
      </c>
      <c r="C81" s="22" t="inlineStr">
        <is>
          <t>#105 Permission to Be</t>
        </is>
      </c>
      <c r="D81" s="22" t="n">
        <v>0</v>
      </c>
      <c r="E81" s="22" t="n">
        <v>0</v>
      </c>
      <c r="F81" s="22">
        <f>D81-E81</f>
        <v/>
      </c>
      <c r="G81" s="22">
        <f>IF(E81&gt;=5,"Check","")</f>
        <v/>
      </c>
    </row>
    <row r="82" ht="15" customHeight="1" s="18">
      <c r="A82" s="22" t="n">
        <v>91</v>
      </c>
      <c r="B82" s="22" t="inlineStr">
        <is>
          <t>Noor</t>
        </is>
      </c>
      <c r="C82" s="22" t="inlineStr">
        <is>
          <t>#203 The First-Draft Witch</t>
        </is>
      </c>
      <c r="D82" s="22" t="n">
        <v>0</v>
      </c>
      <c r="E82" s="22" t="n">
        <v>0</v>
      </c>
      <c r="F82" s="22">
        <f>D82-E82</f>
        <v/>
      </c>
      <c r="G82" s="22">
        <f>IF(E82&gt;=5,"Check","")</f>
        <v/>
      </c>
    </row>
    <row r="83" ht="15" customHeight="1" s="18">
      <c r="A83" s="22" t="n">
        <v>93</v>
      </c>
      <c r="B83" s="22" t="inlineStr">
        <is>
          <t>Edmund</t>
        </is>
      </c>
      <c r="C83" s="22" t="inlineStr">
        <is>
          <t>#130 The Amber Hour</t>
        </is>
      </c>
      <c r="D83" s="22" t="n">
        <v>0</v>
      </c>
      <c r="E83" s="22" t="n">
        <v>0</v>
      </c>
      <c r="F83" s="22">
        <f>D83-E83</f>
        <v/>
      </c>
      <c r="G83" s="22">
        <f>IF(E83&gt;=5,"Check","")</f>
        <v/>
      </c>
    </row>
    <row r="84" ht="15" customHeight="1" s="18">
      <c r="A84" s="22" t="n">
        <v>94</v>
      </c>
      <c r="B84" s="22" t="inlineStr">
        <is>
          <t>Dottie</t>
        </is>
      </c>
      <c r="C84" s="22" t="inlineStr">
        <is>
          <t>#234 The Pajama Moon</t>
        </is>
      </c>
      <c r="D84" s="22" t="n">
        <v>0</v>
      </c>
      <c r="E84" s="22" t="n">
        <v>0</v>
      </c>
      <c r="F84" s="22">
        <f>D84-E84</f>
        <v/>
      </c>
      <c r="G84" s="22">
        <f>IF(E84&gt;=5,"Check","")</f>
        <v/>
      </c>
    </row>
    <row r="85" ht="15" customHeight="1" s="18">
      <c r="A85" s="22" t="n">
        <v>95</v>
      </c>
      <c r="B85" s="22" t="inlineStr">
        <is>
          <t>Morwenna</t>
        </is>
      </c>
      <c r="C85" s="22" t="inlineStr">
        <is>
          <t>#138 The Copper Moon</t>
        </is>
      </c>
      <c r="D85" s="22" t="n">
        <v>2</v>
      </c>
      <c r="E85" s="22" t="n">
        <v>1</v>
      </c>
      <c r="F85" s="22">
        <f>D85-E85</f>
        <v/>
      </c>
      <c r="G85" s="22">
        <f>IF(E85&gt;=5,"Check","")</f>
        <v/>
      </c>
    </row>
    <row r="86" ht="15" customHeight="1" s="18">
      <c r="A86" s="22" t="n">
        <v>98</v>
      </c>
      <c r="B86" s="22" t="inlineStr">
        <is>
          <t>Goldie</t>
        </is>
      </c>
      <c r="C86" s="22" t="inlineStr">
        <is>
          <t>#216 The Compliment Constellation</t>
        </is>
      </c>
      <c r="D86" s="22" t="n">
        <v>0</v>
      </c>
      <c r="E86" s="22" t="n">
        <v>0</v>
      </c>
      <c r="F86" s="22">
        <f>D86-E86</f>
        <v/>
      </c>
      <c r="G86" s="22">
        <f>IF(E86&gt;=5,"Check","")</f>
        <v/>
      </c>
    </row>
    <row r="87" ht="15" customHeight="1" s="18">
      <c r="A87" s="22" t="n">
        <v>97</v>
      </c>
      <c r="B87" s="22" t="inlineStr">
        <is>
          <t>Felix</t>
        </is>
      </c>
      <c r="C87" s="22" t="inlineStr">
        <is>
          <t>#220 The Sweet Little Detour</t>
        </is>
      </c>
      <c r="D87" s="22" t="n">
        <v>0</v>
      </c>
      <c r="E87" s="22" t="n">
        <v>0</v>
      </c>
      <c r="F87" s="22">
        <f>D87-E87</f>
        <v/>
      </c>
      <c r="G87" s="22">
        <f>IF(E87&gt;=5,"Check","")</f>
        <v/>
      </c>
    </row>
    <row r="88" ht="15" customHeight="1" s="18">
      <c r="A88" s="22" t="n">
        <v>98</v>
      </c>
      <c r="B88" s="22" t="inlineStr">
        <is>
          <t>Hester</t>
        </is>
      </c>
      <c r="C88" s="22" t="inlineStr">
        <is>
          <t>#100 The Unwritten Page</t>
        </is>
      </c>
      <c r="D88" s="22" t="n">
        <v>1</v>
      </c>
      <c r="E88" s="22" t="n">
        <v>0</v>
      </c>
      <c r="F88" s="22">
        <f>D88-E88</f>
        <v/>
      </c>
      <c r="G88" s="22">
        <f>IF(E88&gt;=5,"Check","")</f>
        <v/>
      </c>
    </row>
    <row r="90" ht="15" customHeight="1" s="18">
      <c r="B90" s="24" t="inlineStr">
        <is>
          <t>Orders with 5+ new parts</t>
        </is>
      </c>
      <c r="D90" s="22">
        <f>COUNTIF(D2:D88,"&gt;=5")</f>
        <v/>
      </c>
      <c r="E90" s="22">
        <f>COUNTIF(E2:E88,"&gt;=5")</f>
        <v/>
      </c>
    </row>
  </sheetData>
  <conditionalFormatting sqref="G2:G88">
    <cfRule type="expression" rank="0" priority="2" equalAverage="0" aboveAverage="0" dxfId="6" text="" percent="0" bottom="0">
      <formula>G2="Check"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Dark Moon</t>
        </is>
      </c>
      <c r="B2" s="27" t="inlineStr">
        <is>
          <t>Moon phase</t>
        </is>
      </c>
      <c r="C2" s="27" t="inlineStr">
        <is>
          <t>icon_moon_dark_moon.png</t>
        </is>
      </c>
      <c r="D2" s="28" t="inlineStr">
        <is>
          <t>To do</t>
        </is>
      </c>
      <c r="E2" s="27" t="n"/>
    </row>
    <row r="3" ht="15" customHeight="1" s="18">
      <c r="A3" s="27" t="inlineStr">
        <is>
          <t>New Moon</t>
        </is>
      </c>
      <c r="B3" s="27" t="inlineStr">
        <is>
          <t>Moon phase</t>
        </is>
      </c>
      <c r="C3" s="27" t="inlineStr">
        <is>
          <t>icon_moon_new_moon.png</t>
        </is>
      </c>
      <c r="D3" s="28" t="inlineStr">
        <is>
          <t>To do</t>
        </is>
      </c>
      <c r="E3" s="27" t="n"/>
    </row>
    <row r="4" ht="15" customHeight="1" s="18">
      <c r="A4" s="27" t="inlineStr">
        <is>
          <t>Waxing Crescent</t>
        </is>
      </c>
      <c r="B4" s="27" t="inlineStr">
        <is>
          <t>Moon phase</t>
        </is>
      </c>
      <c r="C4" s="27" t="inlineStr">
        <is>
          <t>icon_moon_waxing_crescent.png</t>
        </is>
      </c>
      <c r="D4" s="28" t="inlineStr">
        <is>
          <t>To do</t>
        </is>
      </c>
      <c r="E4" s="27" t="n"/>
    </row>
    <row r="5" ht="15" customHeight="1" s="18">
      <c r="A5" s="27" t="inlineStr">
        <is>
          <t>First Quarter</t>
        </is>
      </c>
      <c r="B5" s="27" t="inlineStr">
        <is>
          <t>Moon phase</t>
        </is>
      </c>
      <c r="C5" s="27" t="inlineStr">
        <is>
          <t>icon_moon_first_quarter.png</t>
        </is>
      </c>
      <c r="D5" s="28" t="inlineStr">
        <is>
          <t>To do</t>
        </is>
      </c>
      <c r="E5" s="27" t="n"/>
    </row>
    <row r="6" ht="15" customHeight="1" s="18">
      <c r="A6" s="27" t="inlineStr">
        <is>
          <t>Waxing Gibbous</t>
        </is>
      </c>
      <c r="B6" s="27" t="inlineStr">
        <is>
          <t>Moon phase</t>
        </is>
      </c>
      <c r="C6" s="27" t="inlineStr">
        <is>
          <t>icon_moon_waxing_gibbous.png</t>
        </is>
      </c>
      <c r="D6" s="28" t="inlineStr">
        <is>
          <t>To do</t>
        </is>
      </c>
      <c r="E6" s="27" t="n"/>
    </row>
    <row r="7" ht="15" customHeight="1" s="18">
      <c r="A7" s="27" t="inlineStr">
        <is>
          <t>Full Moon</t>
        </is>
      </c>
      <c r="B7" s="27" t="inlineStr">
        <is>
          <t>Moon phase</t>
        </is>
      </c>
      <c r="C7" s="27" t="inlineStr">
        <is>
          <t>icon_moon_full_moon.png</t>
        </is>
      </c>
      <c r="D7" s="28" t="inlineStr">
        <is>
          <t>To do</t>
        </is>
      </c>
      <c r="E7" s="27" t="n"/>
    </row>
    <row r="8" ht="15" customHeight="1" s="18">
      <c r="A8" s="27" t="inlineStr">
        <is>
          <t>Waning Gibbous</t>
        </is>
      </c>
      <c r="B8" s="27" t="inlineStr">
        <is>
          <t>Moon phase</t>
        </is>
      </c>
      <c r="C8" s="27" t="inlineStr">
        <is>
          <t>icon_moon_waning_gibbous.png</t>
        </is>
      </c>
      <c r="D8" s="28" t="inlineStr">
        <is>
          <t>To do</t>
        </is>
      </c>
      <c r="E8" s="27" t="n"/>
    </row>
    <row r="9" ht="15" customHeight="1" s="18">
      <c r="A9" s="27" t="inlineStr">
        <is>
          <t>Last Quarter</t>
        </is>
      </c>
      <c r="B9" s="27" t="inlineStr">
        <is>
          <t>Moon phase</t>
        </is>
      </c>
      <c r="C9" s="27" t="inlineStr">
        <is>
          <t>icon_moon_last_quarter.png</t>
        </is>
      </c>
      <c r="D9" s="28" t="inlineStr">
        <is>
          <t>To do</t>
        </is>
      </c>
      <c r="E9" s="27" t="n"/>
    </row>
    <row r="10" ht="15" customHeight="1" s="18">
      <c r="A10" s="27" t="inlineStr">
        <is>
          <t>Waning Crescent</t>
        </is>
      </c>
      <c r="B10" s="27" t="inlineStr">
        <is>
          <t>Moon phase</t>
        </is>
      </c>
      <c r="C10" s="27" t="inlineStr">
        <is>
          <t>icon_moon_waning_crescent.png</t>
        </is>
      </c>
      <c r="D10" s="28" t="inlineStr">
        <is>
          <t>To do</t>
        </is>
      </c>
      <c r="E10" s="27" t="n"/>
    </row>
    <row r="11" ht="15" customHeight="1" s="18">
      <c r="A11" s="27" t="inlineStr">
        <is>
          <t>Wolf Moon</t>
        </is>
      </c>
      <c r="B11" s="27" t="inlineStr">
        <is>
          <t>Named moon</t>
        </is>
      </c>
      <c r="C11" s="27" t="inlineStr">
        <is>
          <t>icon_named_wolf_moon.png</t>
        </is>
      </c>
      <c r="D11" s="28" t="inlineStr">
        <is>
          <t>To do</t>
        </is>
      </c>
      <c r="E11" s="27" t="n"/>
    </row>
    <row r="12" ht="15" customHeight="1" s="18">
      <c r="A12" s="27" t="inlineStr">
        <is>
          <t>Snow Moon</t>
        </is>
      </c>
      <c r="B12" s="27" t="inlineStr">
        <is>
          <t>Named moon</t>
        </is>
      </c>
      <c r="C12" s="27" t="inlineStr">
        <is>
          <t>icon_named_snow_moon.png</t>
        </is>
      </c>
      <c r="D12" s="28" t="inlineStr">
        <is>
          <t>To do</t>
        </is>
      </c>
      <c r="E12" s="27" t="n"/>
    </row>
    <row r="13" ht="15" customHeight="1" s="18">
      <c r="A13" s="27" t="inlineStr">
        <is>
          <t>Worm Moon</t>
        </is>
      </c>
      <c r="B13" s="27" t="inlineStr">
        <is>
          <t>Named moon</t>
        </is>
      </c>
      <c r="C13" s="27" t="inlineStr">
        <is>
          <t>icon_named_worm_moon.png</t>
        </is>
      </c>
      <c r="D13" s="28" t="inlineStr">
        <is>
          <t>To do</t>
        </is>
      </c>
      <c r="E13" s="27" t="n"/>
    </row>
    <row r="14" ht="15" customHeight="1" s="18">
      <c r="A14" s="27" t="inlineStr">
        <is>
          <t>Pink Moon</t>
        </is>
      </c>
      <c r="B14" s="27" t="inlineStr">
        <is>
          <t>Named moon</t>
        </is>
      </c>
      <c r="C14" s="27" t="inlineStr">
        <is>
          <t>icon_named_pink_moon.png</t>
        </is>
      </c>
      <c r="D14" s="28" t="inlineStr">
        <is>
          <t>To do</t>
        </is>
      </c>
      <c r="E14" s="27" t="n"/>
    </row>
    <row r="15" ht="15" customHeight="1" s="18">
      <c r="A15" s="27" t="inlineStr">
        <is>
          <t>Flower Moon</t>
        </is>
      </c>
      <c r="B15" s="27" t="inlineStr">
        <is>
          <t>Named moon</t>
        </is>
      </c>
      <c r="C15" s="27" t="inlineStr">
        <is>
          <t>icon_named_flower_moon.png</t>
        </is>
      </c>
      <c r="D15" s="28" t="inlineStr">
        <is>
          <t>To do</t>
        </is>
      </c>
      <c r="E15" s="27" t="n"/>
    </row>
    <row r="16" ht="15" customHeight="1" s="18">
      <c r="A16" s="27" t="inlineStr">
        <is>
          <t>Strawberry Moon</t>
        </is>
      </c>
      <c r="B16" s="27" t="inlineStr">
        <is>
          <t>Named moon</t>
        </is>
      </c>
      <c r="C16" s="27" t="inlineStr">
        <is>
          <t>icon_named_strawberry_moon.png</t>
        </is>
      </c>
      <c r="D16" s="28" t="inlineStr">
        <is>
          <t>To do</t>
        </is>
      </c>
      <c r="E16" s="27" t="n"/>
    </row>
    <row r="17" ht="15" customHeight="1" s="18">
      <c r="A17" s="27" t="inlineStr">
        <is>
          <t>Buck Moon</t>
        </is>
      </c>
      <c r="B17" s="27" t="inlineStr">
        <is>
          <t>Named moon</t>
        </is>
      </c>
      <c r="C17" s="27" t="inlineStr">
        <is>
          <t>icon_named_buck_moon.png</t>
        </is>
      </c>
      <c r="D17" s="28" t="inlineStr">
        <is>
          <t>To do</t>
        </is>
      </c>
      <c r="E17" s="27" t="n"/>
    </row>
    <row r="18" ht="15" customHeight="1" s="18">
      <c r="A18" s="27" t="inlineStr">
        <is>
          <t>Sturgeon Moon</t>
        </is>
      </c>
      <c r="B18" s="27" t="inlineStr">
        <is>
          <t>Named moon</t>
        </is>
      </c>
      <c r="C18" s="27" t="inlineStr">
        <is>
          <t>icon_named_sturgeon_moon.png</t>
        </is>
      </c>
      <c r="D18" s="28" t="inlineStr">
        <is>
          <t>To do</t>
        </is>
      </c>
      <c r="E18" s="27" t="n"/>
    </row>
    <row r="19" ht="15" customHeight="1" s="18">
      <c r="A19" s="27" t="inlineStr">
        <is>
          <t>Harvest Moon</t>
        </is>
      </c>
      <c r="B19" s="27" t="inlineStr">
        <is>
          <t>Named moon</t>
        </is>
      </c>
      <c r="C19" s="27" t="inlineStr">
        <is>
          <t>icon_named_harvest_moon.png</t>
        </is>
      </c>
      <c r="D19" s="28" t="inlineStr">
        <is>
          <t>To do</t>
        </is>
      </c>
      <c r="E19" s="27" t="n"/>
    </row>
    <row r="20" ht="15" customHeight="1" s="18">
      <c r="A20" s="27" t="inlineStr">
        <is>
          <t>Hunter's Moon</t>
        </is>
      </c>
      <c r="B20" s="27" t="inlineStr">
        <is>
          <t>Named moon</t>
        </is>
      </c>
      <c r="C20" s="27" t="inlineStr">
        <is>
          <t>icon_named_hunter_s_moon.png</t>
        </is>
      </c>
      <c r="D20" s="28" t="inlineStr">
        <is>
          <t>To do</t>
        </is>
      </c>
      <c r="E20" s="27" t="n"/>
    </row>
    <row r="21" ht="15" customHeight="1" s="18">
      <c r="A21" s="27" t="inlineStr">
        <is>
          <t>Beaver Moon</t>
        </is>
      </c>
      <c r="B21" s="27" t="inlineStr">
        <is>
          <t>Named moon</t>
        </is>
      </c>
      <c r="C21" s="27" t="inlineStr">
        <is>
          <t>icon_named_beaver_moon.png</t>
        </is>
      </c>
      <c r="D21" s="28" t="inlineStr">
        <is>
          <t>To do</t>
        </is>
      </c>
      <c r="E21" s="27" t="n"/>
    </row>
    <row r="22" ht="15" customHeight="1" s="18">
      <c r="A22" s="27" t="inlineStr">
        <is>
          <t>Cold Moon</t>
        </is>
      </c>
      <c r="B22" s="27" t="inlineStr">
        <is>
          <t>Named moon</t>
        </is>
      </c>
      <c r="C22" s="27" t="inlineStr">
        <is>
          <t>icon_named_cold_moon.png</t>
        </is>
      </c>
      <c r="D22" s="28" t="inlineStr">
        <is>
          <t>To do</t>
        </is>
      </c>
      <c r="E22" s="27" t="n"/>
    </row>
    <row r="23" ht="23.25" customHeight="1" s="18">
      <c r="A23" s="27" t="inlineStr">
        <is>
          <t>Blue Moon (special event, replaces the Sturgeon Moon on Day 79)</t>
        </is>
      </c>
      <c r="B23" s="27" t="inlineStr">
        <is>
          <t>Named moon</t>
        </is>
      </c>
      <c r="C23" s="27" t="inlineStr">
        <is>
          <t>icon_named_blue_moon_special_event_replaces_the_sturgeon_moon_on_day_79.png</t>
        </is>
      </c>
      <c r="D23" s="28" t="inlineStr">
        <is>
          <t>To do</t>
        </is>
      </c>
      <c r="E23" s="27" t="n"/>
    </row>
    <row r="24" ht="15" customHeight="1" s="18">
      <c r="A24" s="27" t="inlineStr">
        <is>
          <t>Lunar Eclipse (event, Day 31)</t>
        </is>
      </c>
      <c r="B24" s="27" t="inlineStr">
        <is>
          <t>Named moon</t>
        </is>
      </c>
      <c r="C24" s="27" t="inlineStr">
        <is>
          <t>icon_named_lunar_eclipse_event_day_31.png</t>
        </is>
      </c>
      <c r="D24" s="28" t="inlineStr">
        <is>
          <t>To do</t>
        </is>
      </c>
      <c r="E24" s="27" t="n"/>
    </row>
    <row r="25" ht="15" customHeight="1" s="18">
      <c r="A25" s="27" t="inlineStr">
        <is>
          <t>Monday</t>
        </is>
      </c>
      <c r="B25" s="27" t="inlineStr">
        <is>
          <t>Day</t>
        </is>
      </c>
      <c r="C25" s="27" t="inlineStr">
        <is>
          <t>icon_day_monday.png</t>
        </is>
      </c>
      <c r="D25" s="28" t="inlineStr">
        <is>
          <t>To do</t>
        </is>
      </c>
      <c r="E25" s="27" t="n"/>
    </row>
    <row r="26" ht="15" customHeight="1" s="18">
      <c r="A26" s="27" t="inlineStr">
        <is>
          <t>Tuesday</t>
        </is>
      </c>
      <c r="B26" s="27" t="inlineStr">
        <is>
          <t>Day</t>
        </is>
      </c>
      <c r="C26" s="27" t="inlineStr">
        <is>
          <t>icon_day_tuesday.png</t>
        </is>
      </c>
      <c r="D26" s="28" t="inlineStr">
        <is>
          <t>To do</t>
        </is>
      </c>
      <c r="E26" s="27" t="n"/>
    </row>
    <row r="27" ht="15" customHeight="1" s="18">
      <c r="A27" s="27" t="inlineStr">
        <is>
          <t>Wednesday</t>
        </is>
      </c>
      <c r="B27" s="27" t="inlineStr">
        <is>
          <t>Day</t>
        </is>
      </c>
      <c r="C27" s="27" t="inlineStr">
        <is>
          <t>icon_day_wednesday.png</t>
        </is>
      </c>
      <c r="D27" s="28" t="inlineStr">
        <is>
          <t>To do</t>
        </is>
      </c>
      <c r="E27" s="27" t="n"/>
    </row>
    <row r="28" ht="15" customHeight="1" s="18">
      <c r="A28" s="27" t="inlineStr">
        <is>
          <t>Thursday</t>
        </is>
      </c>
      <c r="B28" s="27" t="inlineStr">
        <is>
          <t>Day</t>
        </is>
      </c>
      <c r="C28" s="27" t="inlineStr">
        <is>
          <t>icon_day_thursday.png</t>
        </is>
      </c>
      <c r="D28" s="28" t="inlineStr">
        <is>
          <t>To do</t>
        </is>
      </c>
      <c r="E28" s="27" t="n"/>
    </row>
    <row r="29" ht="15" customHeight="1" s="18">
      <c r="A29" s="27" t="inlineStr">
        <is>
          <t>Friday</t>
        </is>
      </c>
      <c r="B29" s="27" t="inlineStr">
        <is>
          <t>Day</t>
        </is>
      </c>
      <c r="C29" s="27" t="inlineStr">
        <is>
          <t>icon_day_friday.png</t>
        </is>
      </c>
      <c r="D29" s="28" t="inlineStr">
        <is>
          <t>To do</t>
        </is>
      </c>
      <c r="E29" s="27" t="n"/>
    </row>
    <row r="30" ht="15" customHeight="1" s="18">
      <c r="A30" s="27" t="inlineStr">
        <is>
          <t>Saturday</t>
        </is>
      </c>
      <c r="B30" s="27" t="inlineStr">
        <is>
          <t>Day</t>
        </is>
      </c>
      <c r="C30" s="27" t="inlineStr">
        <is>
          <t>icon_day_saturday.png</t>
        </is>
      </c>
      <c r="D30" s="28" t="inlineStr">
        <is>
          <t>To do</t>
        </is>
      </c>
      <c r="E30" s="27" t="n"/>
    </row>
    <row r="31" ht="15" customHeight="1" s="18">
      <c r="A31" s="27" t="inlineStr">
        <is>
          <t>Sunday</t>
        </is>
      </c>
      <c r="B31" s="27" t="inlineStr">
        <is>
          <t>Day</t>
        </is>
      </c>
      <c r="C31" s="27" t="inlineStr">
        <is>
          <t>icon_day_sunday.png</t>
        </is>
      </c>
      <c r="D31" s="28" t="inlineStr">
        <is>
          <t>To do</t>
        </is>
      </c>
      <c r="E31" s="27" t="n"/>
    </row>
    <row r="32" ht="15" customHeight="1" s="18">
      <c r="A32" s="27" t="inlineStr">
        <is>
          <t>Sunrise</t>
        </is>
      </c>
      <c r="B32" s="27" t="inlineStr">
        <is>
          <t>Time of day</t>
        </is>
      </c>
      <c r="C32" s="27" t="inlineStr">
        <is>
          <t>icon_time_sunrise.png</t>
        </is>
      </c>
      <c r="D32" s="28" t="inlineStr">
        <is>
          <t>To do</t>
        </is>
      </c>
      <c r="E32" s="27" t="n"/>
    </row>
    <row r="33" ht="15" customHeight="1" s="18">
      <c r="A33" s="27" t="inlineStr">
        <is>
          <t>Noon</t>
        </is>
      </c>
      <c r="B33" s="27" t="inlineStr">
        <is>
          <t>Time of day</t>
        </is>
      </c>
      <c r="C33" s="27" t="inlineStr">
        <is>
          <t>icon_time_noon.png</t>
        </is>
      </c>
      <c r="D33" s="28" t="inlineStr">
        <is>
          <t>To do</t>
        </is>
      </c>
      <c r="E33" s="27" t="n"/>
    </row>
    <row r="34" ht="15" customHeight="1" s="18">
      <c r="A34" s="27" t="inlineStr">
        <is>
          <t>Twilight</t>
        </is>
      </c>
      <c r="B34" s="27" t="inlineStr">
        <is>
          <t>Time of day</t>
        </is>
      </c>
      <c r="C34" s="27" t="inlineStr">
        <is>
          <t>icon_time_twilight.png</t>
        </is>
      </c>
      <c r="D34" s="28" t="inlineStr">
        <is>
          <t>To do</t>
        </is>
      </c>
      <c r="E34" s="27" t="n"/>
    </row>
    <row r="35" ht="15" customHeight="1" s="18">
      <c r="A35" s="27" t="inlineStr">
        <is>
          <t>Nightfall</t>
        </is>
      </c>
      <c r="B35" s="27" t="inlineStr">
        <is>
          <t>Time of day</t>
        </is>
      </c>
      <c r="C35" s="27" t="inlineStr">
        <is>
          <t>icon_time_nightfall.png</t>
        </is>
      </c>
      <c r="D35" s="28" t="inlineStr">
        <is>
          <t>To do</t>
        </is>
      </c>
      <c r="E35" s="27" t="n"/>
    </row>
    <row r="36" ht="15" customHeight="1" s="18">
      <c r="A36" s="27" t="inlineStr">
        <is>
          <t>Clear &amp; sunny</t>
        </is>
      </c>
      <c r="B36" s="27" t="inlineStr">
        <is>
          <t>Weather</t>
        </is>
      </c>
      <c r="C36" s="27" t="inlineStr">
        <is>
          <t>icon_weather_clear_sunny.png</t>
        </is>
      </c>
      <c r="D36" s="28" t="inlineStr">
        <is>
          <t>To do</t>
        </is>
      </c>
      <c r="E36" s="27" t="n"/>
    </row>
    <row r="37" ht="15" customHeight="1" s="18">
      <c r="A37" s="27" t="inlineStr">
        <is>
          <t>Cloudy</t>
        </is>
      </c>
      <c r="B37" s="27" t="inlineStr">
        <is>
          <t>Weather</t>
        </is>
      </c>
      <c r="C37" s="27" t="inlineStr">
        <is>
          <t>icon_weather_cloudy.png</t>
        </is>
      </c>
      <c r="D37" s="28" t="inlineStr">
        <is>
          <t>To do</t>
        </is>
      </c>
      <c r="E37" s="27" t="n"/>
    </row>
    <row r="38" ht="15" customHeight="1" s="18">
      <c r="A38" s="27" t="inlineStr">
        <is>
          <t>Rain</t>
        </is>
      </c>
      <c r="B38" s="27" t="inlineStr">
        <is>
          <t>Weather</t>
        </is>
      </c>
      <c r="C38" s="27" t="inlineStr">
        <is>
          <t>icon_weather_rain.png</t>
        </is>
      </c>
      <c r="D38" s="28" t="inlineStr">
        <is>
          <t>To do</t>
        </is>
      </c>
      <c r="E38" s="27" t="n"/>
    </row>
    <row r="39" ht="15" customHeight="1" s="18">
      <c r="A39" s="27" t="inlineStr">
        <is>
          <t>Thunderstorm</t>
        </is>
      </c>
      <c r="B39" s="27" t="inlineStr">
        <is>
          <t>Weather</t>
        </is>
      </c>
      <c r="C39" s="27" t="inlineStr">
        <is>
          <t>icon_weather_thunderstorm.png</t>
        </is>
      </c>
      <c r="D39" s="28" t="inlineStr">
        <is>
          <t>To do</t>
        </is>
      </c>
      <c r="E39" s="27" t="n"/>
    </row>
    <row r="40" ht="15" customHeight="1" s="18">
      <c r="A40" s="27" t="inlineStr">
        <is>
          <t>Fog / Mist</t>
        </is>
      </c>
      <c r="B40" s="27" t="inlineStr">
        <is>
          <t>Weather</t>
        </is>
      </c>
      <c r="C40" s="27" t="inlineStr">
        <is>
          <t>icon_weather_fog_mist.png</t>
        </is>
      </c>
      <c r="D40" s="28" t="inlineStr">
        <is>
          <t>To do</t>
        </is>
      </c>
      <c r="E40" s="27" t="n"/>
    </row>
    <row r="41" ht="15" customHeight="1" s="18">
      <c r="A41" s="27" t="inlineStr">
        <is>
          <t>Windy</t>
        </is>
      </c>
      <c r="B41" s="27" t="inlineStr">
        <is>
          <t>Weather</t>
        </is>
      </c>
      <c r="C41" s="27" t="inlineStr">
        <is>
          <t>icon_weather_windy.png</t>
        </is>
      </c>
      <c r="D41" s="28" t="inlineStr">
        <is>
          <t>To do</t>
        </is>
      </c>
      <c r="E41" s="27" t="n"/>
    </row>
    <row r="42" ht="15" customHeight="1" s="18">
      <c r="A42" s="27" t="inlineStr">
        <is>
          <t>Snow</t>
        </is>
      </c>
      <c r="B42" s="27" t="inlineStr">
        <is>
          <t>Weather</t>
        </is>
      </c>
      <c r="C42" s="27" t="inlineStr">
        <is>
          <t>icon_weather_snow.png</t>
        </is>
      </c>
      <c r="D42" s="28" t="inlineStr">
        <is>
          <t>To do</t>
        </is>
      </c>
      <c r="E42" s="27" t="n"/>
    </row>
    <row r="43" ht="15" customHeight="1" s="18">
      <c r="A43" s="27" t="inlineStr">
        <is>
          <t>Clear starry night</t>
        </is>
      </c>
      <c r="B43" s="27" t="inlineStr">
        <is>
          <t>Weather</t>
        </is>
      </c>
      <c r="C43" s="27" t="inlineStr">
        <is>
          <t>icon_weather_clear_starry_night.png</t>
        </is>
      </c>
      <c r="D43" s="28" t="inlineStr">
        <is>
          <t>To do</t>
        </is>
      </c>
      <c r="E43" s="27" t="n"/>
    </row>
    <row r="44" ht="15" customHeight="1" s="18">
      <c r="A44" s="27" t="inlineStr">
        <is>
          <t>Rainbow (rare event)</t>
        </is>
      </c>
      <c r="B44" s="27" t="inlineStr">
        <is>
          <t>Weather</t>
        </is>
      </c>
      <c r="C44" s="27" t="inlineStr">
        <is>
          <t>icon_weather_rainbow_rare_event.png</t>
        </is>
      </c>
      <c r="D44" s="28" t="inlineStr">
        <is>
          <t>To do</t>
        </is>
      </c>
      <c r="E44" s="27" t="n"/>
    </row>
    <row r="45" ht="15" customHeight="1" s="18">
      <c r="A45" s="27" t="inlineStr">
        <is>
          <t>Shooting star (rare event)</t>
        </is>
      </c>
      <c r="B45" s="27" t="inlineStr">
        <is>
          <t>Weather</t>
        </is>
      </c>
      <c r="C45" s="27" t="inlineStr">
        <is>
          <t>icon_weather_shooting_star_rare_event.png</t>
        </is>
      </c>
      <c r="D45" s="28" t="inlineStr">
        <is>
          <t>To do</t>
        </is>
      </c>
      <c r="E45" s="27" t="n"/>
    </row>
    <row r="46" ht="15" customHeight="1" s="18">
      <c r="A46" s="27" t="inlineStr">
        <is>
          <t>Samhain</t>
        </is>
      </c>
      <c r="B46" s="27" t="inlineStr">
        <is>
          <t>Sabbat</t>
        </is>
      </c>
      <c r="C46" s="27" t="inlineStr">
        <is>
          <t>icon_sabbat_samhain.png</t>
        </is>
      </c>
      <c r="D46" s="28" t="inlineStr">
        <is>
          <t>To do</t>
        </is>
      </c>
      <c r="E46" s="27" t="n"/>
    </row>
    <row r="47" ht="15" customHeight="1" s="18">
      <c r="A47" s="27" t="inlineStr">
        <is>
          <t>Yule</t>
        </is>
      </c>
      <c r="B47" s="27" t="inlineStr">
        <is>
          <t>Sabbat</t>
        </is>
      </c>
      <c r="C47" s="27" t="inlineStr">
        <is>
          <t>icon_sabbat_yule.png</t>
        </is>
      </c>
      <c r="D47" s="28" t="inlineStr">
        <is>
          <t>To do</t>
        </is>
      </c>
      <c r="E47" s="27" t="n"/>
    </row>
    <row r="48" ht="15" customHeight="1" s="18">
      <c r="A48" s="27" t="inlineStr">
        <is>
          <t>Imbolc</t>
        </is>
      </c>
      <c r="B48" s="27" t="inlineStr">
        <is>
          <t>Sabbat</t>
        </is>
      </c>
      <c r="C48" s="27" t="inlineStr">
        <is>
          <t>icon_sabbat_imbolc.png</t>
        </is>
      </c>
      <c r="D48" s="28" t="inlineStr">
        <is>
          <t>To do</t>
        </is>
      </c>
      <c r="E48" s="27" t="n"/>
    </row>
    <row r="49" ht="15" customHeight="1" s="18">
      <c r="A49" s="27" t="inlineStr">
        <is>
          <t>Ostara</t>
        </is>
      </c>
      <c r="B49" s="27" t="inlineStr">
        <is>
          <t>Sabbat</t>
        </is>
      </c>
      <c r="C49" s="27" t="inlineStr">
        <is>
          <t>icon_sabbat_ostara.png</t>
        </is>
      </c>
      <c r="D49" s="28" t="inlineStr">
        <is>
          <t>To do</t>
        </is>
      </c>
      <c r="E49" s="27" t="n"/>
    </row>
    <row r="50" ht="15" customHeight="1" s="18">
      <c r="A50" s="27" t="inlineStr">
        <is>
          <t>Beltane</t>
        </is>
      </c>
      <c r="B50" s="27" t="inlineStr">
        <is>
          <t>Sabbat</t>
        </is>
      </c>
      <c r="C50" s="27" t="inlineStr">
        <is>
          <t>icon_sabbat_beltane.png</t>
        </is>
      </c>
      <c r="D50" s="28" t="inlineStr">
        <is>
          <t>To do</t>
        </is>
      </c>
      <c r="E50" s="27" t="n"/>
    </row>
    <row r="51" ht="15" customHeight="1" s="18">
      <c r="A51" s="27" t="inlineStr">
        <is>
          <t>Litha</t>
        </is>
      </c>
      <c r="B51" s="27" t="inlineStr">
        <is>
          <t>Sabbat</t>
        </is>
      </c>
      <c r="C51" s="27" t="inlineStr">
        <is>
          <t>icon_sabbat_litha.png</t>
        </is>
      </c>
      <c r="D51" s="28" t="inlineStr">
        <is>
          <t>To do</t>
        </is>
      </c>
      <c r="E51" s="27" t="n"/>
    </row>
    <row r="52" ht="15" customHeight="1" s="18">
      <c r="A52" s="27" t="inlineStr">
        <is>
          <t>Lughnasadh</t>
        </is>
      </c>
      <c r="B52" s="27" t="inlineStr">
        <is>
          <t>Sabbat</t>
        </is>
      </c>
      <c r="C52" s="27" t="inlineStr">
        <is>
          <t>icon_sabbat_lughnasadh.png</t>
        </is>
      </c>
      <c r="D52" s="28" t="inlineStr">
        <is>
          <t>To do</t>
        </is>
      </c>
      <c r="E52" s="27" t="n"/>
    </row>
    <row r="53" ht="15" customHeight="1" s="18">
      <c r="A53" s="27" t="inlineStr">
        <is>
          <t>Mabon</t>
        </is>
      </c>
      <c r="B53" s="27" t="inlineStr">
        <is>
          <t>Sabbat</t>
        </is>
      </c>
      <c r="C53" s="27" t="inlineStr">
        <is>
          <t>icon_sabbat_mabon.png</t>
        </is>
      </c>
      <c r="D53" s="28" t="inlineStr">
        <is>
          <t>To do</t>
        </is>
      </c>
      <c r="E53" s="27" t="n"/>
    </row>
  </sheetData>
  <autoFilter ref="A1:E53"/>
  <dataValidations count="1">
    <dataValidation sqref="D2:D5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2026-10-11T09:55:10Z</dcterms:modified>
  <cp:revision>0</cp:revision>
</cp:coreProperties>
</file>
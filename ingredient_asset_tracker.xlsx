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4.vml" ContentType="application/vnd.openxmlformats-officedocument.vmlDrawing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Recipe Usage" sheetId="2" state="visible" r:id="rId4"/>
    <sheet name="Recipes" sheetId="3" state="visible" r:id="rId5"/>
    <sheet name="Ingredients" sheetId="4" state="visible" r:id="rId6"/>
    <sheet name="Ingredient Feel" sheetId="5" state="visible" r:id="rId7"/>
    <sheet name="Advice" sheetId="6" state="visible" r:id="rId8"/>
    <sheet name="Walk-in Plan" sheetId="7" state="visible" r:id="rId9"/>
    <sheet name="Learning Check" sheetId="8" state="visible" r:id="rId10"/>
    <sheet name="Candles" sheetId="9" state="visible" r:id="rId11"/>
    <sheet name="Tarot" sheetId="10" state="visible" r:id="rId12"/>
    <sheet name="Condition Icons" sheetId="11" state="visible" r:id="rId13"/>
    <sheet name="Spell Products" sheetId="12" state="visible" r:id="rId14"/>
    <sheet name="Altar, Tools &amp; Books" sheetId="13" state="visible" r:id="rId15"/>
  </sheets>
  <definedNames>
    <definedName function="false" hidden="true" localSheetId="5" name="_xlnm._FilterDatabase" vbProcedure="false">Advice!$A$1:$M$28</definedName>
    <definedName function="false" hidden="true" localSheetId="12" name="_xlnm._FilterDatabase" vbProcedure="false">'Altar, Tools &amp; Books'!$A$1:$E$33</definedName>
    <definedName function="false" hidden="true" localSheetId="8" name="_xlnm._FilterDatabase" vbProcedure="false">Candles!$A$1:$E$16</definedName>
    <definedName function="false" hidden="true" localSheetId="10" name="_xlnm._FilterDatabase" vbProcedure="false">'Condition Icons'!$A$1:$E$53</definedName>
    <definedName function="false" hidden="true" localSheetId="4" name="_xlnm._FilterDatabase" vbProcedure="false">'Ingredient Feel'!$A$1:$I$259</definedName>
    <definedName function="false" hidden="true" localSheetId="3" name="_xlnm._FilterDatabase" vbProcedure="false">Ingredients!$A$1:$G$259</definedName>
    <definedName function="false" hidden="true" localSheetId="1" name="_xlnm._FilterDatabase" vbProcedure="false">'Recipe Usage'!$A$1:$E$1114</definedName>
    <definedName function="false" hidden="true" localSheetId="2" name="_xlnm._FilterDatabase" vbProcedure="false">Recipes!$A$1:$G$241</definedName>
    <definedName function="false" hidden="true" localSheetId="11" name="_xlnm._FilterDatabase" vbProcedure="false">'Spell Products'!$A$1:$E$26</definedName>
    <definedName function="false" hidden="true" localSheetId="9" name="_xlnm._FilterDatabase" vbProcedure="false">Tarot!$A$1:$E$23</definedName>
    <definedName function="false" hidden="true" localSheetId="6" name="_xlnm._FilterDatabase" vbProcedure="false">'Walk-in Plan'!$A$1:$P$149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Where the ingredient works.
Body: skin, breath, muscles, sleep of the body.
Mind: feelings, thoughts, dreams, nerve.
Space: rooms, doorways, journeys, luck, other people.
— : base ingredient, chosen by spell type.</t>
        </r>
      </text>
    </comment>
    <comment ref="E1" authorId="0">
      <text>
        <r>
          <rPr>
            <sz val="10"/>
            <rFont val="Arial"/>
            <family val="2"/>
          </rPr>
          <t xml:space="preserve">How hard it works.
Gentle: mild, slow, safe for children.
Strong: sharp, fast or heavy.</t>
        </r>
      </text>
    </comment>
    <comment ref="F1" authorId="0">
      <text>
        <r>
          <rPr>
            <sz val="10"/>
            <rFont val="Arial"/>
            <family val="2"/>
          </rPr>
          <t xml:space="preserve">Draft text for the books. It hints at target and strength through a situation, never as a tag, and never names a hidden keyword (the words the player fills into the blanks).</t>
        </r>
      </text>
    </comment>
    <comment ref="G1" authorId="0">
      <text>
        <r>
          <rPr>
            <sz val="10"/>
            <rFont val="Arial"/>
            <family val="2"/>
          </rPr>
          <t xml:space="preserve">Other ingredients with the same properties, target and strength. Anything above 0 cannot be told apart in play unless the spell type decides (see Why / note).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Items in this category with the keyword, target and strength. Must be 1, or the question has more than one perfect answer.</t>
        </r>
      </text>
    </comment>
    <comment ref="K1" authorId="0">
      <text>
        <r>
          <rPr>
            <sz val="10"/>
            <rFont val="Arial"/>
            <family val="2"/>
          </rPr>
          <t xml:space="preserve">Yes when the Perfect answer really has this keyword, target and strength in Ingredient Feel.</t>
        </r>
      </text>
    </comment>
    <comment ref="L1" authorId="0">
      <text>
        <r>
          <rPr>
            <sz val="10"/>
            <rFont val="Arial"/>
            <family val="2"/>
          </rPr>
          <t xml:space="preserve">Other items in the category with the keyword but a different target or strength. These grade Good.</t>
        </r>
      </text>
    </comment>
    <comment ref="M1" authorId="0">
      <text>
        <r>
          <rPr>
            <sz val="10"/>
            <rFont val="Arial"/>
            <family val="2"/>
          </rPr>
          <t xml:space="preserve">Snapshot written when the sheet was made; it does not update. The count column (L) is live.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Computed by a planning script from the calendar, the regulars' schedule and each recipe's parts. Values do not update if recipes change; ask for a re-run.</t>
        </r>
      </text>
    </comment>
    <comment ref="L1" authorId="0">
      <text>
        <r>
          <rPr>
            <sz val="10"/>
            <rFont val="Arial"/>
            <family val="2"/>
          </rPr>
          <t xml:space="preserve">Parts of this recipe the player has not met yet when the order arrives (base materials not counted).</t>
        </r>
      </text>
    </comment>
    <comment ref="O1" authorId="0">
      <text>
        <r>
          <rPr>
            <sz val="10"/>
            <rFont val="Arial"/>
            <family val="2"/>
          </rPr>
          <t xml:space="preserve">Regular orders due in the next few days that need something this walk-in teaches.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New parts when the order is made, counting only the letters, week one and earlier regular orders.</t>
        </r>
      </text>
    </comment>
    <comment ref="E1" authorId="0">
      <text>
        <r>
          <rPr>
            <sz val="10"/>
            <rFont val="Arial"/>
            <family val="2"/>
          </rPr>
          <t xml:space="preserve">New parts with the Walk-in Plan in place.</t>
        </r>
      </text>
    </comment>
  </commentList>
</comments>
</file>

<file path=xl/sharedStrings.xml><?xml version="1.0" encoding="utf-8"?>
<sst xmlns="http://schemas.openxmlformats.org/spreadsheetml/2006/main" count="11415" uniqueCount="2565">
  <si>
    <t xml:space="preserve">Image Asset Tracker</t>
  </si>
  <si>
    <t xml:space="preserve">Every asset the recipes use, counted from the recipe data. Change only the yellow Status cells (dropdown); counts update automatically.</t>
  </si>
  <si>
    <t xml:space="preserve">Sheet</t>
  </si>
  <si>
    <t xml:space="preserve">Assets</t>
  </si>
  <si>
    <t xml:space="preserve">Done</t>
  </si>
  <si>
    <t xml:space="preserve">In progress / Sketch</t>
  </si>
  <si>
    <t xml:space="preserve">To do</t>
  </si>
  <si>
    <t xml:space="preserve">% done</t>
  </si>
  <si>
    <t xml:space="preserve">Ingredients</t>
  </si>
  <si>
    <t xml:space="preserve">Candles</t>
  </si>
  <si>
    <t xml:space="preserve">Tarot</t>
  </si>
  <si>
    <t xml:space="preserve">Condition Icons</t>
  </si>
  <si>
    <t xml:space="preserve">Spell Products</t>
  </si>
  <si>
    <t xml:space="preserve">Altar, Tools &amp; Books</t>
  </si>
  <si>
    <t xml:space="preserve">Total</t>
  </si>
  <si>
    <t xml:space="preserve">Recipe Usage lists every spell–ingredient pair; Recipes lists candle, tarot and conditions for each spell.</t>
  </si>
  <si>
    <t xml:space="preserve">Ingredient Feel gives every ingredient a Target (Body / Mind / Space) and a Strength (Gentle / Strong) so ingredients that share a keyword can be told apart. Edit the yellow cells there.</t>
  </si>
  <si>
    <t xml:space="preserve">Advice lists the advice questions, one perfect answer each. Its check columns turn red if an Ingredient Feel edit gives a question two perfect answers or none.</t>
  </si>
  <si>
    <t xml:space="preserve">Walk-in Plan schedules every recipe no regular orders, once each, across the year; Learning Check compares each regular order's new parts with and without it.</t>
  </si>
  <si>
    <t xml:space="preserve">Spell ID</t>
  </si>
  <si>
    <t xml:space="preserve">Spell Name</t>
  </si>
  <si>
    <t xml:space="preserve">Spell Type</t>
  </si>
  <si>
    <t xml:space="preserve">Ingredient (asset)</t>
  </si>
  <si>
    <t xml:space="preserve">Recipe wording</t>
  </si>
  <si>
    <t xml:space="preserve">Rosewater Reverie</t>
  </si>
  <si>
    <t xml:space="preserve">Potion</t>
  </si>
  <si>
    <t xml:space="preserve">Rosewater</t>
  </si>
  <si>
    <t xml:space="preserve">Rose petals</t>
  </si>
  <si>
    <t xml:space="preserve">rose petals</t>
  </si>
  <si>
    <t xml:space="preserve">Strawberry</t>
  </si>
  <si>
    <t xml:space="preserve">fresh strawberry</t>
  </si>
  <si>
    <t xml:space="preserve">Vanilla</t>
  </si>
  <si>
    <t xml:space="preserve">vanilla bean</t>
  </si>
  <si>
    <t xml:space="preserve">Honey</t>
  </si>
  <si>
    <t xml:space="preserve">honey</t>
  </si>
  <si>
    <t xml:space="preserve">Rose quartz</t>
  </si>
  <si>
    <t xml:space="preserve">rose quartz</t>
  </si>
  <si>
    <t xml:space="preserve">The Velvet Thread</t>
  </si>
  <si>
    <t xml:space="preserve">Charm</t>
  </si>
  <si>
    <t xml:space="preserve">Web Dew</t>
  </si>
  <si>
    <t xml:space="preserve">Velvet ribbon (red)</t>
  </si>
  <si>
    <t xml:space="preserve">red velvet ribbon</t>
  </si>
  <si>
    <t xml:space="preserve">Red thread</t>
  </si>
  <si>
    <t xml:space="preserve">red thread</t>
  </si>
  <si>
    <t xml:space="preserve">Lavender</t>
  </si>
  <si>
    <t xml:space="preserve">dried lavender</t>
  </si>
  <si>
    <t xml:space="preserve">Heart-shaped button</t>
  </si>
  <si>
    <t xml:space="preserve">heart-shaped button</t>
  </si>
  <si>
    <t xml:space="preserve">Dove feather</t>
  </si>
  <si>
    <t xml:space="preserve">dove feather</t>
  </si>
  <si>
    <t xml:space="preserve">Two Hearts, One Hearth</t>
  </si>
  <si>
    <t xml:space="preserve">Spell Bottle</t>
  </si>
  <si>
    <t xml:space="preserve">Cedar chips</t>
  </si>
  <si>
    <t xml:space="preserve">Cinnamon stick</t>
  </si>
  <si>
    <t xml:space="preserve">cinnamon stick</t>
  </si>
  <si>
    <t xml:space="preserve">Pink salt</t>
  </si>
  <si>
    <t xml:space="preserve">pink salt</t>
  </si>
  <si>
    <t xml:space="preserve">Apple</t>
  </si>
  <si>
    <t xml:space="preserve">dried apple slices</t>
  </si>
  <si>
    <t xml:space="preserve">Garnet</t>
  </si>
  <si>
    <t xml:space="preserve">garnet</t>
  </si>
  <si>
    <t xml:space="preserve">Pink thread</t>
  </si>
  <si>
    <t xml:space="preserve">pink and red thread</t>
  </si>
  <si>
    <t xml:space="preserve">Ember of Eden</t>
  </si>
  <si>
    <t xml:space="preserve">Oil</t>
  </si>
  <si>
    <t xml:space="preserve">Almond oil</t>
  </si>
  <si>
    <t xml:space="preserve">Apple peel</t>
  </si>
  <si>
    <t xml:space="preserve">red apple peel</t>
  </si>
  <si>
    <t xml:space="preserve">Cinnamon</t>
  </si>
  <si>
    <t xml:space="preserve">cinnamon</t>
  </si>
  <si>
    <t xml:space="preserve">Cardamom</t>
  </si>
  <si>
    <t xml:space="preserve">cardamom</t>
  </si>
  <si>
    <t xml:space="preserve">Hibiscus</t>
  </si>
  <si>
    <t xml:space="preserve">hibiscus</t>
  </si>
  <si>
    <t xml:space="preserve">Carnelian</t>
  </si>
  <si>
    <t xml:space="preserve">carnelian</t>
  </si>
  <si>
    <t xml:space="preserve">Darling, You're Divine</t>
  </si>
  <si>
    <t xml:space="preserve">Bath Salt</t>
  </si>
  <si>
    <t xml:space="preserve">Epsom salt</t>
  </si>
  <si>
    <t xml:space="preserve">Jasmine</t>
  </si>
  <si>
    <t xml:space="preserve">jasmine</t>
  </si>
  <si>
    <t xml:space="preserve">Coconut milk powder</t>
  </si>
  <si>
    <t xml:space="preserve">coconut milk powder</t>
  </si>
  <si>
    <t xml:space="preserve">Venus in Bloom</t>
  </si>
  <si>
    <t xml:space="preserve">Glamour</t>
  </si>
  <si>
    <t xml:space="preserve">Dawn dew</t>
  </si>
  <si>
    <t xml:space="preserve">Dawn Dew</t>
  </si>
  <si>
    <t xml:space="preserve">Peach</t>
  </si>
  <si>
    <t xml:space="preserve">peach</t>
  </si>
  <si>
    <t xml:space="preserve">Pearl</t>
  </si>
  <si>
    <t xml:space="preserve">pearl</t>
  </si>
  <si>
    <t xml:space="preserve">Rose clay</t>
  </si>
  <si>
    <t xml:space="preserve">rose clay</t>
  </si>
  <si>
    <t xml:space="preserve">Peacock feather</t>
  </si>
  <si>
    <t xml:space="preserve">peacock feather</t>
  </si>
  <si>
    <t xml:space="preserve">The Blushing Star</t>
  </si>
  <si>
    <t xml:space="preserve">Sachet</t>
  </si>
  <si>
    <t xml:space="preserve">Fabric pouch</t>
  </si>
  <si>
    <t xml:space="preserve">Pink fabric pouch</t>
  </si>
  <si>
    <t xml:space="preserve">lavender</t>
  </si>
  <si>
    <t xml:space="preserve">Orris root</t>
  </si>
  <si>
    <t xml:space="preserve">orris root</t>
  </si>
  <si>
    <t xml:space="preserve">Star-shaped button</t>
  </si>
  <si>
    <t xml:space="preserve">star-shaped button</t>
  </si>
  <si>
    <t xml:space="preserve">pink thread</t>
  </si>
  <si>
    <t xml:space="preserve">Heartspeak</t>
  </si>
  <si>
    <t xml:space="preserve">Tea</t>
  </si>
  <si>
    <t xml:space="preserve">Rose hips</t>
  </si>
  <si>
    <t xml:space="preserve">rose hips</t>
  </si>
  <si>
    <t xml:space="preserve">The Unbinding Rose</t>
  </si>
  <si>
    <t xml:space="preserve">Witch's Ladder</t>
  </si>
  <si>
    <t xml:space="preserve">Black thread</t>
  </si>
  <si>
    <t xml:space="preserve">Grey thread</t>
  </si>
  <si>
    <t xml:space="preserve">grey thread</t>
  </si>
  <si>
    <t xml:space="preserve">Rose thorns</t>
  </si>
  <si>
    <t xml:space="preserve">rose thorns</t>
  </si>
  <si>
    <t xml:space="preserve">Cypress</t>
  </si>
  <si>
    <t xml:space="preserve">cypress</t>
  </si>
  <si>
    <t xml:space="preserve">Obsidian</t>
  </si>
  <si>
    <t xml:space="preserve">obsidian bead</t>
  </si>
  <si>
    <t xml:space="preserve">Hedgehog quill</t>
  </si>
  <si>
    <t xml:space="preserve">hedgehog quill</t>
  </si>
  <si>
    <t xml:space="preserve">Iron pin</t>
  </si>
  <si>
    <t xml:space="preserve">iron pin</t>
  </si>
  <si>
    <t xml:space="preserve">Petals After Rain</t>
  </si>
  <si>
    <t xml:space="preserve">Balm</t>
  </si>
  <si>
    <t xml:space="preserve">Shea butter</t>
  </si>
  <si>
    <t xml:space="preserve">Beeswax</t>
  </si>
  <si>
    <t xml:space="preserve">beeswax</t>
  </si>
  <si>
    <t xml:space="preserve">Rainwater</t>
  </si>
  <si>
    <t xml:space="preserve">Calendula</t>
  </si>
  <si>
    <t xml:space="preserve">calendula</t>
  </si>
  <si>
    <t xml:space="preserve">Rhodonite</t>
  </si>
  <si>
    <t xml:space="preserve">rhodonite</t>
  </si>
  <si>
    <t xml:space="preserve">Strawberry Moon</t>
  </si>
  <si>
    <t xml:space="preserve">Cookies</t>
  </si>
  <si>
    <t xml:space="preserve">Fresh strawberries</t>
  </si>
  <si>
    <t xml:space="preserve">Butter</t>
  </si>
  <si>
    <t xml:space="preserve">butter</t>
  </si>
  <si>
    <t xml:space="preserve">Sugar</t>
  </si>
  <si>
    <t xml:space="preserve">sugar</t>
  </si>
  <si>
    <t xml:space="preserve">Flour</t>
  </si>
  <si>
    <t xml:space="preserve">flour</t>
  </si>
  <si>
    <t xml:space="preserve">vanilla</t>
  </si>
  <si>
    <t xml:space="preserve">Pink sprinkles</t>
  </si>
  <si>
    <t xml:space="preserve">pink sprinkles</t>
  </si>
  <si>
    <t xml:space="preserve">candied rose petal</t>
  </si>
  <si>
    <t xml:space="preserve">The Lover's Mirror</t>
  </si>
  <si>
    <t xml:space="preserve">Hand Mirror</t>
  </si>
  <si>
    <t xml:space="preserve">Clamshell compact</t>
  </si>
  <si>
    <t xml:space="preserve">red thread on the hinge</t>
  </si>
  <si>
    <t xml:space="preserve">Swan down</t>
  </si>
  <si>
    <t xml:space="preserve">swan down</t>
  </si>
  <si>
    <t xml:space="preserve">Crimson Kiss</t>
  </si>
  <si>
    <t xml:space="preserve">Powder</t>
  </si>
  <si>
    <t xml:space="preserve">Hibiscus powder</t>
  </si>
  <si>
    <t xml:space="preserve">Chili</t>
  </si>
  <si>
    <t xml:space="preserve">a tiny pinch of chili</t>
  </si>
  <si>
    <t xml:space="preserve">Beetroot powder</t>
  </si>
  <si>
    <t xml:space="preserve">beetroot powder</t>
  </si>
  <si>
    <t xml:space="preserve">Black tea</t>
  </si>
  <si>
    <t xml:space="preserve">black tea</t>
  </si>
  <si>
    <t xml:space="preserve">The Golden Vow</t>
  </si>
  <si>
    <t xml:space="preserve">Talisman</t>
  </si>
  <si>
    <t xml:space="preserve">Wooden disc</t>
  </si>
  <si>
    <t xml:space="preserve">velvet ribbon (red)</t>
  </si>
  <si>
    <t xml:space="preserve">Jade</t>
  </si>
  <si>
    <t xml:space="preserve">jade</t>
  </si>
  <si>
    <t xml:space="preserve">Rosebud</t>
  </si>
  <si>
    <t xml:space="preserve">rosebud</t>
  </si>
  <si>
    <t xml:space="preserve">Beloved by Starlight</t>
  </si>
  <si>
    <t xml:space="preserve">Sigil</t>
  </si>
  <si>
    <t xml:space="preserve">Paper</t>
  </si>
  <si>
    <t xml:space="preserve">Violet ink</t>
  </si>
  <si>
    <t xml:space="preserve">violet ink</t>
  </si>
  <si>
    <t xml:space="preserve">rosewater</t>
  </si>
  <si>
    <t xml:space="preserve">Silver mica</t>
  </si>
  <si>
    <t xml:space="preserve">silver mica</t>
  </si>
  <si>
    <t xml:space="preserve">Moonstone</t>
  </si>
  <si>
    <t xml:space="preserve">moonstone</t>
  </si>
  <si>
    <t xml:space="preserve">The Iron Moon</t>
  </si>
  <si>
    <t xml:space="preserve">Amulet</t>
  </si>
  <si>
    <t xml:space="preserve">Iron nail</t>
  </si>
  <si>
    <t xml:space="preserve">Black tourmaline</t>
  </si>
  <si>
    <t xml:space="preserve">black tourmaline</t>
  </si>
  <si>
    <t xml:space="preserve">Rosemary</t>
  </si>
  <si>
    <t xml:space="preserve">rosemary</t>
  </si>
  <si>
    <t xml:space="preserve">Silver thread</t>
  </si>
  <si>
    <t xml:space="preserve">silver thread</t>
  </si>
  <si>
    <t xml:space="preserve">Moonwater</t>
  </si>
  <si>
    <t xml:space="preserve">Hearthkeeper's Blessing</t>
  </si>
  <si>
    <t xml:space="preserve">Witch Salt</t>
  </si>
  <si>
    <t xml:space="preserve">Sea salt</t>
  </si>
  <si>
    <t xml:space="preserve">Hearth ash</t>
  </si>
  <si>
    <t xml:space="preserve">hearth ash</t>
  </si>
  <si>
    <t xml:space="preserve">Bay leaf</t>
  </si>
  <si>
    <t xml:space="preserve">bay leaf</t>
  </si>
  <si>
    <t xml:space="preserve">Eggshell</t>
  </si>
  <si>
    <t xml:space="preserve">eggshell powder</t>
  </si>
  <si>
    <t xml:space="preserve">Juniper</t>
  </si>
  <si>
    <t xml:space="preserve">juniper berries</t>
  </si>
  <si>
    <t xml:space="preserve">The Closed Gate</t>
  </si>
  <si>
    <t xml:space="preserve">Black ink</t>
  </si>
  <si>
    <t xml:space="preserve">black ink</t>
  </si>
  <si>
    <t xml:space="preserve">Myrrh</t>
  </si>
  <si>
    <t xml:space="preserve">myrrh smoke</t>
  </si>
  <si>
    <t xml:space="preserve">obsidian</t>
  </si>
  <si>
    <t xml:space="preserve">Small key</t>
  </si>
  <si>
    <t xml:space="preserve">small iron key</t>
  </si>
  <si>
    <t xml:space="preserve">No Further, No Closer</t>
  </si>
  <si>
    <t xml:space="preserve">Wand</t>
  </si>
  <si>
    <t xml:space="preserve">Rowan branch</t>
  </si>
  <si>
    <t xml:space="preserve">Fallen rowan branch</t>
  </si>
  <si>
    <t xml:space="preserve">black thread</t>
  </si>
  <si>
    <t xml:space="preserve">Hematite</t>
  </si>
  <si>
    <t xml:space="preserve">hematite</t>
  </si>
  <si>
    <t xml:space="preserve">The Unclouded Eye</t>
  </si>
  <si>
    <t xml:space="preserve">Glass bead</t>
  </si>
  <si>
    <t xml:space="preserve">Blue glass bead</t>
  </si>
  <si>
    <t xml:space="preserve">Clear quartz</t>
  </si>
  <si>
    <t xml:space="preserve">clear quartz</t>
  </si>
  <si>
    <t xml:space="preserve">Rue</t>
  </si>
  <si>
    <t xml:space="preserve">rue</t>
  </si>
  <si>
    <t xml:space="preserve">Lime peel</t>
  </si>
  <si>
    <t xml:space="preserve">lime peel</t>
  </si>
  <si>
    <t xml:space="preserve">Blue thread</t>
  </si>
  <si>
    <t xml:space="preserve">blue thread</t>
  </si>
  <si>
    <t xml:space="preserve">Wayfarer's Ward</t>
  </si>
  <si>
    <t xml:space="preserve">Comfrey leaf</t>
  </si>
  <si>
    <t xml:space="preserve">comfrey leaf</t>
  </si>
  <si>
    <t xml:space="preserve">Mugwort</t>
  </si>
  <si>
    <t xml:space="preserve">mugwort</t>
  </si>
  <si>
    <t xml:space="preserve">Amazonite</t>
  </si>
  <si>
    <t xml:space="preserve">amazonite</t>
  </si>
  <si>
    <t xml:space="preserve">Malachite</t>
  </si>
  <si>
    <t xml:space="preserve">malachite</t>
  </si>
  <si>
    <t xml:space="preserve">Snail shell</t>
  </si>
  <si>
    <t xml:space="preserve">snail shell</t>
  </si>
  <si>
    <t xml:space="preserve">The Quiet Exorcism</t>
  </si>
  <si>
    <t xml:space="preserve">Incense</t>
  </si>
  <si>
    <t xml:space="preserve">Frankincense</t>
  </si>
  <si>
    <t xml:space="preserve">Garden sage</t>
  </si>
  <si>
    <t xml:space="preserve">garden sage</t>
  </si>
  <si>
    <t xml:space="preserve">myrrh</t>
  </si>
  <si>
    <t xml:space="preserve">Cedar</t>
  </si>
  <si>
    <t xml:space="preserve">cedar</t>
  </si>
  <si>
    <t xml:space="preserve">Lemon peel</t>
  </si>
  <si>
    <t xml:space="preserve">dried lemon peel</t>
  </si>
  <si>
    <t xml:space="preserve">Clove</t>
  </si>
  <si>
    <t xml:space="preserve">clove</t>
  </si>
  <si>
    <t xml:space="preserve">The Midnight Sentinel</t>
  </si>
  <si>
    <t xml:space="preserve">Chamomile</t>
  </si>
  <si>
    <t xml:space="preserve">chamomile</t>
  </si>
  <si>
    <t xml:space="preserve">Amethyst</t>
  </si>
  <si>
    <t xml:space="preserve">amethyst</t>
  </si>
  <si>
    <t xml:space="preserve">Owl feather</t>
  </si>
  <si>
    <t xml:space="preserve">owl feather</t>
  </si>
  <si>
    <t xml:space="preserve">White thread</t>
  </si>
  <si>
    <t xml:space="preserve">white thread</t>
  </si>
  <si>
    <t xml:space="preserve">Rooted in Iron</t>
  </si>
  <si>
    <t xml:space="preserve">Rune</t>
  </si>
  <si>
    <t xml:space="preserve">Oak wood</t>
  </si>
  <si>
    <t xml:space="preserve">Oak slice</t>
  </si>
  <si>
    <t xml:space="preserve">Smoky quartz</t>
  </si>
  <si>
    <t xml:space="preserve">smoky quartz</t>
  </si>
  <si>
    <t xml:space="preserve">Patchouli</t>
  </si>
  <si>
    <t xml:space="preserve">patchouli</t>
  </si>
  <si>
    <t xml:space="preserve">Iron filings</t>
  </si>
  <si>
    <t xml:space="preserve">iron filings</t>
  </si>
  <si>
    <t xml:space="preserve">Garden soil</t>
  </si>
  <si>
    <t xml:space="preserve">a pinch of garden soil</t>
  </si>
  <si>
    <t xml:space="preserve">The Keeper's Knot</t>
  </si>
  <si>
    <t xml:space="preserve">small brass key</t>
  </si>
  <si>
    <t xml:space="preserve">juniper</t>
  </si>
  <si>
    <t xml:space="preserve">Shed cat whisker</t>
  </si>
  <si>
    <t xml:space="preserve">shed cat whisker</t>
  </si>
  <si>
    <t xml:space="preserve">Brass button</t>
  </si>
  <si>
    <t xml:space="preserve">brass button</t>
  </si>
  <si>
    <t xml:space="preserve">Sanctuary in Blue</t>
  </si>
  <si>
    <t xml:space="preserve">Water</t>
  </si>
  <si>
    <t xml:space="preserve">Blue lace agate</t>
  </si>
  <si>
    <t xml:space="preserve">blue lace agate</t>
  </si>
  <si>
    <t xml:space="preserve">Cornflower</t>
  </si>
  <si>
    <t xml:space="preserve">cornflower</t>
  </si>
  <si>
    <t xml:space="preserve">a pinch of sea salt</t>
  </si>
  <si>
    <t xml:space="preserve">The Silver Cocoon</t>
  </si>
  <si>
    <t xml:space="preserve">Soap</t>
  </si>
  <si>
    <t xml:space="preserve">Soap base</t>
  </si>
  <si>
    <t xml:space="preserve">Goat milk soap base</t>
  </si>
  <si>
    <t xml:space="preserve">Black salt</t>
  </si>
  <si>
    <t xml:space="preserve">black salt</t>
  </si>
  <si>
    <t xml:space="preserve">Selenite</t>
  </si>
  <si>
    <t xml:space="preserve">selenite</t>
  </si>
  <si>
    <t xml:space="preserve">The First Circle</t>
  </si>
  <si>
    <t xml:space="preserve">Rice flour</t>
  </si>
  <si>
    <t xml:space="preserve">sea salt</t>
  </si>
  <si>
    <t xml:space="preserve">frankincense powder</t>
  </si>
  <si>
    <t xml:space="preserve">The Unbroken Quill</t>
  </si>
  <si>
    <t xml:space="preserve">Raven feather</t>
  </si>
  <si>
    <t xml:space="preserve">Raven feather tip</t>
  </si>
  <si>
    <t xml:space="preserve">Ink</t>
  </si>
  <si>
    <t xml:space="preserve">a drop of ink</t>
  </si>
  <si>
    <t xml:space="preserve">Wax seal</t>
  </si>
  <si>
    <t xml:space="preserve">purple wax seal</t>
  </si>
  <si>
    <t xml:space="preserve">The Hearth's Gentle Flame</t>
  </si>
  <si>
    <t xml:space="preserve">Milk</t>
  </si>
  <si>
    <t xml:space="preserve">milk</t>
  </si>
  <si>
    <t xml:space="preserve">Hops</t>
  </si>
  <si>
    <t xml:space="preserve">hops</t>
  </si>
  <si>
    <t xml:space="preserve">Cloverkiss</t>
  </si>
  <si>
    <t xml:space="preserve">Sunwater</t>
  </si>
  <si>
    <t xml:space="preserve">Four-leaf clover</t>
  </si>
  <si>
    <t xml:space="preserve">four-leaf clover</t>
  </si>
  <si>
    <t xml:space="preserve">Clover</t>
  </si>
  <si>
    <t xml:space="preserve">clover</t>
  </si>
  <si>
    <t xml:space="preserve">Grapes</t>
  </si>
  <si>
    <t xml:space="preserve">grapes</t>
  </si>
  <si>
    <t xml:space="preserve">Green aventurine</t>
  </si>
  <si>
    <t xml:space="preserve">green aventurine</t>
  </si>
  <si>
    <t xml:space="preserve">The Gilded Orchard</t>
  </si>
  <si>
    <t xml:space="preserve">Olive oil</t>
  </si>
  <si>
    <t xml:space="preserve">Orange peel</t>
  </si>
  <si>
    <t xml:space="preserve">orange peel</t>
  </si>
  <si>
    <t xml:space="preserve">Basil</t>
  </si>
  <si>
    <t xml:space="preserve">basil</t>
  </si>
  <si>
    <t xml:space="preserve">Allspice</t>
  </si>
  <si>
    <t xml:space="preserve">allspice</t>
  </si>
  <si>
    <t xml:space="preserve">Pyrite</t>
  </si>
  <si>
    <t xml:space="preserve">pyrite</t>
  </si>
  <si>
    <t xml:space="preserve">Key to the Golden Hour</t>
  </si>
  <si>
    <t xml:space="preserve">Small brass key</t>
  </si>
  <si>
    <t xml:space="preserve">Citrine</t>
  </si>
  <si>
    <t xml:space="preserve">citrine</t>
  </si>
  <si>
    <t xml:space="preserve">Gold thread</t>
  </si>
  <si>
    <t xml:space="preserve">gold thread</t>
  </si>
  <si>
    <t xml:space="preserve">The Crowned Path</t>
  </si>
  <si>
    <t xml:space="preserve">Gold paint</t>
  </si>
  <si>
    <t xml:space="preserve">gold paint</t>
  </si>
  <si>
    <t xml:space="preserve">Tiger's eye</t>
  </si>
  <si>
    <t xml:space="preserve">tiger's eye</t>
  </si>
  <si>
    <t xml:space="preserve">The Open Invitation</t>
  </si>
  <si>
    <t xml:space="preserve">Glass vial</t>
  </si>
  <si>
    <t xml:space="preserve">tiny paper scroll</t>
  </si>
  <si>
    <t xml:space="preserve">Gold button</t>
  </si>
  <si>
    <t xml:space="preserve">gold button</t>
  </si>
  <si>
    <t xml:space="preserve">Rainbow sprinkles</t>
  </si>
  <si>
    <t xml:space="preserve">rainbow sprinkles</t>
  </si>
  <si>
    <t xml:space="preserve">Fortune Favors the Bold</t>
  </si>
  <si>
    <t xml:space="preserve">Tonic</t>
  </si>
  <si>
    <t xml:space="preserve">Ginger</t>
  </si>
  <si>
    <t xml:space="preserve">fresh ginger</t>
  </si>
  <si>
    <t xml:space="preserve">Saffron</t>
  </si>
  <si>
    <t xml:space="preserve">saffron</t>
  </si>
  <si>
    <t xml:space="preserve">Thyme</t>
  </si>
  <si>
    <t xml:space="preserve">thyme</t>
  </si>
  <si>
    <t xml:space="preserve">The Abundance Garden</t>
  </si>
  <si>
    <t xml:space="preserve">Wheat</t>
  </si>
  <si>
    <t xml:space="preserve">Fern</t>
  </si>
  <si>
    <t xml:space="preserve">fern</t>
  </si>
  <si>
    <t xml:space="preserve">Pressed moon petals</t>
  </si>
  <si>
    <t xml:space="preserve">pressed moon petals</t>
  </si>
  <si>
    <t xml:space="preserve">Lucky Little Things</t>
  </si>
  <si>
    <t xml:space="preserve">Brown sugar</t>
  </si>
  <si>
    <t xml:space="preserve">brown sugar</t>
  </si>
  <si>
    <t xml:space="preserve">Nutmeg</t>
  </si>
  <si>
    <t xml:space="preserve">nutmeg</t>
  </si>
  <si>
    <t xml:space="preserve">Poppy seeds</t>
  </si>
  <si>
    <t xml:space="preserve">poppy seeds</t>
  </si>
  <si>
    <t xml:space="preserve">The Wheel Turns</t>
  </si>
  <si>
    <t xml:space="preserve">Acorn</t>
  </si>
  <si>
    <t xml:space="preserve">Green thread</t>
  </si>
  <si>
    <t xml:space="preserve">green and gold thread</t>
  </si>
  <si>
    <t xml:space="preserve">cinnamon oil</t>
  </si>
  <si>
    <t xml:space="preserve">Coin</t>
  </si>
  <si>
    <t xml:space="preserve">a found coin</t>
  </si>
  <si>
    <t xml:space="preserve">Magpie feather</t>
  </si>
  <si>
    <t xml:space="preserve">magpie feather</t>
  </si>
  <si>
    <t xml:space="preserve">The Giving Star</t>
  </si>
  <si>
    <t xml:space="preserve">Pomegranate seeds</t>
  </si>
  <si>
    <t xml:space="preserve">pomegranate seeds</t>
  </si>
  <si>
    <t xml:space="preserve">a drop of honey</t>
  </si>
  <si>
    <t xml:space="preserve">green thread</t>
  </si>
  <si>
    <t xml:space="preserve">The Midas Muse</t>
  </si>
  <si>
    <t xml:space="preserve">Sunflower oil</t>
  </si>
  <si>
    <t xml:space="preserve">Gold mica</t>
  </si>
  <si>
    <t xml:space="preserve">gold mica</t>
  </si>
  <si>
    <t xml:space="preserve">Oak moss</t>
  </si>
  <si>
    <t xml:space="preserve">oak moss</t>
  </si>
  <si>
    <t xml:space="preserve">The Golden Nest</t>
  </si>
  <si>
    <t xml:space="preserve">dried basil</t>
  </si>
  <si>
    <t xml:space="preserve">Nest twig</t>
  </si>
  <si>
    <t xml:space="preserve">a twig from a fallen nest</t>
  </si>
  <si>
    <t xml:space="preserve">The Fortune Finder</t>
  </si>
  <si>
    <t xml:space="preserve">New Moon Water</t>
  </si>
  <si>
    <t xml:space="preserve">Star anise</t>
  </si>
  <si>
    <t xml:space="preserve">star anise</t>
  </si>
  <si>
    <t xml:space="preserve">Champagne Stardust</t>
  </si>
  <si>
    <t xml:space="preserve">Gold sprinkles</t>
  </si>
  <si>
    <t xml:space="preserve">gold sprinkles</t>
  </si>
  <si>
    <t xml:space="preserve">dried white grapes</t>
  </si>
  <si>
    <t xml:space="preserve">Elderflower</t>
  </si>
  <si>
    <t xml:space="preserve">elderflower</t>
  </si>
  <si>
    <t xml:space="preserve">Sunstone</t>
  </si>
  <si>
    <t xml:space="preserve">sunstone</t>
  </si>
  <si>
    <t xml:space="preserve">The Honeyed Hearth</t>
  </si>
  <si>
    <t xml:space="preserve">Honeycomb</t>
  </si>
  <si>
    <t xml:space="preserve">Honeycomb sliver</t>
  </si>
  <si>
    <t xml:space="preserve">cloves</t>
  </si>
  <si>
    <t xml:space="preserve">wheat stalk</t>
  </si>
  <si>
    <t xml:space="preserve">Autumn leaf</t>
  </si>
  <si>
    <t xml:space="preserve">autumn leaf</t>
  </si>
  <si>
    <t xml:space="preserve">The Unshaken Flame</t>
  </si>
  <si>
    <t xml:space="preserve">ginger</t>
  </si>
  <si>
    <t xml:space="preserve">Mirror of Aphrodite</t>
  </si>
  <si>
    <t xml:space="preserve">Seashell</t>
  </si>
  <si>
    <t xml:space="preserve">seashell</t>
  </si>
  <si>
    <t xml:space="preserve">Starlit Siren</t>
  </si>
  <si>
    <t xml:space="preserve">seashell powder</t>
  </si>
  <si>
    <t xml:space="preserve">The Unmasked Self</t>
  </si>
  <si>
    <t xml:space="preserve">ink</t>
  </si>
  <si>
    <t xml:space="preserve">Licorice root</t>
  </si>
  <si>
    <t xml:space="preserve">licorice root</t>
  </si>
  <si>
    <t xml:space="preserve">The Scarlet Entrance</t>
  </si>
  <si>
    <t xml:space="preserve">Jojoba oil</t>
  </si>
  <si>
    <t xml:space="preserve">Black pepper</t>
  </si>
  <si>
    <t xml:space="preserve">black pepper</t>
  </si>
  <si>
    <t xml:space="preserve">One of a Kind</t>
  </si>
  <si>
    <t xml:space="preserve">Clay</t>
  </si>
  <si>
    <t xml:space="preserve">Labradorite</t>
  </si>
  <si>
    <t xml:space="preserve">labradorite</t>
  </si>
  <si>
    <t xml:space="preserve">Violet</t>
  </si>
  <si>
    <t xml:space="preserve">violet</t>
  </si>
  <si>
    <t xml:space="preserve">White feather</t>
  </si>
  <si>
    <t xml:space="preserve">white feather</t>
  </si>
  <si>
    <t xml:space="preserve">Mismatched button</t>
  </si>
  <si>
    <t xml:space="preserve">one mismatched button</t>
  </si>
  <si>
    <t xml:space="preserve">Swanlight</t>
  </si>
  <si>
    <t xml:space="preserve">Snow Water</t>
  </si>
  <si>
    <t xml:space="preserve">soap base</t>
  </si>
  <si>
    <t xml:space="preserve">Baking soda</t>
  </si>
  <si>
    <t xml:space="preserve">baking soda</t>
  </si>
  <si>
    <t xml:space="preserve">White lily</t>
  </si>
  <si>
    <t xml:space="preserve">white lily</t>
  </si>
  <si>
    <t xml:space="preserve">The Enchanted Wardrobe</t>
  </si>
  <si>
    <t xml:space="preserve">Lilac</t>
  </si>
  <si>
    <t xml:space="preserve">Vintage button</t>
  </si>
  <si>
    <t xml:space="preserve">a vintage button</t>
  </si>
  <si>
    <t xml:space="preserve">Fluorite</t>
  </si>
  <si>
    <t xml:space="preserve">fluorite</t>
  </si>
  <si>
    <t xml:space="preserve">Spool of thread</t>
  </si>
  <si>
    <t xml:space="preserve">a spool of thread</t>
  </si>
  <si>
    <t xml:space="preserve">The Only Moon</t>
  </si>
  <si>
    <t xml:space="preserve">Silver, white and blue thread</t>
  </si>
  <si>
    <t xml:space="preserve">moonstone bead</t>
  </si>
  <si>
    <t xml:space="preserve">Shed snake skin</t>
  </si>
  <si>
    <t xml:space="preserve">shed snake skin</t>
  </si>
  <si>
    <t xml:space="preserve">Celestial Spotlight</t>
  </si>
  <si>
    <t xml:space="preserve">Orange blossom</t>
  </si>
  <si>
    <t xml:space="preserve">orange blossom</t>
  </si>
  <si>
    <t xml:space="preserve">The Spotlight Bloom</t>
  </si>
  <si>
    <t xml:space="preserve">Sunflower petals</t>
  </si>
  <si>
    <t xml:space="preserve">sunflower petals</t>
  </si>
  <si>
    <t xml:space="preserve">garden soil</t>
  </si>
  <si>
    <t xml:space="preserve">The Living Portrait</t>
  </si>
  <si>
    <t xml:space="preserve">Paintbrush bristle</t>
  </si>
  <si>
    <t xml:space="preserve">Rose</t>
  </si>
  <si>
    <t xml:space="preserve">rose</t>
  </si>
  <si>
    <t xml:space="preserve">The Velvet Tongue</t>
  </si>
  <si>
    <t xml:space="preserve">Peppermint</t>
  </si>
  <si>
    <t xml:space="preserve">Lemon balm</t>
  </si>
  <si>
    <t xml:space="preserve">lemon balm</t>
  </si>
  <si>
    <t xml:space="preserve">Midnight Satin</t>
  </si>
  <si>
    <t xml:space="preserve">Satin pouch (black)</t>
  </si>
  <si>
    <t xml:space="preserve">Black satin pouch</t>
  </si>
  <si>
    <t xml:space="preserve">raven feather</t>
  </si>
  <si>
    <t xml:space="preserve">Satin ribbon</t>
  </si>
  <si>
    <t xml:space="preserve">satin ribbon</t>
  </si>
  <si>
    <t xml:space="preserve">A Body Made of Stars</t>
  </si>
  <si>
    <t xml:space="preserve">Dandelion</t>
  </si>
  <si>
    <t xml:space="preserve">dandelion</t>
  </si>
  <si>
    <t xml:space="preserve">The Wildflower Circle</t>
  </si>
  <si>
    <t xml:space="preserve">Daisy</t>
  </si>
  <si>
    <t xml:space="preserve">daisy</t>
  </si>
  <si>
    <t xml:space="preserve">Sweet pea</t>
  </si>
  <si>
    <t xml:space="preserve">sweet pea</t>
  </si>
  <si>
    <t xml:space="preserve">Rainbow threads</t>
  </si>
  <si>
    <t xml:space="preserve">rainbow threads</t>
  </si>
  <si>
    <t xml:space="preserve">The Unbreakable Braid</t>
  </si>
  <si>
    <t xml:space="preserve">spool of thread</t>
  </si>
  <si>
    <t xml:space="preserve">Pearl buttons</t>
  </si>
  <si>
    <t xml:space="preserve">two matching buttons</t>
  </si>
  <si>
    <t xml:space="preserve">amazonite bead</t>
  </si>
  <si>
    <t xml:space="preserve">Constellation Calling</t>
  </si>
  <si>
    <t xml:space="preserve">Silver glitter</t>
  </si>
  <si>
    <t xml:space="preserve">silver glitter</t>
  </si>
  <si>
    <t xml:space="preserve">tiny paper stars</t>
  </si>
  <si>
    <t xml:space="preserve">The Open Lantern</t>
  </si>
  <si>
    <t xml:space="preserve">a little ginger</t>
  </si>
  <si>
    <t xml:space="preserve">Words Like Honey</t>
  </si>
  <si>
    <t xml:space="preserve">peppermint</t>
  </si>
  <si>
    <t xml:space="preserve">The Silver Bridge</t>
  </si>
  <si>
    <t xml:space="preserve">Angelica root</t>
  </si>
  <si>
    <t xml:space="preserve">angelica root</t>
  </si>
  <si>
    <t xml:space="preserve">Yellow thread</t>
  </si>
  <si>
    <t xml:space="preserve">yellow thread</t>
  </si>
  <si>
    <t xml:space="preserve">The Kindred Spark</t>
  </si>
  <si>
    <t xml:space="preserve">Bright buttons</t>
  </si>
  <si>
    <t xml:space="preserve">bright buttons</t>
  </si>
  <si>
    <t xml:space="preserve">Orange thread</t>
  </si>
  <si>
    <t xml:space="preserve">orange thread</t>
  </si>
  <si>
    <t xml:space="preserve">A Thousand Little Lights</t>
  </si>
  <si>
    <t xml:space="preserve">Amber resin</t>
  </si>
  <si>
    <t xml:space="preserve">Pine</t>
  </si>
  <si>
    <t xml:space="preserve">pine</t>
  </si>
  <si>
    <t xml:space="preserve">Company of the Moon</t>
  </si>
  <si>
    <t xml:space="preserve">Sea Water</t>
  </si>
  <si>
    <t xml:space="preserve">Moss agate</t>
  </si>
  <si>
    <t xml:space="preserve">moss agate</t>
  </si>
  <si>
    <t xml:space="preserve">The Empty Chair</t>
  </si>
  <si>
    <t xml:space="preserve">Poppet</t>
  </si>
  <si>
    <t xml:space="preserve">Muslin</t>
  </si>
  <si>
    <t xml:space="preserve">The Woven Village</t>
  </si>
  <si>
    <t xml:space="preserve">wheat</t>
  </si>
  <si>
    <t xml:space="preserve">threads in many colours</t>
  </si>
  <si>
    <t xml:space="preserve">honeycomb</t>
  </si>
  <si>
    <t xml:space="preserve">The Open Doorbell</t>
  </si>
  <si>
    <t xml:space="preserve">orange zest</t>
  </si>
  <si>
    <t xml:space="preserve">The Gentle No</t>
  </si>
  <si>
    <t xml:space="preserve">Lemon</t>
  </si>
  <si>
    <t xml:space="preserve">lemon</t>
  </si>
  <si>
    <t xml:space="preserve">The Listening Shell</t>
  </si>
  <si>
    <t xml:space="preserve">Spiral seashell</t>
  </si>
  <si>
    <t xml:space="preserve">Aquamarine</t>
  </si>
  <si>
    <t xml:space="preserve">aquamarine</t>
  </si>
  <si>
    <t xml:space="preserve">Silver bead</t>
  </si>
  <si>
    <t xml:space="preserve">silver bead</t>
  </si>
  <si>
    <t xml:space="preserve">The Honeybee Feast</t>
  </si>
  <si>
    <t xml:space="preserve">Fennel seed</t>
  </si>
  <si>
    <t xml:space="preserve">fennel seed</t>
  </si>
  <si>
    <t xml:space="preserve">Bee pollen</t>
  </si>
  <si>
    <t xml:space="preserve">bee pollen</t>
  </si>
  <si>
    <t xml:space="preserve">The Muse Unlocked</t>
  </si>
  <si>
    <t xml:space="preserve">Lemongrass</t>
  </si>
  <si>
    <t xml:space="preserve">lemongrass</t>
  </si>
  <si>
    <t xml:space="preserve">frankincense</t>
  </si>
  <si>
    <t xml:space="preserve">Snowdrop</t>
  </si>
  <si>
    <t xml:space="preserve">snowdrop</t>
  </si>
  <si>
    <t xml:space="preserve">Brainstorm Stardust</t>
  </si>
  <si>
    <t xml:space="preserve">Storm Water</t>
  </si>
  <si>
    <t xml:space="preserve">A few drops of Storm Water</t>
  </si>
  <si>
    <t xml:space="preserve">peppermint powder</t>
  </si>
  <si>
    <t xml:space="preserve">lemon zest</t>
  </si>
  <si>
    <t xml:space="preserve">Biodegradable glitter</t>
  </si>
  <si>
    <t xml:space="preserve">biodegradable glitter</t>
  </si>
  <si>
    <t xml:space="preserve">The Final Golden Stitch</t>
  </si>
  <si>
    <t xml:space="preserve">nine buttons</t>
  </si>
  <si>
    <t xml:space="preserve">bay leaves</t>
  </si>
  <si>
    <t xml:space="preserve">tiger's eye bead</t>
  </si>
  <si>
    <t xml:space="preserve">The Unwritten Universe</t>
  </si>
  <si>
    <t xml:space="preserve">Willow branch</t>
  </si>
  <si>
    <t xml:space="preserve">Fallen willow branch</t>
  </si>
  <si>
    <t xml:space="preserve">Purple thread</t>
  </si>
  <si>
    <t xml:space="preserve">violet and silver thread</t>
  </si>
  <si>
    <t xml:space="preserve">The Open Studio</t>
  </si>
  <si>
    <t xml:space="preserve">paintbrush bristle</t>
  </si>
  <si>
    <t xml:space="preserve">Patchwork scraps</t>
  </si>
  <si>
    <t xml:space="preserve">patchwork scraps</t>
  </si>
  <si>
    <t xml:space="preserve">The Clockwork Moon</t>
  </si>
  <si>
    <t xml:space="preserve">The Clear Quartz Hour</t>
  </si>
  <si>
    <t xml:space="preserve">Spring water</t>
  </si>
  <si>
    <t xml:space="preserve">Spring Water</t>
  </si>
  <si>
    <t xml:space="preserve">The Gallery of Becoming</t>
  </si>
  <si>
    <t xml:space="preserve">Gold ink</t>
  </si>
  <si>
    <t xml:space="preserve">gold ink</t>
  </si>
  <si>
    <t xml:space="preserve">frankincense smoke</t>
  </si>
  <si>
    <t xml:space="preserve">The Artist's Entrance</t>
  </si>
  <si>
    <t xml:space="preserve">sunflower</t>
  </si>
  <si>
    <t xml:space="preserve">First Spark, First Flame</t>
  </si>
  <si>
    <t xml:space="preserve">Birch wood</t>
  </si>
  <si>
    <t xml:space="preserve">Red paint</t>
  </si>
  <si>
    <t xml:space="preserve">red paint</t>
  </si>
  <si>
    <t xml:space="preserve">The Owl's Lantern</t>
  </si>
  <si>
    <t xml:space="preserve">The Fool's Golden Star</t>
  </si>
  <si>
    <t xml:space="preserve">purple thread</t>
  </si>
  <si>
    <t xml:space="preserve">Tiny bell</t>
  </si>
  <si>
    <t xml:space="preserve">tiny bell</t>
  </si>
  <si>
    <t xml:space="preserve">The Guiding Thread</t>
  </si>
  <si>
    <t xml:space="preserve">Lapis lazuli</t>
  </si>
  <si>
    <t xml:space="preserve">Done Is Enchanted</t>
  </si>
  <si>
    <t xml:space="preserve">Howlite</t>
  </si>
  <si>
    <t xml:space="preserve">howlite</t>
  </si>
  <si>
    <t xml:space="preserve">The Pocket-Sized Triumph</t>
  </si>
  <si>
    <t xml:space="preserve">Oats</t>
  </si>
  <si>
    <t xml:space="preserve">Raisins</t>
  </si>
  <si>
    <t xml:space="preserve">raisins</t>
  </si>
  <si>
    <t xml:space="preserve">Stillwater Sanctuary</t>
  </si>
  <si>
    <t xml:space="preserve">Raincloud Release</t>
  </si>
  <si>
    <t xml:space="preserve">Eucalyptus</t>
  </si>
  <si>
    <t xml:space="preserve">eucalyptus</t>
  </si>
  <si>
    <t xml:space="preserve">obsidian (Apache tear)</t>
  </si>
  <si>
    <t xml:space="preserve">The Bitterroot Unbound</t>
  </si>
  <si>
    <t xml:space="preserve">Dandelion root</t>
  </si>
  <si>
    <t xml:space="preserve">dandelion root</t>
  </si>
  <si>
    <t xml:space="preserve">The Mercy Garden</t>
  </si>
  <si>
    <t xml:space="preserve">Lavender Hour</t>
  </si>
  <si>
    <t xml:space="preserve">Valerian</t>
  </si>
  <si>
    <t xml:space="preserve">valerian</t>
  </si>
  <si>
    <t xml:space="preserve">The Last Candle</t>
  </si>
  <si>
    <t xml:space="preserve">Sandalwood</t>
  </si>
  <si>
    <t xml:space="preserve">Copal</t>
  </si>
  <si>
    <t xml:space="preserve">copal</t>
  </si>
  <si>
    <t xml:space="preserve">The Earth Remembers</t>
  </si>
  <si>
    <t xml:space="preserve">The Soft Return</t>
  </si>
  <si>
    <t xml:space="preserve">Oat milk soap base</t>
  </si>
  <si>
    <t xml:space="preserve">The Open Palm</t>
  </si>
  <si>
    <t xml:space="preserve">River stone</t>
  </si>
  <si>
    <t xml:space="preserve">Willow bark</t>
  </si>
  <si>
    <t xml:space="preserve">willow bark</t>
  </si>
  <si>
    <t xml:space="preserve">The Unwritten Page</t>
  </si>
  <si>
    <t xml:space="preserve">White muslin</t>
  </si>
  <si>
    <t xml:space="preserve">wax seal</t>
  </si>
  <si>
    <t xml:space="preserve">The Golden Ordinary</t>
  </si>
  <si>
    <t xml:space="preserve">Orange</t>
  </si>
  <si>
    <t xml:space="preserve">orange</t>
  </si>
  <si>
    <t xml:space="preserve">The Slow-Blooming Rose</t>
  </si>
  <si>
    <t xml:space="preserve">Lotus</t>
  </si>
  <si>
    <t xml:space="preserve">lotus</t>
  </si>
  <si>
    <t xml:space="preserve">The Foggy Moon</t>
  </si>
  <si>
    <t xml:space="preserve">The Dawn Within</t>
  </si>
  <si>
    <t xml:space="preserve">lemon peel</t>
  </si>
  <si>
    <t xml:space="preserve">Permission to Be</t>
  </si>
  <si>
    <t xml:space="preserve">The Dreaming Garden</t>
  </si>
  <si>
    <t xml:space="preserve">Moth wing dust</t>
  </si>
  <si>
    <t xml:space="preserve">moth wing dust</t>
  </si>
  <si>
    <t xml:space="preserve">The Moon's Notebook</t>
  </si>
  <si>
    <t xml:space="preserve">a little mugwort</t>
  </si>
  <si>
    <t xml:space="preserve">The Inner Compass</t>
  </si>
  <si>
    <t xml:space="preserve">The Quiet Between Stars</t>
  </si>
  <si>
    <t xml:space="preserve">The Green Whisper</t>
  </si>
  <si>
    <t xml:space="preserve">The Language of Ravens</t>
  </si>
  <si>
    <t xml:space="preserve">Ash wood</t>
  </si>
  <si>
    <t xml:space="preserve">Ink Beneath the Moon</t>
  </si>
  <si>
    <t xml:space="preserve">Hazel branch</t>
  </si>
  <si>
    <t xml:space="preserve">Fallen hazel branch</t>
  </si>
  <si>
    <t xml:space="preserve">Quill</t>
  </si>
  <si>
    <t xml:space="preserve">feather quill</t>
  </si>
  <si>
    <t xml:space="preserve">The Little Moon Temple</t>
  </si>
  <si>
    <t xml:space="preserve">a drop of Moonwater</t>
  </si>
  <si>
    <t xml:space="preserve">The Unborrowed Light</t>
  </si>
  <si>
    <t xml:space="preserve">Silver ink</t>
  </si>
  <si>
    <t xml:space="preserve">silver ink</t>
  </si>
  <si>
    <t xml:space="preserve">The Silver Sleepgate</t>
  </si>
  <si>
    <t xml:space="preserve">The Phoenix's First Petal</t>
  </si>
  <si>
    <t xml:space="preserve">Wormwood</t>
  </si>
  <si>
    <t xml:space="preserve">wormwood</t>
  </si>
  <si>
    <t xml:space="preserve">chili</t>
  </si>
  <si>
    <t xml:space="preserve">The Cocoon Key</t>
  </si>
  <si>
    <t xml:space="preserve">small key</t>
  </si>
  <si>
    <t xml:space="preserve">The Severed Loop</t>
  </si>
  <si>
    <t xml:space="preserve">The Thousandth Version</t>
  </si>
  <si>
    <t xml:space="preserve">The Mirror Below</t>
  </si>
  <si>
    <t xml:space="preserve">Clamshell compact (dark glass)</t>
  </si>
  <si>
    <t xml:space="preserve">Clamshell compact with darkened glass</t>
  </si>
  <si>
    <t xml:space="preserve">The First Crescent</t>
  </si>
  <si>
    <t xml:space="preserve">New Moon Water mixed into silver ink</t>
  </si>
  <si>
    <t xml:space="preserve">The Waning Veil</t>
  </si>
  <si>
    <t xml:space="preserve">Twelve Moons, One Heart</t>
  </si>
  <si>
    <t xml:space="preserve">Seaweed</t>
  </si>
  <si>
    <t xml:space="preserve">one dried petal for each full moon of the year</t>
  </si>
  <si>
    <t xml:space="preserve">The Shadowed Halo</t>
  </si>
  <si>
    <t xml:space="preserve">A Thousand Open Eyes</t>
  </si>
  <si>
    <t xml:space="preserve">The Cosmic Thread</t>
  </si>
  <si>
    <t xml:space="preserve">glass bead</t>
  </si>
  <si>
    <t xml:space="preserve">The Growing Silver</t>
  </si>
  <si>
    <t xml:space="preserve">The Gentle Dimming</t>
  </si>
  <si>
    <t xml:space="preserve">Sunrise in a Teacup</t>
  </si>
  <si>
    <t xml:space="preserve">The Amber Hour</t>
  </si>
  <si>
    <t xml:space="preserve">The Starbound Self</t>
  </si>
  <si>
    <t xml:space="preserve">Birthstone (customer's)</t>
  </si>
  <si>
    <t xml:space="preserve">the customer's birthstone</t>
  </si>
  <si>
    <t xml:space="preserve">Another Orbit Around the Sun</t>
  </si>
  <si>
    <t xml:space="preserve">The Celestial Mapmaker</t>
  </si>
  <si>
    <t xml:space="preserve">Ash branch</t>
  </si>
  <si>
    <t xml:space="preserve">Fallen ash branch</t>
  </si>
  <si>
    <t xml:space="preserve">The Turning Leaf</t>
  </si>
  <si>
    <t xml:space="preserve">Birch branch</t>
  </si>
  <si>
    <t xml:space="preserve">an autumn leaf</t>
  </si>
  <si>
    <t xml:space="preserve">birch wood</t>
  </si>
  <si>
    <t xml:space="preserve">The Green Comet</t>
  </si>
  <si>
    <t xml:space="preserve">Peridot</t>
  </si>
  <si>
    <t xml:space="preserve">peridot</t>
  </si>
  <si>
    <t xml:space="preserve">The Wintering Star</t>
  </si>
  <si>
    <t xml:space="preserve">Solstice Honey</t>
  </si>
  <si>
    <t xml:space="preserve">The Copper Moon</t>
  </si>
  <si>
    <t xml:space="preserve">apple peel</t>
  </si>
  <si>
    <t xml:space="preserve">dried oak leaf</t>
  </si>
  <si>
    <t xml:space="preserve">The North Star Within</t>
  </si>
  <si>
    <t xml:space="preserve">The Moonlit Appointment</t>
  </si>
  <si>
    <t xml:space="preserve">Silver, white and blue thread (thirteen knots)</t>
  </si>
  <si>
    <t xml:space="preserve">Orbit of Becoming</t>
  </si>
  <si>
    <t xml:space="preserve">Velvet Firmament</t>
  </si>
  <si>
    <t xml:space="preserve">Soap base (charcoal)</t>
  </si>
  <si>
    <t xml:space="preserve">Charcoal soap base</t>
  </si>
  <si>
    <t xml:space="preserve">The Planetary Muse</t>
  </si>
  <si>
    <t xml:space="preserve">The Sun's Little Promise</t>
  </si>
  <si>
    <t xml:space="preserve">Dried orange slice</t>
  </si>
  <si>
    <t xml:space="preserve">The Tidal Heart</t>
  </si>
  <si>
    <t xml:space="preserve">Sea Water (a few drops)</t>
  </si>
  <si>
    <t xml:space="preserve">aquamarine set beside the cup</t>
  </si>
  <si>
    <t xml:space="preserve">The Uncharted Sky</t>
  </si>
  <si>
    <t xml:space="preserve">blue cornflower</t>
  </si>
  <si>
    <t xml:space="preserve">Stardust Permission Slip</t>
  </si>
  <si>
    <t xml:space="preserve">Paper slip</t>
  </si>
  <si>
    <t xml:space="preserve">The Lunar Keepsake</t>
  </si>
  <si>
    <t xml:space="preserve">The Orbit Marker</t>
  </si>
  <si>
    <t xml:space="preserve">The Promise of Blue Hour</t>
  </si>
  <si>
    <t xml:space="preserve">Bergamot</t>
  </si>
  <si>
    <t xml:space="preserve">bergamot</t>
  </si>
  <si>
    <t xml:space="preserve">Rise, Little Flame</t>
  </si>
  <si>
    <t xml:space="preserve">Mint</t>
  </si>
  <si>
    <t xml:space="preserve">mint</t>
  </si>
  <si>
    <t xml:space="preserve">The Traveling Teacup</t>
  </si>
  <si>
    <t xml:space="preserve">Teacup charm</t>
  </si>
  <si>
    <t xml:space="preserve">Tiny teacup charm</t>
  </si>
  <si>
    <t xml:space="preserve">The Order of Little Things</t>
  </si>
  <si>
    <t xml:space="preserve">Lemon zest</t>
  </si>
  <si>
    <t xml:space="preserve">The Silver Shopping Star</t>
  </si>
  <si>
    <t xml:space="preserve">Silver coin</t>
  </si>
  <si>
    <t xml:space="preserve">The Blanket Fort Blessing</t>
  </si>
  <si>
    <t xml:space="preserve">a pinch of nutmeg</t>
  </si>
  <si>
    <t xml:space="preserve">The Supper of Small Wonders</t>
  </si>
  <si>
    <t xml:space="preserve">The Honeyed Hello</t>
  </si>
  <si>
    <t xml:space="preserve">lavender sugar</t>
  </si>
  <si>
    <t xml:space="preserve">Pocketful of Sunbeams</t>
  </si>
  <si>
    <t xml:space="preserve">Rain on the Windowsill</t>
  </si>
  <si>
    <t xml:space="preserve">The Finder's Flicker</t>
  </si>
  <si>
    <t xml:space="preserve">Fallen hazel twig</t>
  </si>
  <si>
    <t xml:space="preserve">The Fresh Linen Familiar</t>
  </si>
  <si>
    <t xml:space="preserve">a pinch of Epsom salt</t>
  </si>
  <si>
    <t xml:space="preserve">The Errand Sprite</t>
  </si>
  <si>
    <t xml:space="preserve">The Unhurried Hour</t>
  </si>
  <si>
    <t xml:space="preserve">sandalwood</t>
  </si>
  <si>
    <t xml:space="preserve">The Desk of Possibilities</t>
  </si>
  <si>
    <t xml:space="preserve">The Solitude Sweetspot</t>
  </si>
  <si>
    <t xml:space="preserve">The Pocket-Sized Hearth</t>
  </si>
  <si>
    <t xml:space="preserve">dried orange peel</t>
  </si>
  <si>
    <t xml:space="preserve">The Unexpected Ribbon</t>
  </si>
  <si>
    <t xml:space="preserve">ribbon scrap</t>
  </si>
  <si>
    <t xml:space="preserve">rose petal</t>
  </si>
  <si>
    <t xml:space="preserve">The Waiting Room Oracle</t>
  </si>
  <si>
    <t xml:space="preserve">Smooth pebble</t>
  </si>
  <si>
    <t xml:space="preserve">The Ritual of Ordinary Things</t>
  </si>
  <si>
    <t xml:space="preserve">The Doorstep Clover</t>
  </si>
  <si>
    <t xml:space="preserve">The Pillow Fort Moon</t>
  </si>
  <si>
    <t xml:space="preserve">The Sleepy Stardrop</t>
  </si>
  <si>
    <t xml:space="preserve">One Tiny Task at a Time</t>
  </si>
  <si>
    <t xml:space="preserve">The Offline Garden</t>
  </si>
  <si>
    <t xml:space="preserve">The Everyday Jester</t>
  </si>
  <si>
    <t xml:space="preserve">a tiny bell</t>
  </si>
  <si>
    <t xml:space="preserve">The Sunday Softening</t>
  </si>
  <si>
    <t xml:space="preserve">lilac</t>
  </si>
  <si>
    <t xml:space="preserve">Milk powder</t>
  </si>
  <si>
    <t xml:space="preserve">milk powder</t>
  </si>
  <si>
    <t xml:space="preserve">The Nesting Spell</t>
  </si>
  <si>
    <t xml:space="preserve">The Rain-Rinse Ritual</t>
  </si>
  <si>
    <t xml:space="preserve">The Path of Least Fuss</t>
  </si>
  <si>
    <t xml:space="preserve">The Little Victory Bell</t>
  </si>
  <si>
    <t xml:space="preserve">orange peel powder</t>
  </si>
  <si>
    <t xml:space="preserve">The Pattern Beneath</t>
  </si>
  <si>
    <t xml:space="preserve">The Door You Know</t>
  </si>
  <si>
    <t xml:space="preserve">Blackthorn branch</t>
  </si>
  <si>
    <t xml:space="preserve">Fallen blackthorn branch</t>
  </si>
  <si>
    <t xml:space="preserve">The Hand on the Wheel</t>
  </si>
  <si>
    <t xml:space="preserve">Copper disc</t>
  </si>
  <si>
    <t xml:space="preserve">The Guiltless Garden</t>
  </si>
  <si>
    <t xml:space="preserve">The Ember Keeper</t>
  </si>
  <si>
    <t xml:space="preserve">The Unapologetic Gate</t>
  </si>
  <si>
    <t xml:space="preserve">Red ink</t>
  </si>
  <si>
    <t xml:space="preserve">red ink</t>
  </si>
  <si>
    <t xml:space="preserve">lapis lazuli</t>
  </si>
  <si>
    <t xml:space="preserve">The Unseated Guest</t>
  </si>
  <si>
    <t xml:space="preserve">an empty chair drawn in ink on the back</t>
  </si>
  <si>
    <t xml:space="preserve">The Green-Eyed Lantern</t>
  </si>
  <si>
    <t xml:space="preserve">The Cracked Porcelain Crown</t>
  </si>
  <si>
    <t xml:space="preserve">The Unpinned Mask</t>
  </si>
  <si>
    <t xml:space="preserve">The Forgotten Room</t>
  </si>
  <si>
    <t xml:space="preserve">Locket</t>
  </si>
  <si>
    <t xml:space="preserve">locket</t>
  </si>
  <si>
    <t xml:space="preserve">The Unwritten Rule</t>
  </si>
  <si>
    <t xml:space="preserve">Willow wood</t>
  </si>
  <si>
    <t xml:space="preserve">The Full-Sized Flame</t>
  </si>
  <si>
    <t xml:space="preserve">The Inner Housekeeper</t>
  </si>
  <si>
    <t xml:space="preserve">Nettle</t>
  </si>
  <si>
    <t xml:space="preserve">The Younger Moon</t>
  </si>
  <si>
    <t xml:space="preserve">The Retired Myth</t>
  </si>
  <si>
    <t xml:space="preserve">The Two-Sided Star</t>
  </si>
  <si>
    <t xml:space="preserve">The Forgiving Tide</t>
  </si>
  <si>
    <t xml:space="preserve">Pink glitter</t>
  </si>
  <si>
    <t xml:space="preserve">seaweed</t>
  </si>
  <si>
    <t xml:space="preserve">The Brave Little Lantern</t>
  </si>
  <si>
    <t xml:space="preserve">The Broken Loop Key</t>
  </si>
  <si>
    <t xml:space="preserve">The Old Shield, Laid Down</t>
  </si>
  <si>
    <t xml:space="preserve">ash of a burned bay leaf</t>
  </si>
  <si>
    <t xml:space="preserve">The Unconditional Pillow</t>
  </si>
  <si>
    <t xml:space="preserve">The First-Draft Witch</t>
  </si>
  <si>
    <t xml:space="preserve">Chocolate chips</t>
  </si>
  <si>
    <t xml:space="preserve">chocolate chips</t>
  </si>
  <si>
    <t xml:space="preserve">The Velvet Truth</t>
  </si>
  <si>
    <t xml:space="preserve">The Empty Frame</t>
  </si>
  <si>
    <t xml:space="preserve">The Clear Bell</t>
  </si>
  <si>
    <t xml:space="preserve">clear quartz set beside the cup</t>
  </si>
  <si>
    <t xml:space="preserve">The Spiral Staircase</t>
  </si>
  <si>
    <t xml:space="preserve">snail shell spiral pressed in</t>
  </si>
  <si>
    <t xml:space="preserve">The Rain-Rooted Heart</t>
  </si>
  <si>
    <t xml:space="preserve">The Worth Beyond Work</t>
  </si>
  <si>
    <t xml:space="preserve">The Kind Voice Within</t>
  </si>
  <si>
    <t xml:space="preserve">The Glittering Entrance</t>
  </si>
  <si>
    <t xml:space="preserve">The Silken Halo</t>
  </si>
  <si>
    <t xml:space="preserve">The Lost-and-Found Familiar</t>
  </si>
  <si>
    <t xml:space="preserve">The Main-Character Morning</t>
  </si>
  <si>
    <t xml:space="preserve">strawberry</t>
  </si>
  <si>
    <t xml:space="preserve">The Lucky Pixel</t>
  </si>
  <si>
    <t xml:space="preserve">Square button</t>
  </si>
  <si>
    <t xml:space="preserve">The Compliment Constellation</t>
  </si>
  <si>
    <t xml:space="preserve">Star-shaped buttons</t>
  </si>
  <si>
    <t xml:space="preserve">Everyday Stardust</t>
  </si>
  <si>
    <t xml:space="preserve">vanilla powder</t>
  </si>
  <si>
    <t xml:space="preserve">The Outfit Oracle</t>
  </si>
  <si>
    <t xml:space="preserve">The Hello Spell</t>
  </si>
  <si>
    <t xml:space="preserve">The Sweet Little Detour</t>
  </si>
  <si>
    <t xml:space="preserve">The Soundtrack Summoner</t>
  </si>
  <si>
    <t xml:space="preserve">The Camera Loves You</t>
  </si>
  <si>
    <t xml:space="preserve">The Rhythm of Doing</t>
  </si>
  <si>
    <t xml:space="preserve">The Finishing Charm</t>
  </si>
  <si>
    <t xml:space="preserve">Tiny pearl</t>
  </si>
  <si>
    <t xml:space="preserve">The Tiny Treasure Hunt</t>
  </si>
  <si>
    <t xml:space="preserve">acorn</t>
  </si>
  <si>
    <t xml:space="preserve">tiny bead</t>
  </si>
  <si>
    <t xml:space="preserve">The Quicksilver Quip</t>
  </si>
  <si>
    <t xml:space="preserve">Cherry</t>
  </si>
  <si>
    <t xml:space="preserve">cherry</t>
  </si>
  <si>
    <t xml:space="preserve">The Cozy-Cute Conjuring</t>
  </si>
  <si>
    <t xml:space="preserve">pink glitter</t>
  </si>
  <si>
    <t xml:space="preserve">The Accidental Star</t>
  </si>
  <si>
    <t xml:space="preserve">The Little Spotlight</t>
  </si>
  <si>
    <t xml:space="preserve">The Sticker Spell</t>
  </si>
  <si>
    <t xml:space="preserve">Threads in rainbow colours</t>
  </si>
  <si>
    <t xml:space="preserve">paper scraps</t>
  </si>
  <si>
    <t xml:space="preserve">The Pocket Quest</t>
  </si>
  <si>
    <t xml:space="preserve">Twig</t>
  </si>
  <si>
    <t xml:space="preserve">twig</t>
  </si>
  <si>
    <t xml:space="preserve">The Critical-Hit Charm</t>
  </si>
  <si>
    <t xml:space="preserve">Wooden die</t>
  </si>
  <si>
    <t xml:space="preserve">a tiny wooden die</t>
  </si>
  <si>
    <t xml:space="preserve">The Casual Enchantment</t>
  </si>
  <si>
    <t xml:space="preserve">The Pajama Moon</t>
  </si>
  <si>
    <t xml:space="preserve">The Sweetness Permission</t>
  </si>
  <si>
    <t xml:space="preserve">Cocoa</t>
  </si>
  <si>
    <t xml:space="preserve">cocoa</t>
  </si>
  <si>
    <t xml:space="preserve">The Next Obsession</t>
  </si>
  <si>
    <t xml:space="preserve">The Side-Quest Spark</t>
  </si>
  <si>
    <t xml:space="preserve">Fallen twig</t>
  </si>
  <si>
    <t xml:space="preserve">The Personal Fan Club</t>
  </si>
  <si>
    <t xml:space="preserve">The Keepsake Minute</t>
  </si>
  <si>
    <t xml:space="preserve">a single rose petal</t>
  </si>
  <si>
    <t xml:space="preserve">The Glitterbomb Muse</t>
  </si>
  <si>
    <t xml:space="preserve">Category</t>
  </si>
  <si>
    <t xml:space="preserve">Candle</t>
  </si>
  <si>
    <t xml:space="preserve">When</t>
  </si>
  <si>
    <t xml:space="preserve">Love, Romance &amp; Attraction</t>
  </si>
  <si>
    <t xml:space="preserve">Pink</t>
  </si>
  <si>
    <t xml:space="preserve">The Lovers</t>
  </si>
  <si>
    <t xml:space="preserve">Pink Moon (April full moon)</t>
  </si>
  <si>
    <t xml:space="preserve">Red</t>
  </si>
  <si>
    <t xml:space="preserve">Friday · Waxing Crescent</t>
  </si>
  <si>
    <t xml:space="preserve">Monday · Full Moon</t>
  </si>
  <si>
    <t xml:space="preserve">The Devil</t>
  </si>
  <si>
    <t xml:space="preserve">Tuesday · Full Moon · Sunrise</t>
  </si>
  <si>
    <t xml:space="preserve">The Star</t>
  </si>
  <si>
    <t xml:space="preserve">Friday</t>
  </si>
  <si>
    <t xml:space="preserve">—</t>
  </si>
  <si>
    <t xml:space="preserve">The Empress</t>
  </si>
  <si>
    <t xml:space="preserve">Noon · Beltane</t>
  </si>
  <si>
    <t xml:space="preserve">Light blue</t>
  </si>
  <si>
    <t xml:space="preserve">Justice</t>
  </si>
  <si>
    <t xml:space="preserve">Full Moon</t>
  </si>
  <si>
    <t xml:space="preserve">Black</t>
  </si>
  <si>
    <t xml:space="preserve">Death</t>
  </si>
  <si>
    <t xml:space="preserve">Saturday · Waning Moon · Twilight</t>
  </si>
  <si>
    <t xml:space="preserve">Temperance</t>
  </si>
  <si>
    <t xml:space="preserve">Rain · Waning Gibbous</t>
  </si>
  <si>
    <t xml:space="preserve">Strawberry Moon (June full moon)</t>
  </si>
  <si>
    <t xml:space="preserve">Friday · Full Moon</t>
  </si>
  <si>
    <t xml:space="preserve">Beltane</t>
  </si>
  <si>
    <t xml:space="preserve">Blue</t>
  </si>
  <si>
    <t xml:space="preserve">The Hierophant</t>
  </si>
  <si>
    <t xml:space="preserve">Clear starry night · Full Moon</t>
  </si>
  <si>
    <t xml:space="preserve">Protection, Safety &amp; Boundaries</t>
  </si>
  <si>
    <t xml:space="preserve">White</t>
  </si>
  <si>
    <t xml:space="preserve">The Emperor</t>
  </si>
  <si>
    <t xml:space="preserve">Saturday · Full Moon · Nightfall</t>
  </si>
  <si>
    <t xml:space="preserve">Saturday · Full Moon</t>
  </si>
  <si>
    <t xml:space="preserve">Saturday · Dark Moon · Nightfall</t>
  </si>
  <si>
    <t xml:space="preserve">Tuesday · Sunrise</t>
  </si>
  <si>
    <t xml:space="preserve">Tuesday</t>
  </si>
  <si>
    <t xml:space="preserve">The Chariot</t>
  </si>
  <si>
    <t xml:space="preserve">Wednesday · Twilight</t>
  </si>
  <si>
    <t xml:space="preserve">Waning Moon · Rain</t>
  </si>
  <si>
    <t xml:space="preserve">The Moon</t>
  </si>
  <si>
    <t xml:space="preserve">Monday · Nightfall</t>
  </si>
  <si>
    <t xml:space="preserve">Brown</t>
  </si>
  <si>
    <t xml:space="preserve">Saturday · after Rain</t>
  </si>
  <si>
    <t xml:space="preserve">Beaver Moon (November full moon)</t>
  </si>
  <si>
    <t xml:space="preserve">Silver</t>
  </si>
  <si>
    <t xml:space="preserve">The Hermit</t>
  </si>
  <si>
    <t xml:space="preserve">Judgement</t>
  </si>
  <si>
    <t xml:space="preserve">Sunrise · New Moon</t>
  </si>
  <si>
    <t xml:space="preserve">The Magician</t>
  </si>
  <si>
    <t xml:space="preserve">Wednesday · Nightfall</t>
  </si>
  <si>
    <t xml:space="preserve">Imbolc</t>
  </si>
  <si>
    <t xml:space="preserve">Luck, Prosperity &amp; Abundance</t>
  </si>
  <si>
    <t xml:space="preserve">Green</t>
  </si>
  <si>
    <t xml:space="preserve">Wheel of Fortune</t>
  </si>
  <si>
    <t xml:space="preserve">Thursday</t>
  </si>
  <si>
    <t xml:space="preserve">Gold</t>
  </si>
  <si>
    <t xml:space="preserve">Thursday · Waxing Gibbous · Noon</t>
  </si>
  <si>
    <t xml:space="preserve">Thursday · Sunrise</t>
  </si>
  <si>
    <t xml:space="preserve">Thursday · Waxing Gibbous</t>
  </si>
  <si>
    <t xml:space="preserve">Sunday · Sunrise</t>
  </si>
  <si>
    <t xml:space="preserve">Thursday · Waxing Moon</t>
  </si>
  <si>
    <t xml:space="preserve">Rainbow (rare event) · Thursday</t>
  </si>
  <si>
    <t xml:space="preserve">Windy</t>
  </si>
  <si>
    <t xml:space="preserve">Harvest Moon (September full moon)</t>
  </si>
  <si>
    <t xml:space="preserve">Sunday · Noon · Clear &amp; sunny</t>
  </si>
  <si>
    <t xml:space="preserve">Saturday</t>
  </si>
  <si>
    <t xml:space="preserve">Purple</t>
  </si>
  <si>
    <t xml:space="preserve">The Sun</t>
  </si>
  <si>
    <t xml:space="preserve">Sunday · Full Moon</t>
  </si>
  <si>
    <t xml:space="preserve">Lughnasadh</t>
  </si>
  <si>
    <t xml:space="preserve">Confidence, Beauty &amp; Glamour</t>
  </si>
  <si>
    <t xml:space="preserve">Strength</t>
  </si>
  <si>
    <t xml:space="preserve">Buck Moon (July full moon)</t>
  </si>
  <si>
    <t xml:space="preserve">Friday · Waxing Crescent · Noon</t>
  </si>
  <si>
    <t xml:space="preserve">Any time</t>
  </si>
  <si>
    <t xml:space="preserve">Tuesday · Waxing Moon</t>
  </si>
  <si>
    <t xml:space="preserve">Blue Moon (rare)</t>
  </si>
  <si>
    <t xml:space="preserve">Monday · Snow</t>
  </si>
  <si>
    <t xml:space="preserve">Friday · Noon</t>
  </si>
  <si>
    <t xml:space="preserve">The Hanged Man</t>
  </si>
  <si>
    <t xml:space="preserve">Monday · Waning Moon · Twilight</t>
  </si>
  <si>
    <t xml:space="preserve">Sunday · Noon</t>
  </si>
  <si>
    <t xml:space="preserve">Ostara · Sunrise</t>
  </si>
  <si>
    <t xml:space="preserve">Wednesday · Noon</t>
  </si>
  <si>
    <t xml:space="preserve">The High Priestess</t>
  </si>
  <si>
    <t xml:space="preserve">Friday · Dark Moon · Nightfall</t>
  </si>
  <si>
    <t xml:space="preserve">Friendship, Community &amp; Social Life</t>
  </si>
  <si>
    <t xml:space="preserve">Ostara</t>
  </si>
  <si>
    <t xml:space="preserve">Monday · Sunrise</t>
  </si>
  <si>
    <t xml:space="preserve">Wednesday</t>
  </si>
  <si>
    <t xml:space="preserve">after Rain</t>
  </si>
  <si>
    <t xml:space="preserve">Yellow</t>
  </si>
  <si>
    <t xml:space="preserve">Yule</t>
  </si>
  <si>
    <t xml:space="preserve">The World</t>
  </si>
  <si>
    <t xml:space="preserve">Grey</t>
  </si>
  <si>
    <t xml:space="preserve">Saturday · Waning Moon</t>
  </si>
  <si>
    <t xml:space="preserve">Mabon</t>
  </si>
  <si>
    <t xml:space="preserve">Friday · Clear &amp; sunny</t>
  </si>
  <si>
    <t xml:space="preserve">Monday · New Moon</t>
  </si>
  <si>
    <t xml:space="preserve">Litha</t>
  </si>
  <si>
    <t xml:space="preserve">Career, Creativity &amp; Personal Projects</t>
  </si>
  <si>
    <t xml:space="preserve">The Fool</t>
  </si>
  <si>
    <t xml:space="preserve">Waxing Crescent</t>
  </si>
  <si>
    <t xml:space="preserve">Thunderstorm</t>
  </si>
  <si>
    <t xml:space="preserve">New Moon · Nightfall</t>
  </si>
  <si>
    <t xml:space="preserve">The Tower</t>
  </si>
  <si>
    <t xml:space="preserve">Wednesday · Noon · Clear &amp; sunny</t>
  </si>
  <si>
    <t xml:space="preserve">Imbolc · Sunrise</t>
  </si>
  <si>
    <t xml:space="preserve">New Moon · Sunrise</t>
  </si>
  <si>
    <t xml:space="preserve">Monday</t>
  </si>
  <si>
    <t xml:space="preserve">Twilight</t>
  </si>
  <si>
    <t xml:space="preserve">Peace, Healing &amp; Emotional Balance</t>
  </si>
  <si>
    <t xml:space="preserve">Snow Moon (February full moon)</t>
  </si>
  <si>
    <t xml:space="preserve">Rain · Waning Moon</t>
  </si>
  <si>
    <t xml:space="preserve">Saturday · Waning Gibbous</t>
  </si>
  <si>
    <t xml:space="preserve">Nightfall</t>
  </si>
  <si>
    <t xml:space="preserve">Samhain · Waning Moon</t>
  </si>
  <si>
    <t xml:space="preserve">Fog / Mist · Nightfall</t>
  </si>
  <si>
    <t xml:space="preserve">Sunday</t>
  </si>
  <si>
    <t xml:space="preserve">Dreams, Intuition &amp; Spirituality</t>
  </si>
  <si>
    <t xml:space="preserve">Dark Moon · Nightfall</t>
  </si>
  <si>
    <t xml:space="preserve">Clear starry night · New Moon</t>
  </si>
  <si>
    <t xml:space="preserve">Ostara · after Rain</t>
  </si>
  <si>
    <t xml:space="preserve">Samhain</t>
  </si>
  <si>
    <t xml:space="preserve">Monday · Full Moon · Nightfall</t>
  </si>
  <si>
    <t xml:space="preserve">Transformation, New Beginnings &amp; Shadow Work</t>
  </si>
  <si>
    <t xml:space="preserve">New Moon</t>
  </si>
  <si>
    <t xml:space="preserve">Moon &amp; Celestial Magic</t>
  </si>
  <si>
    <t xml:space="preserve">Waning Gibbous</t>
  </si>
  <si>
    <t xml:space="preserve">Eclipse (rare event)</t>
  </si>
  <si>
    <t xml:space="preserve">Clear starry night</t>
  </si>
  <si>
    <t xml:space="preserve">Waxing Gibbous</t>
  </si>
  <si>
    <t xml:space="preserve">Waning Crescent</t>
  </si>
  <si>
    <t xml:space="preserve">Sunrise</t>
  </si>
  <si>
    <t xml:space="preserve">The customer's birthday (special)</t>
  </si>
  <si>
    <t xml:space="preserve">Any equinox or solstice (Ostara, Litha, Mabon, Yule)</t>
  </si>
  <si>
    <t xml:space="preserve">Litha · Noon</t>
  </si>
  <si>
    <t xml:space="preserve">Hunter's Moon (October full moon)</t>
  </si>
  <si>
    <t xml:space="preserve">Full Moon · Nightfall</t>
  </si>
  <si>
    <t xml:space="preserve">Sturgeon Moon (August full moon)</t>
  </si>
  <si>
    <t xml:space="preserve">Full Moon · Clear starry night</t>
  </si>
  <si>
    <t xml:space="preserve">Made across a full week, starting on a Monday</t>
  </si>
  <si>
    <t xml:space="preserve">Yule · Sunrise</t>
  </si>
  <si>
    <t xml:space="preserve">Sunrise the morning after a Full Moon</t>
  </si>
  <si>
    <t xml:space="preserve">The day of the customer's milestone (special)</t>
  </si>
  <si>
    <t xml:space="preserve">Ostara · Twilight</t>
  </si>
  <si>
    <t xml:space="preserve">Everyday Enchantment</t>
  </si>
  <si>
    <t xml:space="preserve">Clear &amp; sunny</t>
  </si>
  <si>
    <t xml:space="preserve">Sunrise · Clear &amp; sunny</t>
  </si>
  <si>
    <t xml:space="preserve">Rain</t>
  </si>
  <si>
    <t xml:space="preserve">Wednesday · Waxing Moon</t>
  </si>
  <si>
    <t xml:space="preserve">Wednesday · Sunrise</t>
  </si>
  <si>
    <t xml:space="preserve">Cold Moon (December full moon)</t>
  </si>
  <si>
    <t xml:space="preserve">Rainbow (rare event)</t>
  </si>
  <si>
    <t xml:space="preserve">Thursday · Nightfall</t>
  </si>
  <si>
    <t xml:space="preserve">Snow</t>
  </si>
  <si>
    <t xml:space="preserve">Shadow &amp; Inner Work</t>
  </si>
  <si>
    <t xml:space="preserve">Tuesday · New Moon</t>
  </si>
  <si>
    <t xml:space="preserve">Tuesday · Waning Moon</t>
  </si>
  <si>
    <t xml:space="preserve">Waning Moon · Twilight</t>
  </si>
  <si>
    <t xml:space="preserve">Fog / Mist</t>
  </si>
  <si>
    <t xml:space="preserve">Any equinox (Ostara or Mabon)</t>
  </si>
  <si>
    <t xml:space="preserve">Wolf Moon (January full moon)</t>
  </si>
  <si>
    <t xml:space="preserve">Waning Moon</t>
  </si>
  <si>
    <t xml:space="preserve">Worm Moon (March full moon)</t>
  </si>
  <si>
    <t xml:space="preserve">Playful &amp; Niche Intentions</t>
  </si>
  <si>
    <t xml:space="preserve">Friday · Sunrise</t>
  </si>
  <si>
    <t xml:space="preserve">Flower Moon (May full moon)</t>
  </si>
  <si>
    <t xml:space="preserve">Twilight (golden hour)</t>
  </si>
  <si>
    <t xml:space="preserve">Shooting star (rare event)</t>
  </si>
  <si>
    <t xml:space="preserve">Ingredient</t>
  </si>
  <si>
    <t xml:space="preserve">Where in shop</t>
  </si>
  <si>
    <t xml:space="preserve">Used in # spells</t>
  </si>
  <si>
    <t xml:space="preserve">Image file</t>
  </si>
  <si>
    <t xml:space="preserve">Status</t>
  </si>
  <si>
    <t xml:space="preserve">Notes</t>
  </si>
  <si>
    <t xml:space="preserve">Base waters</t>
  </si>
  <si>
    <t xml:space="preserve">Left · Water bottles</t>
  </si>
  <si>
    <t xml:space="preserve">ing_moonwater.png</t>
  </si>
  <si>
    <t xml:space="preserve">ing_sunwater.png</t>
  </si>
  <si>
    <t xml:space="preserve">ing_rainwater.png</t>
  </si>
  <si>
    <t xml:space="preserve">ing_dawn_dew.png</t>
  </si>
  <si>
    <t xml:space="preserve">ing_sea_water.png</t>
  </si>
  <si>
    <t xml:space="preserve">ing_spring_water.png</t>
  </si>
  <si>
    <t xml:space="preserve">ing_rosewater.png</t>
  </si>
  <si>
    <t xml:space="preserve">ing_new_moon_water.png</t>
  </si>
  <si>
    <t xml:space="preserve">ing_web_dew.png</t>
  </si>
  <si>
    <t xml:space="preserve">ing_snow_water.png</t>
  </si>
  <si>
    <t xml:space="preserve">ing_storm_water.png</t>
  </si>
  <si>
    <t xml:space="preserve">Oils, butters &amp; waxes</t>
  </si>
  <si>
    <t xml:space="preserve">Left · Kitchen</t>
  </si>
  <si>
    <t xml:space="preserve">ing_almond_oil.png</t>
  </si>
  <si>
    <t xml:space="preserve">ing_jojoba_oil.png</t>
  </si>
  <si>
    <t xml:space="preserve">ing_olive_oil.png</t>
  </si>
  <si>
    <t xml:space="preserve">ing_sunflower_oil.png</t>
  </si>
  <si>
    <t xml:space="preserve">ing_shea_butter.png</t>
  </si>
  <si>
    <t xml:space="preserve">ing_beeswax.png</t>
  </si>
  <si>
    <t xml:space="preserve">ing_butter.png</t>
  </si>
  <si>
    <t xml:space="preserve">Herbs &amp; flowers</t>
  </si>
  <si>
    <t xml:space="preserve">Left · Herb rack</t>
  </si>
  <si>
    <t xml:space="preserve">ing_angelica_root.png</t>
  </si>
  <si>
    <t xml:space="preserve">ing_basil.png</t>
  </si>
  <si>
    <t xml:space="preserve">ing_bay_leaf.png</t>
  </si>
  <si>
    <t xml:space="preserve">ing_calendula.png</t>
  </si>
  <si>
    <t xml:space="preserve">ing_chamomile.png</t>
  </si>
  <si>
    <t xml:space="preserve">ing_clover.png</t>
  </si>
  <si>
    <t xml:space="preserve">ing_comfrey_leaf.png</t>
  </si>
  <si>
    <t xml:space="preserve">ing_cornflower.png</t>
  </si>
  <si>
    <t xml:space="preserve">ing_daisy.png</t>
  </si>
  <si>
    <t xml:space="preserve">ing_dandelion.png</t>
  </si>
  <si>
    <t xml:space="preserve">ing_dandelion_root.png</t>
  </si>
  <si>
    <t xml:space="preserve">ing_elderflower.png</t>
  </si>
  <si>
    <t xml:space="preserve">ing_eucalyptus.png</t>
  </si>
  <si>
    <t xml:space="preserve">ing_fern.png</t>
  </si>
  <si>
    <t xml:space="preserve">ing_four_leaf_clover.png</t>
  </si>
  <si>
    <t xml:space="preserve">ing_garden_sage.png</t>
  </si>
  <si>
    <t xml:space="preserve">ing_hibiscus.png</t>
  </si>
  <si>
    <t xml:space="preserve">ing_hops.png</t>
  </si>
  <si>
    <t xml:space="preserve">ing_jasmine.png</t>
  </si>
  <si>
    <t xml:space="preserve">ing_lavender.png</t>
  </si>
  <si>
    <t xml:space="preserve">ing_lemon_balm.png</t>
  </si>
  <si>
    <t xml:space="preserve">ing_lemongrass.png</t>
  </si>
  <si>
    <t xml:space="preserve">ing_licorice_root.png</t>
  </si>
  <si>
    <t xml:space="preserve">ing_lilac.png</t>
  </si>
  <si>
    <t xml:space="preserve">ing_lotus.png</t>
  </si>
  <si>
    <t xml:space="preserve">ing_mint.png</t>
  </si>
  <si>
    <t xml:space="preserve">ing_mugwort.png</t>
  </si>
  <si>
    <t xml:space="preserve">ing_nettle.png</t>
  </si>
  <si>
    <t xml:space="preserve">ing_oak_moss.png</t>
  </si>
  <si>
    <t xml:space="preserve">ing_orange_blossom.png</t>
  </si>
  <si>
    <t xml:space="preserve">ing_orris_root.png</t>
  </si>
  <si>
    <t xml:space="preserve">ing_peppermint.png</t>
  </si>
  <si>
    <t xml:space="preserve">ing_rose.png</t>
  </si>
  <si>
    <t xml:space="preserve">ing_rose_petals.png</t>
  </si>
  <si>
    <t xml:space="preserve">ing_rosebud.png</t>
  </si>
  <si>
    <t xml:space="preserve">ing_rose_thorns.png</t>
  </si>
  <si>
    <t xml:space="preserve">ing_rosemary.png</t>
  </si>
  <si>
    <t xml:space="preserve">ing_rue.png</t>
  </si>
  <si>
    <t xml:space="preserve">ing_snowdrop.png</t>
  </si>
  <si>
    <t xml:space="preserve">ing_sunflower_petals.png</t>
  </si>
  <si>
    <t xml:space="preserve">ing_sweet_pea.png</t>
  </si>
  <si>
    <t xml:space="preserve">ing_thyme.png</t>
  </si>
  <si>
    <t xml:space="preserve">ing_valerian.png</t>
  </si>
  <si>
    <t xml:space="preserve">ing_violet.png</t>
  </si>
  <si>
    <t xml:space="preserve">ing_white_lily.png</t>
  </si>
  <si>
    <t xml:space="preserve">ing_wormwood.png</t>
  </si>
  <si>
    <t xml:space="preserve">ing_wheat.png</t>
  </si>
  <si>
    <t xml:space="preserve">ing_seaweed.png</t>
  </si>
  <si>
    <t xml:space="preserve">ing_pressed_moon_petals.png</t>
  </si>
  <si>
    <t xml:space="preserve">ing_black_tea.png</t>
  </si>
  <si>
    <t xml:space="preserve">ing_cedar.png</t>
  </si>
  <si>
    <t xml:space="preserve">ing_cedar_chips.png</t>
  </si>
  <si>
    <t xml:space="preserve">ing_cypress.png</t>
  </si>
  <si>
    <t xml:space="preserve">ing_juniper.png</t>
  </si>
  <si>
    <t xml:space="preserve">ing_pine.png</t>
  </si>
  <si>
    <t xml:space="preserve">ing_willow_bark.png</t>
  </si>
  <si>
    <t xml:space="preserve">ing_autumn_leaf.png</t>
  </si>
  <si>
    <t xml:space="preserve">Fruits</t>
  </si>
  <si>
    <t xml:space="preserve">ing_apple.png</t>
  </si>
  <si>
    <t xml:space="preserve">ing_apple_peel.png</t>
  </si>
  <si>
    <t xml:space="preserve">ing_cherry.png</t>
  </si>
  <si>
    <t xml:space="preserve">ing_grapes.png</t>
  </si>
  <si>
    <t xml:space="preserve">ing_lemon.png</t>
  </si>
  <si>
    <t xml:space="preserve">ing_lemon_peel.png</t>
  </si>
  <si>
    <t xml:space="preserve">ing_lime_peel.png</t>
  </si>
  <si>
    <t xml:space="preserve">ing_orange.png</t>
  </si>
  <si>
    <t xml:space="preserve">ing_orange_peel.png</t>
  </si>
  <si>
    <t xml:space="preserve">ing_peach.png</t>
  </si>
  <si>
    <t xml:space="preserve">ing_pomegranate_seeds.png</t>
  </si>
  <si>
    <t xml:space="preserve">ing_rose_hips.png</t>
  </si>
  <si>
    <t xml:space="preserve">ing_strawberry.png</t>
  </si>
  <si>
    <t xml:space="preserve">ing_raisins.png</t>
  </si>
  <si>
    <t xml:space="preserve">ing_beetroot_powder.png</t>
  </si>
  <si>
    <t xml:space="preserve">Spices</t>
  </si>
  <si>
    <t xml:space="preserve">Left · Spice shelf</t>
  </si>
  <si>
    <t xml:space="preserve">ing_allspice.png</t>
  </si>
  <si>
    <t xml:space="preserve">ing_bergamot.png</t>
  </si>
  <si>
    <t xml:space="preserve">ing_black_pepper.png</t>
  </si>
  <si>
    <t xml:space="preserve">ing_cardamom.png</t>
  </si>
  <si>
    <t xml:space="preserve">ing_chili.png</t>
  </si>
  <si>
    <t xml:space="preserve">ing_cinnamon.png</t>
  </si>
  <si>
    <t xml:space="preserve">ing_cinnamon_stick.png</t>
  </si>
  <si>
    <t xml:space="preserve">ing_clove.png</t>
  </si>
  <si>
    <t xml:space="preserve">ing_fennel_seed.png</t>
  </si>
  <si>
    <t xml:space="preserve">ing_ginger.png</t>
  </si>
  <si>
    <t xml:space="preserve">ing_nutmeg.png</t>
  </si>
  <si>
    <t xml:space="preserve">ing_poppy_seeds.png</t>
  </si>
  <si>
    <t xml:space="preserve">ing_saffron.png</t>
  </si>
  <si>
    <t xml:space="preserve">ing_star_anise.png</t>
  </si>
  <si>
    <t xml:space="preserve">ing_vanilla.png</t>
  </si>
  <si>
    <t xml:space="preserve">Pantry: salts, sugars &amp; baking</t>
  </si>
  <si>
    <t xml:space="preserve">ing_baking_soda.png</t>
  </si>
  <si>
    <t xml:space="preserve">ing_black_salt.png</t>
  </si>
  <si>
    <t xml:space="preserve">ing_brown_sugar.png</t>
  </si>
  <si>
    <t xml:space="preserve">ing_chocolate_chips.png</t>
  </si>
  <si>
    <t xml:space="preserve">ing_cocoa.png</t>
  </si>
  <si>
    <t xml:space="preserve">ing_coconut_milk_powder.png</t>
  </si>
  <si>
    <t xml:space="preserve">ing_epsom_salt.png</t>
  </si>
  <si>
    <t xml:space="preserve">ing_flour.png</t>
  </si>
  <si>
    <t xml:space="preserve">ing_gold_sprinkles.png</t>
  </si>
  <si>
    <t xml:space="preserve">ing_honey.png</t>
  </si>
  <si>
    <t xml:space="preserve">ing_milk.png</t>
  </si>
  <si>
    <t xml:space="preserve">ing_milk_powder.png</t>
  </si>
  <si>
    <t xml:space="preserve">ing_oats.png</t>
  </si>
  <si>
    <t xml:space="preserve">ing_pink_salt.png</t>
  </si>
  <si>
    <t xml:space="preserve">ing_pink_sprinkles.png</t>
  </si>
  <si>
    <t xml:space="preserve">ing_rainbow_sprinkles.png</t>
  </si>
  <si>
    <t xml:space="preserve">ing_rice_flour.png</t>
  </si>
  <si>
    <t xml:space="preserve">ing_rose_clay.png</t>
  </si>
  <si>
    <t xml:space="preserve">ing_sea_salt.png</t>
  </si>
  <si>
    <t xml:space="preserve">ing_sugar.png</t>
  </si>
  <si>
    <t xml:space="preserve">ing_garden_soil.png</t>
  </si>
  <si>
    <t xml:space="preserve">ing_hearth_ash.png</t>
  </si>
  <si>
    <t xml:space="preserve">ing_eggshell.png</t>
  </si>
  <si>
    <t xml:space="preserve">ing_soap_base.png</t>
  </si>
  <si>
    <t xml:space="preserve">ing_soap_base_charcoal.png</t>
  </si>
  <si>
    <t xml:space="preserve">ing_gold_mica.png</t>
  </si>
  <si>
    <t xml:space="preserve">ing_silver_mica.png</t>
  </si>
  <si>
    <t xml:space="preserve">ing_silver_glitter.png</t>
  </si>
  <si>
    <t xml:space="preserve">ing_pink_glitter.png</t>
  </si>
  <si>
    <t xml:space="preserve">ing_biodegradable_glitter.png</t>
  </si>
  <si>
    <t xml:space="preserve">Resins &amp; incense</t>
  </si>
  <si>
    <t xml:space="preserve">ing_amber_resin.png</t>
  </si>
  <si>
    <t xml:space="preserve">ing_copal.png</t>
  </si>
  <si>
    <t xml:space="preserve">ing_frankincense.png</t>
  </si>
  <si>
    <t xml:space="preserve">ing_myrrh.png</t>
  </si>
  <si>
    <t xml:space="preserve">ing_patchouli.png</t>
  </si>
  <si>
    <t xml:space="preserve">ing_sandalwood.png</t>
  </si>
  <si>
    <t xml:space="preserve">Crystals</t>
  </si>
  <si>
    <t xml:space="preserve">Right · Crystal shelf</t>
  </si>
  <si>
    <t xml:space="preserve">ing_amazonite.png</t>
  </si>
  <si>
    <t xml:space="preserve">ing_amethyst.png</t>
  </si>
  <si>
    <t xml:space="preserve">ing_aquamarine.png</t>
  </si>
  <si>
    <t xml:space="preserve">ing_birthstone_customer_s.png</t>
  </si>
  <si>
    <t xml:space="preserve">ing_black_tourmaline.png</t>
  </si>
  <si>
    <t xml:space="preserve">ing_blue_lace_agate.png</t>
  </si>
  <si>
    <t xml:space="preserve">ing_carnelian.png</t>
  </si>
  <si>
    <t xml:space="preserve">ing_citrine.png</t>
  </si>
  <si>
    <t xml:space="preserve">ing_clear_quartz.png</t>
  </si>
  <si>
    <t xml:space="preserve">ing_fluorite.png</t>
  </si>
  <si>
    <t xml:space="preserve">ing_garnet.png</t>
  </si>
  <si>
    <t xml:space="preserve">ing_green_aventurine.png</t>
  </si>
  <si>
    <t xml:space="preserve">ing_hematite.png</t>
  </si>
  <si>
    <t xml:space="preserve">ing_howlite.png</t>
  </si>
  <si>
    <t xml:space="preserve">ing_jade.png</t>
  </si>
  <si>
    <t xml:space="preserve">ing_labradorite.png</t>
  </si>
  <si>
    <t xml:space="preserve">ing_lapis_lazuli.png</t>
  </si>
  <si>
    <t xml:space="preserve">ing_malachite.png</t>
  </si>
  <si>
    <t xml:space="preserve">ing_moonstone.png</t>
  </si>
  <si>
    <t xml:space="preserve">ing_moss_agate.png</t>
  </si>
  <si>
    <t xml:space="preserve">ing_obsidian.png</t>
  </si>
  <si>
    <t xml:space="preserve">ing_pearl.png</t>
  </si>
  <si>
    <t xml:space="preserve">ing_peridot.png</t>
  </si>
  <si>
    <t xml:space="preserve">ing_pyrite.png</t>
  </si>
  <si>
    <t xml:space="preserve">ing_rhodonite.png</t>
  </si>
  <si>
    <t xml:space="preserve">ing_rose_quartz.png</t>
  </si>
  <si>
    <t xml:space="preserve">ing_selenite.png</t>
  </si>
  <si>
    <t xml:space="preserve">ing_smoky_quartz.png</t>
  </si>
  <si>
    <t xml:space="preserve">ing_sunstone.png</t>
  </si>
  <si>
    <t xml:space="preserve">ing_tiger_s_eye.png</t>
  </si>
  <si>
    <t xml:space="preserve">ing_river_stone.png</t>
  </si>
  <si>
    <t xml:space="preserve">Animal gifts</t>
  </si>
  <si>
    <t xml:space="preserve">Right · Animal gifts</t>
  </si>
  <si>
    <t xml:space="preserve">ing_bee_pollen.png</t>
  </si>
  <si>
    <t xml:space="preserve">ing_dove_feather.png</t>
  </si>
  <si>
    <t xml:space="preserve">ing_hedgehog_quill.png</t>
  </si>
  <si>
    <t xml:space="preserve">ing_honeycomb.png</t>
  </si>
  <si>
    <t xml:space="preserve">ing_magpie_feather.png</t>
  </si>
  <si>
    <t xml:space="preserve">ing_moth_wing_dust.png</t>
  </si>
  <si>
    <t xml:space="preserve">ing_owl_feather.png</t>
  </si>
  <si>
    <t xml:space="preserve">ing_peacock_feather.png</t>
  </si>
  <si>
    <t xml:space="preserve">ing_raven_feather.png</t>
  </si>
  <si>
    <t xml:space="preserve">ing_seashell.png</t>
  </si>
  <si>
    <t xml:space="preserve">ing_shed_cat_whisker.png</t>
  </si>
  <si>
    <t xml:space="preserve">ing_shed_snake_skin.png</t>
  </si>
  <si>
    <t xml:space="preserve">ing_snail_shell.png</t>
  </si>
  <si>
    <t xml:space="preserve">ing_swan_down.png</t>
  </si>
  <si>
    <t xml:space="preserve">ing_white_feather.png</t>
  </si>
  <si>
    <t xml:space="preserve">ing_nest_twig.png</t>
  </si>
  <si>
    <t xml:space="preserve">Buttons</t>
  </si>
  <si>
    <t xml:space="preserve">Right · Button tin</t>
  </si>
  <si>
    <t xml:space="preserve">ing_brass_button.png</t>
  </si>
  <si>
    <t xml:space="preserve">ing_bright_buttons.png</t>
  </si>
  <si>
    <t xml:space="preserve">ing_gold_button.png</t>
  </si>
  <si>
    <t xml:space="preserve">ing_heart_shaped_button.png</t>
  </si>
  <si>
    <t xml:space="preserve">ing_mismatched_button.png</t>
  </si>
  <si>
    <t xml:space="preserve">ing_pearl_buttons.png</t>
  </si>
  <si>
    <t xml:space="preserve">ing_square_button.png</t>
  </si>
  <si>
    <t xml:space="preserve">ing_star_shaped_button.png</t>
  </si>
  <si>
    <t xml:space="preserve">ing_vintage_button.png</t>
  </si>
  <si>
    <t xml:space="preserve">Threads &amp; ribbons</t>
  </si>
  <si>
    <t xml:space="preserve">Right · Thread drawer</t>
  </si>
  <si>
    <t xml:space="preserve">ing_black_thread.png</t>
  </si>
  <si>
    <t xml:space="preserve">ing_blue_thread.png</t>
  </si>
  <si>
    <t xml:space="preserve">ing_gold_thread.png</t>
  </si>
  <si>
    <t xml:space="preserve">ing_green_thread.png</t>
  </si>
  <si>
    <t xml:space="preserve">ing_grey_thread.png</t>
  </si>
  <si>
    <t xml:space="preserve">ing_orange_thread.png</t>
  </si>
  <si>
    <t xml:space="preserve">ing_pink_thread.png</t>
  </si>
  <si>
    <t xml:space="preserve">ing_purple_thread.png</t>
  </si>
  <si>
    <t xml:space="preserve">ing_rainbow_threads.png</t>
  </si>
  <si>
    <t xml:space="preserve">ing_red_thread.png</t>
  </si>
  <si>
    <t xml:space="preserve">ing_silver_thread.png</t>
  </si>
  <si>
    <t xml:space="preserve">ing_white_thread.png</t>
  </si>
  <si>
    <t xml:space="preserve">ing_yellow_thread.png</t>
  </si>
  <si>
    <t xml:space="preserve">ing_satin_ribbon.png</t>
  </si>
  <si>
    <t xml:space="preserve">ing_velvet_ribbon_red.png</t>
  </si>
  <si>
    <t xml:space="preserve">ing_spool_of_thread.png</t>
  </si>
  <si>
    <t xml:space="preserve">ing_fabric_pouch.png</t>
  </si>
  <si>
    <t xml:space="preserve">ing_satin_pouch_black.png</t>
  </si>
  <si>
    <t xml:space="preserve">ing_muslin.png</t>
  </si>
  <si>
    <t xml:space="preserve">ing_patchwork_scraps.png</t>
  </si>
  <si>
    <t xml:space="preserve">Wood &amp; branches</t>
  </si>
  <si>
    <t xml:space="preserve">Right · Findings</t>
  </si>
  <si>
    <t xml:space="preserve">ing_ash_branch.png</t>
  </si>
  <si>
    <t xml:space="preserve">ing_ash_wood.png</t>
  </si>
  <si>
    <t xml:space="preserve">ing_birch_branch.png</t>
  </si>
  <si>
    <t xml:space="preserve">ing_birch_wood.png</t>
  </si>
  <si>
    <t xml:space="preserve">ing_blackthorn_branch.png</t>
  </si>
  <si>
    <t xml:space="preserve">ing_hazel_branch.png</t>
  </si>
  <si>
    <t xml:space="preserve">ing_oak_wood.png</t>
  </si>
  <si>
    <t xml:space="preserve">ing_rowan_branch.png</t>
  </si>
  <si>
    <t xml:space="preserve">ing_twig.png</t>
  </si>
  <si>
    <t xml:space="preserve">ing_willow_branch.png</t>
  </si>
  <si>
    <t xml:space="preserve">ing_willow_wood.png</t>
  </si>
  <si>
    <t xml:space="preserve">ing_wooden_disc.png</t>
  </si>
  <si>
    <t xml:space="preserve">ing_acorn.png</t>
  </si>
  <si>
    <t xml:space="preserve">Findings &amp; tools</t>
  </si>
  <si>
    <t xml:space="preserve">ing_clamshell_compact.png</t>
  </si>
  <si>
    <t xml:space="preserve">ing_clamshell_compact_dark_glass.png</t>
  </si>
  <si>
    <t xml:space="preserve">ing_clay.png</t>
  </si>
  <si>
    <t xml:space="preserve">ing_coin.png</t>
  </si>
  <si>
    <t xml:space="preserve">ing_copper_disc.png</t>
  </si>
  <si>
    <t xml:space="preserve">ing_glass_bead.png</t>
  </si>
  <si>
    <t xml:space="preserve">ing_glass_vial.png</t>
  </si>
  <si>
    <t xml:space="preserve">ing_iron_filings.png</t>
  </si>
  <si>
    <t xml:space="preserve">ing_iron_nail.png</t>
  </si>
  <si>
    <t xml:space="preserve">ing_iron_pin.png</t>
  </si>
  <si>
    <t xml:space="preserve">ing_locket.png</t>
  </si>
  <si>
    <t xml:space="preserve">ing_paintbrush_bristle.png</t>
  </si>
  <si>
    <t xml:space="preserve">ing_paper.png</t>
  </si>
  <si>
    <t xml:space="preserve">ing_quill.png</t>
  </si>
  <si>
    <t xml:space="preserve">ing_silver_bead.png</t>
  </si>
  <si>
    <t xml:space="preserve">ing_small_key.png</t>
  </si>
  <si>
    <t xml:space="preserve">ing_teacup_charm.png</t>
  </si>
  <si>
    <t xml:space="preserve">ing_tiny_bell.png</t>
  </si>
  <si>
    <t xml:space="preserve">ing_wax_seal.png</t>
  </si>
  <si>
    <t xml:space="preserve">ing_wooden_die.png</t>
  </si>
  <si>
    <t xml:space="preserve">Inks &amp; paints</t>
  </si>
  <si>
    <t xml:space="preserve">ing_black_ink.png</t>
  </si>
  <si>
    <t xml:space="preserve">ing_gold_ink.png</t>
  </si>
  <si>
    <t xml:space="preserve">ing_ink.png</t>
  </si>
  <si>
    <t xml:space="preserve">ing_red_ink.png</t>
  </si>
  <si>
    <t xml:space="preserve">ing_silver_ink.png</t>
  </si>
  <si>
    <t xml:space="preserve">ing_violet_ink.png</t>
  </si>
  <si>
    <t xml:space="preserve">ing_gold_paint.png</t>
  </si>
  <si>
    <t xml:space="preserve">ing_red_paint.png</t>
  </si>
  <si>
    <t xml:space="preserve">Properties</t>
  </si>
  <si>
    <t xml:space="preserve">Target</t>
  </si>
  <si>
    <t xml:space="preserve">Book line</t>
  </si>
  <si>
    <t xml:space="preserve">Same feel as # others</t>
  </si>
  <si>
    <t xml:space="preserve">Check</t>
  </si>
  <si>
    <t xml:space="preserve">Why / note</t>
  </si>
  <si>
    <t xml:space="preserve">Key (helper)</t>
  </si>
  <si>
    <t xml:space="preserve">Sorted props (helper)</t>
  </si>
  <si>
    <t xml:space="preserve">Props padded (helper)</t>
  </si>
  <si>
    <t xml:space="preserve">intuition, dreams, release, calm</t>
  </si>
  <si>
    <t xml:space="preserve">Mind</t>
  </si>
  <si>
    <t xml:space="preserve">Gentle</t>
  </si>
  <si>
    <t xml:space="preserve">Drink it by the window before bed. It loosens what the day left behind and carries you somewhere far.</t>
  </si>
  <si>
    <t xml:space="preserve">calm,dreams,intuition,release</t>
  </si>
  <si>
    <t xml:space="preserve">confidence, success, energy, joy, courage</t>
  </si>
  <si>
    <t xml:space="preserve">Strong</t>
  </si>
  <si>
    <t xml:space="preserve">Bright and bold. Pours nerve straight into the heart.</t>
  </si>
  <si>
    <t xml:space="preserve">confidence,courage,energy,joy,success</t>
  </si>
  <si>
    <t xml:space="preserve">cleansing, healing, growth</t>
  </si>
  <si>
    <t xml:space="preserve">Body</t>
  </si>
  <si>
    <t xml:space="preserve">Washes and mends gently. Good for tired bodies and new shoots.</t>
  </si>
  <si>
    <t xml:space="preserve">cleansing,growth,healing</t>
  </si>
  <si>
    <t xml:space="preserve">beauty, beginnings, wonder</t>
  </si>
  <si>
    <t xml:space="preserve">A morning touch for the skin, and for starting fresh.</t>
  </si>
  <si>
    <t xml:space="preserve">beauty,beginnings,wonder</t>
  </si>
  <si>
    <t xml:space="preserve">release, connection</t>
  </si>
  <si>
    <t xml:space="preserve">Space</t>
  </si>
  <si>
    <t xml:space="preserve">Tide and salt. Carries things far away, and it is not gentle about it.</t>
  </si>
  <si>
    <t xml:space="preserve">connection,release</t>
  </si>
  <si>
    <t xml:space="preserve">Base for Potion, Tonic, Water.</t>
  </si>
  <si>
    <t xml:space="preserve">love, beauty, self-love, confidence</t>
  </si>
  <si>
    <t xml:space="preserve">A splash on the face before the mirror, to be kinder to whoever looks back.</t>
  </si>
  <si>
    <t xml:space="preserve">beauty,confidence,love,self-love</t>
  </si>
  <si>
    <t xml:space="preserve">beginnings, intuition, growth</t>
  </si>
  <si>
    <t xml:space="preserve">For a plan you haven't told anyone about yet.</t>
  </si>
  <si>
    <t xml:space="preserve">beginnings,growth,intuition</t>
  </si>
  <si>
    <t xml:space="preserve">connection, attraction, wonder</t>
  </si>
  <si>
    <t xml:space="preserve">Strung between things. It ties one person to another.</t>
  </si>
  <si>
    <t xml:space="preserve">attraction,connection,wonder</t>
  </si>
  <si>
    <t xml:space="preserve">rest, calm, cleansing</t>
  </si>
  <si>
    <t xml:space="preserve">Hushes the body toward rest.</t>
  </si>
  <si>
    <t xml:space="preserve">calm,cleansing,rest</t>
  </si>
  <si>
    <t xml:space="preserve">energy, creativity</t>
  </si>
  <si>
    <t xml:space="preserve">Raw, crackling energy for a stuck mind.</t>
  </si>
  <si>
    <t xml:space="preserve">creativity,energy</t>
  </si>
  <si>
    <t xml:space="preserve">Base for Oil, Glamour, Balm.</t>
  </si>
  <si>
    <t xml:space="preserve">Base for Oil, Glamour.</t>
  </si>
  <si>
    <t xml:space="preserve">Base for Oil.</t>
  </si>
  <si>
    <t xml:space="preserve">Base for Balm.</t>
  </si>
  <si>
    <t xml:space="preserve">Base for Butter, Cookies.</t>
  </si>
  <si>
    <t xml:space="preserve">protection, healing, release</t>
  </si>
  <si>
    <t xml:space="preserve">Guards the doorway and drives out whatever lingers. Not for skin.</t>
  </si>
  <si>
    <t xml:space="preserve">healing,protection,release</t>
  </si>
  <si>
    <t xml:space="preserve">abundance, luck</t>
  </si>
  <si>
    <t xml:space="preserve">A pot on the windowsill invites plenty into the house.</t>
  </si>
  <si>
    <t xml:space="preserve">abundance,luck</t>
  </si>
  <si>
    <t xml:space="preserve">success, protection, luck, release</t>
  </si>
  <si>
    <t xml:space="preserve">Write on it and burn it: wins, wards and send-offs.</t>
  </si>
  <si>
    <t xml:space="preserve">luck,protection,release,success</t>
  </si>
  <si>
    <t xml:space="preserve">healing, joy, confidence</t>
  </si>
  <si>
    <t xml:space="preserve">For scraped knees and sore skin. The gentlest healer on the shelf.</t>
  </si>
  <si>
    <t xml:space="preserve">confidence,healing,joy</t>
  </si>
  <si>
    <t xml:space="preserve">calm, sleep, comfort, healing</t>
  </si>
  <si>
    <t xml:space="preserve">For the child who lies awake worrying. Mild as warm milk.</t>
  </si>
  <si>
    <t xml:space="preserve">calm,comfort,healing,sleep</t>
  </si>
  <si>
    <t xml:space="preserve">luck, friendship, joy</t>
  </si>
  <si>
    <t xml:space="preserve">Small, everyday luck, shared between friends.</t>
  </si>
  <si>
    <t xml:space="preserve">friendship,joy,luck</t>
  </si>
  <si>
    <t xml:space="preserve">travel, protection</t>
  </si>
  <si>
    <t xml:space="preserve">Tucked into a shoe for a safe road.</t>
  </si>
  <si>
    <t xml:space="preserve">OK</t>
  </si>
  <si>
    <t xml:space="preserve">Kept as a travel herb, matching its spellbook entry. The scraped-hand answer is calendula alone.</t>
  </si>
  <si>
    <t xml:space="preserve">protection,travel</t>
  </si>
  <si>
    <t xml:space="preserve">calm, intuition</t>
  </si>
  <si>
    <t xml:space="preserve">Clears the mind's eye like a blue sky after a muddle.</t>
  </si>
  <si>
    <t xml:space="preserve">calm,intuition</t>
  </si>
  <si>
    <t xml:space="preserve">joy, friendship, beginnings</t>
  </si>
  <si>
    <t xml:space="preserve">A chain of them for a new classmate on the first day of school.</t>
  </si>
  <si>
    <t xml:space="preserve">beginnings,friendship,joy</t>
  </si>
  <si>
    <t xml:space="preserve">wonder, joy, beginnings</t>
  </si>
  <si>
    <t xml:space="preserve">Blow it and make a wish. Childlike amazement.</t>
  </si>
  <si>
    <t xml:space="preserve">beginnings,joy,wonder</t>
  </si>
  <si>
    <t xml:space="preserve">release, cleansing, healing</t>
  </si>
  <si>
    <t xml:space="preserve">Digs out what you've been holding on to. Bitter, but thorough.</t>
  </si>
  <si>
    <t xml:space="preserve">Moved from Body/Gentle so calendula is the only gentle body healer among the herbs.</t>
  </si>
  <si>
    <t xml:space="preserve">cleansing,healing,release</t>
  </si>
  <si>
    <t xml:space="preserve">joy, wonder</t>
  </si>
  <si>
    <t xml:space="preserve">Light and sparkling, like cordial at a garden party.</t>
  </si>
  <si>
    <t xml:space="preserve">joy,wonder</t>
  </si>
  <si>
    <t xml:space="preserve">cleansing, healing, release</t>
  </si>
  <si>
    <t xml:space="preserve">Opens the chest and clears the breath. Sharp, for colds.</t>
  </si>
  <si>
    <t xml:space="preserve">connection, growth</t>
  </si>
  <si>
    <t xml:space="preserve">Spreads quietly underfoot and links one place to the next.</t>
  </si>
  <si>
    <t xml:space="preserve">connection,growth</t>
  </si>
  <si>
    <t xml:space="preserve">luck, opportunity, joy</t>
  </si>
  <si>
    <t xml:space="preserve">Rare and potent luck. Opens doors that were shut.</t>
  </si>
  <si>
    <t xml:space="preserve">joy,luck,opportunity</t>
  </si>
  <si>
    <t xml:space="preserve">cleansing, truth, protection</t>
  </si>
  <si>
    <t xml:space="preserve">Smoke that clears a room and leaves no space for lies.</t>
  </si>
  <si>
    <t xml:space="preserve">cleansing,protection,truth</t>
  </si>
  <si>
    <t xml:space="preserve">passion, love, beauty</t>
  </si>
  <si>
    <t xml:space="preserve">Hot-blooded. Passion you can feel in your cheeks.</t>
  </si>
  <si>
    <t xml:space="preserve">beauty,love,passion</t>
  </si>
  <si>
    <t xml:space="preserve">sleep, rest, calm</t>
  </si>
  <si>
    <t xml:space="preserve">Heavy-lidded and gentle. Brings the body down to sleep.</t>
  </si>
  <si>
    <t xml:space="preserve">calm,rest,sleep</t>
  </si>
  <si>
    <t xml:space="preserve">dreams, beauty, intuition</t>
  </si>
  <si>
    <t xml:space="preserve">Opens at night. Sweetens the hours between lying down and drifting off.</t>
  </si>
  <si>
    <t xml:space="preserve">beauty,dreams,intuition</t>
  </si>
  <si>
    <t xml:space="preserve">calm, sleep, cleansing, love, joy</t>
  </si>
  <si>
    <t xml:space="preserve">The great soother. For an evening that won't settle, a pillow, a drawer, a note to a sweetheart.</t>
  </si>
  <si>
    <t xml:space="preserve">calm,cleansing,joy,love,sleep</t>
  </si>
  <si>
    <t xml:space="preserve">calm, healing, communication</t>
  </si>
  <si>
    <t xml:space="preserve">For the nervous stammer, and the worry underneath it.</t>
  </si>
  <si>
    <t xml:space="preserve">calm,communication,healing</t>
  </si>
  <si>
    <t xml:space="preserve">focus, energy</t>
  </si>
  <si>
    <t xml:space="preserve">Sharp and waking. Snaps the body to attention.</t>
  </si>
  <si>
    <t xml:space="preserve">energy,focus</t>
  </si>
  <si>
    <t xml:space="preserve">communication, confidence, passion</t>
  </si>
  <si>
    <t xml:space="preserve">Gives your words weight and nerve.</t>
  </si>
  <si>
    <t xml:space="preserve">communication,confidence,passion</t>
  </si>
  <si>
    <t xml:space="preserve">memory, beauty, comfort</t>
  </si>
  <si>
    <t xml:space="preserve">Smells like a grandmother's garden. Brings back the good years.</t>
  </si>
  <si>
    <t xml:space="preserve">beauty,comfort,memory</t>
  </si>
  <si>
    <t xml:space="preserve">intuition, calm</t>
  </si>
  <si>
    <t xml:space="preserve">Opens deep inner sight. Heady and strong.</t>
  </si>
  <si>
    <t xml:space="preserve">energy, cleansing, calm</t>
  </si>
  <si>
    <t xml:space="preserve">Cool breath and a cool head.</t>
  </si>
  <si>
    <t xml:space="preserve">calm,cleansing,energy</t>
  </si>
  <si>
    <t xml:space="preserve">dreams, intuition, protection</t>
  </si>
  <si>
    <t xml:space="preserve">Strong dreams, open sight, watchful sleep. Not for the faint-hearted.</t>
  </si>
  <si>
    <t xml:space="preserve">dreams,intuition,protection</t>
  </si>
  <si>
    <t xml:space="preserve">healing</t>
  </si>
  <si>
    <t xml:space="preserve">Stings first, then strengthens. Restores a worn-out body.</t>
  </si>
  <si>
    <t xml:space="preserve">grounding, abundance, connection</t>
  </si>
  <si>
    <t xml:space="preserve">Earthy and rooted. Holds a household together.</t>
  </si>
  <si>
    <t xml:space="preserve">abundance,connection,grounding</t>
  </si>
  <si>
    <t xml:space="preserve">joy, beauty</t>
  </si>
  <si>
    <t xml:space="preserve">Worn by brides. Happiness that glows.</t>
  </si>
  <si>
    <t xml:space="preserve">beauty,joy</t>
  </si>
  <si>
    <t xml:space="preserve">love, attraction, communication</t>
  </si>
  <si>
    <t xml:space="preserve">Powdery and persuasive. Makes words hard to resist.</t>
  </si>
  <si>
    <t xml:space="preserve">attraction,communication,love</t>
  </si>
  <si>
    <t xml:space="preserve">focus, energy, communication</t>
  </si>
  <si>
    <t xml:space="preserve">Clears the head and loosens the tongue.</t>
  </si>
  <si>
    <t xml:space="preserve">communication,energy,focus</t>
  </si>
  <si>
    <t xml:space="preserve">beauty, healing, comfort</t>
  </si>
  <si>
    <t xml:space="preserve">For bruised hearts more than bruised skin.</t>
  </si>
  <si>
    <t xml:space="preserve">beauty,comfort,healing</t>
  </si>
  <si>
    <t xml:space="preserve">love, self-love, comfort, joy</t>
  </si>
  <si>
    <t xml:space="preserve">Scattered in a bath you run for yourself, for once.</t>
  </si>
  <si>
    <t xml:space="preserve">comfort,joy,love,self-love</t>
  </si>
  <si>
    <t xml:space="preserve">patience, growth, love</t>
  </si>
  <si>
    <t xml:space="preserve">For a romance that isn't ready yet. Wait for it.</t>
  </si>
  <si>
    <t xml:space="preserve">growth,love,patience</t>
  </si>
  <si>
    <t xml:space="preserve">boundaries, release</t>
  </si>
  <si>
    <t xml:space="preserve">A hedge around you. Keeps others at arm's length.</t>
  </si>
  <si>
    <t xml:space="preserve">boundaries,release</t>
  </si>
  <si>
    <t xml:space="preserve">protection, memory, cleansing, focus</t>
  </si>
  <si>
    <t xml:space="preserve">Sharpens the mind. Students sip it before exams so nothing slips away.</t>
  </si>
  <si>
    <t xml:space="preserve">cleansing,focus,memory,protection</t>
  </si>
  <si>
    <t xml:space="preserve">protection, banishing, boundaries</t>
  </si>
  <si>
    <t xml:space="preserve">The bitter herb. Shuts the door hard on what isn't welcome.</t>
  </si>
  <si>
    <t xml:space="preserve">banishing,boundaries,protection</t>
  </si>
  <si>
    <t xml:space="preserve">beginnings, growth</t>
  </si>
  <si>
    <t xml:space="preserve">The first flower after winter. Hope coming back.</t>
  </si>
  <si>
    <t xml:space="preserve">beginnings,growth</t>
  </si>
  <si>
    <t xml:space="preserve">joy, confidence</t>
  </si>
  <si>
    <t xml:space="preserve">For the shy child on stage. Turns their face toward the light.</t>
  </si>
  <si>
    <t xml:space="preserve">confidence,joy</t>
  </si>
  <si>
    <t xml:space="preserve">friendship</t>
  </si>
  <si>
    <t xml:space="preserve">The thank-you flower. Kind to the people you'd hate to lose.</t>
  </si>
  <si>
    <t xml:space="preserve">courage, confidence</t>
  </si>
  <si>
    <t xml:space="preserve">Courage for a fearful heart.</t>
  </si>
  <si>
    <t xml:space="preserve">confidence,courage</t>
  </si>
  <si>
    <t xml:space="preserve">Sleep that drops like a stone. Too much for little ones.</t>
  </si>
  <si>
    <t xml:space="preserve">dreams, creativity, wonder</t>
  </si>
  <si>
    <t xml:space="preserve">For the shy artist who only draws at night.</t>
  </si>
  <si>
    <t xml:space="preserve">creativity,dreams,wonder</t>
  </si>
  <si>
    <t xml:space="preserve">beauty, calm, truth</t>
  </si>
  <si>
    <t xml:space="preserve">Still and white. For an honest answer, given quietly.</t>
  </si>
  <si>
    <t xml:space="preserve">beauty,calm,truth</t>
  </si>
  <si>
    <t xml:space="preserve">transformation</t>
  </si>
  <si>
    <t xml:space="preserve">Bitter, uncanny change. Use it sparingly.</t>
  </si>
  <si>
    <t xml:space="preserve">abundance, gratitude, home</t>
  </si>
  <si>
    <t xml:space="preserve">Harvest plenty and thanks for a full table.</t>
  </si>
  <si>
    <t xml:space="preserve">abundance,gratitude,home</t>
  </si>
  <si>
    <t xml:space="preserve">healing, connection, release</t>
  </si>
  <si>
    <t xml:space="preserve">From the sea. Links shore to shore and carries sorrow off with the tide.</t>
  </si>
  <si>
    <t xml:space="preserve">Moved from Body to Space so calendula is the only gentle body healer among the herbs. Target is a guess.</t>
  </si>
  <si>
    <t xml:space="preserve">connection,healing,release</t>
  </si>
  <si>
    <t xml:space="preserve">gratitude, connection, memory</t>
  </si>
  <si>
    <t xml:space="preserve">Pressed in a book for someone who's gone. Thank them, and feel them near.</t>
  </si>
  <si>
    <t xml:space="preserve">connection,gratitude,memory</t>
  </si>
  <si>
    <t xml:space="preserve">focus, energy, comfort</t>
  </si>
  <si>
    <t xml:space="preserve">A strong brew for a tired body and a long night.</t>
  </si>
  <si>
    <t xml:space="preserve">comfort,energy,focus</t>
  </si>
  <si>
    <t xml:space="preserve">protection, cleansing, home</t>
  </si>
  <si>
    <t xml:space="preserve">Guards a house's corners. Clean, stern wood.</t>
  </si>
  <si>
    <t xml:space="preserve">cleansing,home,protection</t>
  </si>
  <si>
    <t xml:space="preserve">home</t>
  </si>
  <si>
    <t xml:space="preserve">Scattered in drawers and cupboards until the place smells like yours.</t>
  </si>
  <si>
    <t xml:space="preserve">endings, comfort, release</t>
  </si>
  <si>
    <t xml:space="preserve">The mourning tree. Planted at gravesides for the ones left behind.</t>
  </si>
  <si>
    <t xml:space="preserve">comfort,endings,release</t>
  </si>
  <si>
    <t xml:space="preserve">protection, cleansing</t>
  </si>
  <si>
    <t xml:space="preserve">Smoked through a room to purify and protect it.</t>
  </si>
  <si>
    <t xml:space="preserve">cleansing,protection</t>
  </si>
  <si>
    <t xml:space="preserve">joy, connection</t>
  </si>
  <si>
    <t xml:space="preserve">Evergreen gatherings. Joy shared under one roof.</t>
  </si>
  <si>
    <t xml:space="preserve">connection,joy</t>
  </si>
  <si>
    <t xml:space="preserve">release, intuition</t>
  </si>
  <si>
    <t xml:space="preserve">Eases aches and lets go of them slowly.</t>
  </si>
  <si>
    <t xml:space="preserve">Props are release + intuition, but folk use is pain relief. Body fits the use, not the props.</t>
  </si>
  <si>
    <t xml:space="preserve">intuition,release</t>
  </si>
  <si>
    <t xml:space="preserve">transformation, gratitude</t>
  </si>
  <si>
    <t xml:space="preserve">Let it fall. Change that comes softly, with thanks for what was.</t>
  </si>
  <si>
    <t xml:space="preserve">gratitude,transformation</t>
  </si>
  <si>
    <t xml:space="preserve">love</t>
  </si>
  <si>
    <t xml:space="preserve">Shared between two people, bite for bite. Plain, honest affection.</t>
  </si>
  <si>
    <t xml:space="preserve">love, home</t>
  </si>
  <si>
    <t xml:space="preserve">A family's sweetness, peeled in one long curl at the kitchen table.</t>
  </si>
  <si>
    <t xml:space="preserve">home,love</t>
  </si>
  <si>
    <t xml:space="preserve">play, wonder</t>
  </si>
  <si>
    <t xml:space="preserve">Tie the stalk in a knot with your tongue. Mischief and small amazements.</t>
  </si>
  <si>
    <t xml:space="preserve">play,wonder</t>
  </si>
  <si>
    <t xml:space="preserve">joy, success</t>
  </si>
  <si>
    <t xml:space="preserve">Abundant clusters. A feast for a job well done.</t>
  </si>
  <si>
    <t xml:space="preserve">joy,success</t>
  </si>
  <si>
    <t xml:space="preserve">cleansing, joy, focus</t>
  </si>
  <si>
    <t xml:space="preserve">Sour and scouring. Wakes the whole body.</t>
  </si>
  <si>
    <t xml:space="preserve">cleansing,focus,joy</t>
  </si>
  <si>
    <t xml:space="preserve">cleansing, focus, joy</t>
  </si>
  <si>
    <t xml:space="preserve">Zest that scrubs a room bright.</t>
  </si>
  <si>
    <t xml:space="preserve">cleansing, banishing, release</t>
  </si>
  <si>
    <t xml:space="preserve">Cuts ties sharply. Sour zest that sends things packing.</t>
  </si>
  <si>
    <t xml:space="preserve">banishing,cleansing,release</t>
  </si>
  <si>
    <t xml:space="preserve">joy, abundance</t>
  </si>
  <si>
    <t xml:space="preserve">A whole orange in the toe of a stocking. Cheer, and the feeling there's enough.</t>
  </si>
  <si>
    <t xml:space="preserve">abundance,joy</t>
  </si>
  <si>
    <t xml:space="preserve">joy, abundance, energy, comfort</t>
  </si>
  <si>
    <t xml:space="preserve">Warm zest for a cosy, well-stocked home.</t>
  </si>
  <si>
    <t xml:space="preserve">abundance,comfort,energy,joy</t>
  </si>
  <si>
    <t xml:space="preserve">beauty</t>
  </si>
  <si>
    <t xml:space="preserve">Soft skin and a sweet blush.</t>
  </si>
  <si>
    <t xml:space="preserve">abundance, transformation</t>
  </si>
  <si>
    <t xml:space="preserve">The underworld fruit. Many seeds, deep change.</t>
  </si>
  <si>
    <t xml:space="preserve">abundance,transformation</t>
  </si>
  <si>
    <t xml:space="preserve">healing, love, comfort</t>
  </si>
  <si>
    <t xml:space="preserve">Winter fruit for colds, and for being looked after.</t>
  </si>
  <si>
    <t xml:space="preserve">comfort,healing,love</t>
  </si>
  <si>
    <t xml:space="preserve">love, play, joy</t>
  </si>
  <si>
    <t xml:space="preserve">For a first date, or a flirt across the market stall.</t>
  </si>
  <si>
    <t xml:space="preserve">joy,love,play</t>
  </si>
  <si>
    <t xml:space="preserve">joy</t>
  </si>
  <si>
    <t xml:space="preserve">In a child's lunch tin. Small, chewy happiness.</t>
  </si>
  <si>
    <t xml:space="preserve">passion</t>
  </si>
  <si>
    <t xml:space="preserve">Colours lips and cheeks. A hot, flushed blush.</t>
  </si>
  <si>
    <t xml:space="preserve">luck, abundance, energy</t>
  </si>
  <si>
    <t xml:space="preserve">Draws money and luck, fast.</t>
  </si>
  <si>
    <t xml:space="preserve">abundance,energy,luck</t>
  </si>
  <si>
    <t xml:space="preserve">calm</t>
  </si>
  <si>
    <t xml:space="preserve">For frayed nerves at tea-time.</t>
  </si>
  <si>
    <t xml:space="preserve">courage</t>
  </si>
  <si>
    <t xml:space="preserve">Heat in the belly. Nerve you can feel.</t>
  </si>
  <si>
    <t xml:space="preserve">love, passion, joy</t>
  </si>
  <si>
    <t xml:space="preserve">In the pastries you bake for someone special.</t>
  </si>
  <si>
    <t xml:space="preserve">Could be Strong (passion). Gentle chosen to separate it from Chili and Garnet.</t>
  </si>
  <si>
    <t xml:space="preserve">joy,love,passion</t>
  </si>
  <si>
    <t xml:space="preserve">passion, energy, courage</t>
  </si>
  <si>
    <t xml:space="preserve">Fire in the blood.</t>
  </si>
  <si>
    <t xml:space="preserve">courage,energy,passion</t>
  </si>
  <si>
    <t xml:space="preserve">success, passion, abundance, energy, comfort</t>
  </si>
  <si>
    <t xml:space="preserve">Quick success and warm plenty.</t>
  </si>
  <si>
    <t xml:space="preserve">abundance,comfort,energy,passion,success</t>
  </si>
  <si>
    <t xml:space="preserve">Simmered on the stove so a house smells like welcome.</t>
  </si>
  <si>
    <t xml:space="preserve">protection, abundance, home</t>
  </si>
  <si>
    <t xml:space="preserve">Pinned into a doorframe, it keeps a house safe and stocked.</t>
  </si>
  <si>
    <t xml:space="preserve">abundance,home,protection</t>
  </si>
  <si>
    <t xml:space="preserve">gratitude</t>
  </si>
  <si>
    <t xml:space="preserve">Chewed after a good meal, to thank the cook.</t>
  </si>
  <si>
    <t xml:space="preserve">energy, courage, success</t>
  </si>
  <si>
    <t xml:space="preserve">Heats and quickens the body.</t>
  </si>
  <si>
    <t xml:space="preserve">courage,energy,success</t>
  </si>
  <si>
    <t xml:space="preserve">luck, comfort</t>
  </si>
  <si>
    <t xml:space="preserve">Slow fortune, a grated pinch at a time, warm as a pudding.</t>
  </si>
  <si>
    <t xml:space="preserve">comfort,luck</t>
  </si>
  <si>
    <t xml:space="preserve">luck, dreams</t>
  </si>
  <si>
    <t xml:space="preserve">For drowsy nights that end in good news.</t>
  </si>
  <si>
    <t xml:space="preserve">dreams,luck</t>
  </si>
  <si>
    <t xml:space="preserve">success, joy, creativity</t>
  </si>
  <si>
    <t xml:space="preserve">Precious golden threads. For the masterpiece, and the delight of finishing it.</t>
  </si>
  <si>
    <t xml:space="preserve">creativity,joy,success</t>
  </si>
  <si>
    <t xml:space="preserve">wonder, intuition, luck</t>
  </si>
  <si>
    <t xml:space="preserve">Strange, starry sight.</t>
  </si>
  <si>
    <t xml:space="preserve">intuition,luck,wonder</t>
  </si>
  <si>
    <t xml:space="preserve">love, comfort, joy</t>
  </si>
  <si>
    <t xml:space="preserve">Slow sweetness that lingers long after.</t>
  </si>
  <si>
    <t xml:space="preserve">comfort,joy,love</t>
  </si>
  <si>
    <t xml:space="preserve">cleansing, home</t>
  </si>
  <si>
    <t xml:space="preserve">Freshens a kitchen, quietly.</t>
  </si>
  <si>
    <t xml:space="preserve">cleansing,home</t>
  </si>
  <si>
    <t xml:space="preserve">protection, boundaries</t>
  </si>
  <si>
    <t xml:space="preserve">A black line at the threshold. Nothing crosses it.</t>
  </si>
  <si>
    <t xml:space="preserve">boundaries,protection</t>
  </si>
  <si>
    <t xml:space="preserve">abundance, comfort, home</t>
  </si>
  <si>
    <t xml:space="preserve">Sweet plenty for the whole household.</t>
  </si>
  <si>
    <t xml:space="preserve">abundance,comfort,home</t>
  </si>
  <si>
    <t xml:space="preserve">joy, play</t>
  </si>
  <si>
    <t xml:space="preserve">Stirred into cookies on a rainy afternoon with nothing to do.</t>
  </si>
  <si>
    <t xml:space="preserve">joy,play</t>
  </si>
  <si>
    <t xml:space="preserve">comfort, joy</t>
  </si>
  <si>
    <t xml:space="preserve">A warm mug after coming in from the cold.</t>
  </si>
  <si>
    <t xml:space="preserve">comfort,joy</t>
  </si>
  <si>
    <t xml:space="preserve">self-love, comfort, beauty</t>
  </si>
  <si>
    <t xml:space="preserve">Softens and soothes the skin.</t>
  </si>
  <si>
    <t xml:space="preserve">beauty,comfort,self-love</t>
  </si>
  <si>
    <t xml:space="preserve">cleansing</t>
  </si>
  <si>
    <t xml:space="preserve">Draws the ache out of tired muscles.</t>
  </si>
  <si>
    <t xml:space="preserve">Base for Cookies.</t>
  </si>
  <si>
    <t xml:space="preserve">success, joy</t>
  </si>
  <si>
    <t xml:space="preserve">On a cake for passing a test. A small win, sprinkled on top.</t>
  </si>
  <si>
    <t xml:space="preserve">love, comfort, joy, friendship, communication</t>
  </si>
  <si>
    <t xml:space="preserve">A spoonful sweetens anything: a word, a tea, a grudge.</t>
  </si>
  <si>
    <t xml:space="preserve">comfort,communication,friendship,joy,love</t>
  </si>
  <si>
    <t xml:space="preserve">rest, home</t>
  </si>
  <si>
    <t xml:space="preserve">A warm cup before bed.</t>
  </si>
  <si>
    <t xml:space="preserve">home,rest</t>
  </si>
  <si>
    <t xml:space="preserve">comfort, rest, self-love</t>
  </si>
  <si>
    <t xml:space="preserve">Nursery comfort for grown-ups who need tucking in.</t>
  </si>
  <si>
    <t xml:space="preserve">comfort,rest,self-love</t>
  </si>
  <si>
    <t xml:space="preserve">self-love, love</t>
  </si>
  <si>
    <t xml:space="preserve">A pink bath. Tenderness the body can feel.</t>
  </si>
  <si>
    <t xml:space="preserve">love,self-love</t>
  </si>
  <si>
    <t xml:space="preserve">love, play</t>
  </si>
  <si>
    <t xml:space="preserve">On a cupcake for a crush.</t>
  </si>
  <si>
    <t xml:space="preserve">love,play</t>
  </si>
  <si>
    <t xml:space="preserve">luck, joy</t>
  </si>
  <si>
    <t xml:space="preserve">Birthday-cake luck for whoever blows out the candles.</t>
  </si>
  <si>
    <t xml:space="preserve">joy,luck</t>
  </si>
  <si>
    <t xml:space="preserve">Base for Powder.</t>
  </si>
  <si>
    <t xml:space="preserve">beauty, self-love, comfort</t>
  </si>
  <si>
    <t xml:space="preserve">Draws out and smooths the skin. A beauty mask.</t>
  </si>
  <si>
    <t xml:space="preserve">protection, cleansing, grounding, home</t>
  </si>
  <si>
    <t xml:space="preserve">Cleanses and protects any space.</t>
  </si>
  <si>
    <t xml:space="preserve">cleansing,grounding,home,protection</t>
  </si>
  <si>
    <t xml:space="preserve">love, joy, comfort</t>
  </si>
  <si>
    <t xml:space="preserve">Quick sweetness. Sweetens anyone, fast, and fades fast.</t>
  </si>
  <si>
    <t xml:space="preserve">Strong here means quick and intense. Check this reading of "Strong" works for sweets.</t>
  </si>
  <si>
    <t xml:space="preserve">grounding, growth</t>
  </si>
  <si>
    <t xml:space="preserve">Bare feet on earth. Roots, and green things coming up.</t>
  </si>
  <si>
    <t xml:space="preserve">grounding,growth</t>
  </si>
  <si>
    <t xml:space="preserve">protection, home, endings</t>
  </si>
  <si>
    <t xml:space="preserve">From the household fire. Guards, and closes what is finished.</t>
  </si>
  <si>
    <t xml:space="preserve">endings,home,protection</t>
  </si>
  <si>
    <t xml:space="preserve">protection, beginnings</t>
  </si>
  <si>
    <t xml:space="preserve">Crushed shell for gentle protection of new things.</t>
  </si>
  <si>
    <t xml:space="preserve">beginnings,protection</t>
  </si>
  <si>
    <t xml:space="preserve">Base for Soap.</t>
  </si>
  <si>
    <t xml:space="preserve">success, confidence, joy</t>
  </si>
  <si>
    <t xml:space="preserve">Shimmer on the skin that makes people look twice.</t>
  </si>
  <si>
    <t xml:space="preserve">confidence,joy,success</t>
  </si>
  <si>
    <t xml:space="preserve">intuition, wonder, dreams</t>
  </si>
  <si>
    <t xml:space="preserve">Brushed on the eyelids of people who see things in their sleep.</t>
  </si>
  <si>
    <t xml:space="preserve">dreams,intuition,wonder</t>
  </si>
  <si>
    <t xml:space="preserve">wonder, dreams, play</t>
  </si>
  <si>
    <t xml:space="preserve">Shaken over a child's bedroom on a starless night.</t>
  </si>
  <si>
    <t xml:space="preserve">dreams,play,wonder</t>
  </si>
  <si>
    <t xml:space="preserve">play, self-love</t>
  </si>
  <si>
    <t xml:space="preserve">Sparkle for anyone who's been told to tone it down.</t>
  </si>
  <si>
    <t xml:space="preserve">play,self-love</t>
  </si>
  <si>
    <t xml:space="preserve">play, creativity</t>
  </si>
  <si>
    <t xml:space="preserve">Gets everywhere, like a good idea.</t>
  </si>
  <si>
    <t xml:space="preserve">creativity,play</t>
  </si>
  <si>
    <t xml:space="preserve">comfort, calm, joy</t>
  </si>
  <si>
    <t xml:space="preserve">Golden and warm, like sitting by the fire with an old dog.</t>
  </si>
  <si>
    <t xml:space="preserve">calm,comfort,joy</t>
  </si>
  <si>
    <t xml:space="preserve">calm, connection</t>
  </si>
  <si>
    <t xml:space="preserve">Sweet smoke that gathers people together.</t>
  </si>
  <si>
    <t xml:space="preserve">calm,connection</t>
  </si>
  <si>
    <t xml:space="preserve">cleansing, protection, intuition, creativity</t>
  </si>
  <si>
    <t xml:space="preserve">Holy smoke. Purifies and protects a room.</t>
  </si>
  <si>
    <t xml:space="preserve">cleansing,creativity,intuition,protection</t>
  </si>
  <si>
    <t xml:space="preserve">release, protection, healing, intuition</t>
  </si>
  <si>
    <t xml:space="preserve">Bitter resin for deep mending and letting go.</t>
  </si>
  <si>
    <t xml:space="preserve">healing,intuition,protection,release</t>
  </si>
  <si>
    <t xml:space="preserve">grounding, attraction</t>
  </si>
  <si>
    <t xml:space="preserve">Earthy, heady musk. People drift closer and don't know why.</t>
  </si>
  <si>
    <t xml:space="preserve">attraction,grounding</t>
  </si>
  <si>
    <t xml:space="preserve">calm, intuition, rest</t>
  </si>
  <si>
    <t xml:space="preserve">Burned before meditation, for sitting still.</t>
  </si>
  <si>
    <t xml:space="preserve">calm,intuition,rest</t>
  </si>
  <si>
    <t xml:space="preserve">communication, friendship, calm</t>
  </si>
  <si>
    <t xml:space="preserve">For making up with a friend over tea.</t>
  </si>
  <si>
    <t xml:space="preserve">calm,communication,friendship</t>
  </si>
  <si>
    <t xml:space="preserve">intuition, dreams, calm</t>
  </si>
  <si>
    <t xml:space="preserve">Under the pillow of a restless sleeper who sees riddles in the night.</t>
  </si>
  <si>
    <t xml:space="preserve">calm,dreams,intuition</t>
  </si>
  <si>
    <t xml:space="preserve">calm, communication, release</t>
  </si>
  <si>
    <t xml:space="preserve">For saying the thing you've swallowed for years, then letting it go out with the tide.</t>
  </si>
  <si>
    <t xml:space="preserve">calm,communication,release</t>
  </si>
  <si>
    <t xml:space="preserve">Works as a base for any spell type.</t>
  </si>
  <si>
    <t xml:space="preserve">protection, banishing</t>
  </si>
  <si>
    <t xml:space="preserve">A shield stone. Absorbs and repels.</t>
  </si>
  <si>
    <t xml:space="preserve">banishing,protection</t>
  </si>
  <si>
    <t xml:space="preserve">calm, communication, comfort</t>
  </si>
  <si>
    <t xml:space="preserve">For the quiet one who needs to be heard, softly.</t>
  </si>
  <si>
    <t xml:space="preserve">calm,comfort,communication</t>
  </si>
  <si>
    <t xml:space="preserve">courage, creativity, energy</t>
  </si>
  <si>
    <t xml:space="preserve">Fire for action and courage.</t>
  </si>
  <si>
    <t xml:space="preserve">courage,creativity,energy</t>
  </si>
  <si>
    <t xml:space="preserve">abundance, joy, success, luck</t>
  </si>
  <si>
    <t xml:space="preserve">The merchant's stone. Draws money to the till.</t>
  </si>
  <si>
    <t xml:space="preserve">abundance,joy,luck,success</t>
  </si>
  <si>
    <t xml:space="preserve">focus, truth, energy, protection</t>
  </si>
  <si>
    <t xml:space="preserve">The amplifier. Sharpens and strengthens.</t>
  </si>
  <si>
    <t xml:space="preserve">energy,focus,protection,truth</t>
  </si>
  <si>
    <t xml:space="preserve">focus, creativity</t>
  </si>
  <si>
    <t xml:space="preserve">For a child's messy homework. Puts thoughts in neat rows.</t>
  </si>
  <si>
    <t xml:space="preserve">creativity,focus</t>
  </si>
  <si>
    <t xml:space="preserve">passion, courage, love</t>
  </si>
  <si>
    <t xml:space="preserve">Passion in the blood.</t>
  </si>
  <si>
    <t xml:space="preserve">courage,love,passion</t>
  </si>
  <si>
    <t xml:space="preserve">luck, opportunity, abundance</t>
  </si>
  <si>
    <t xml:space="preserve">Gentle luck and new chances.</t>
  </si>
  <si>
    <t xml:space="preserve">abundance,luck,opportunity</t>
  </si>
  <si>
    <t xml:space="preserve">grounding, protection, focus</t>
  </si>
  <si>
    <t xml:space="preserve">Heavy grounding for the body.</t>
  </si>
  <si>
    <t xml:space="preserve">focus,grounding,protection</t>
  </si>
  <si>
    <t xml:space="preserve">calm, patience</t>
  </si>
  <si>
    <t xml:space="preserve">For the long wait by the telephone.</t>
  </si>
  <si>
    <t xml:space="preserve">calm,patience</t>
  </si>
  <si>
    <t xml:space="preserve">abundance, harmony, friendship</t>
  </si>
  <si>
    <t xml:space="preserve">Keeps a household and its friends getting along.</t>
  </si>
  <si>
    <t xml:space="preserve">abundance,friendship,harmony</t>
  </si>
  <si>
    <t xml:space="preserve">transformation, intuition, creativity</t>
  </si>
  <si>
    <t xml:space="preserve">Shifting light of transformation.</t>
  </si>
  <si>
    <t xml:space="preserve">creativity,intuition,transformation</t>
  </si>
  <si>
    <t xml:space="preserve">truth, communication</t>
  </si>
  <si>
    <t xml:space="preserve">The stone of truth-telling.</t>
  </si>
  <si>
    <t xml:space="preserve">communication,truth</t>
  </si>
  <si>
    <t xml:space="preserve">transformation, protection, travel</t>
  </si>
  <si>
    <t xml:space="preserve">Guards those on long roads through great change.</t>
  </si>
  <si>
    <t xml:space="preserve">protection,transformation,travel</t>
  </si>
  <si>
    <t xml:space="preserve">intuition, dreams, beginnings, self-love</t>
  </si>
  <si>
    <t xml:space="preserve">For a new chapter, and for trusting yourself in it.</t>
  </si>
  <si>
    <t xml:space="preserve">beginnings,dreams,intuition,self-love</t>
  </si>
  <si>
    <t xml:space="preserve">growth, connection</t>
  </si>
  <si>
    <t xml:space="preserve">For a slow friendship or a garden just planted. It takes its time.</t>
  </si>
  <si>
    <t xml:space="preserve">protection, release, truth</t>
  </si>
  <si>
    <t xml:space="preserve">Black glass that shows things as they are.</t>
  </si>
  <si>
    <t xml:space="preserve">protection,release,truth</t>
  </si>
  <si>
    <t xml:space="preserve">beauty, self-love, calm</t>
  </si>
  <si>
    <t xml:space="preserve">Lustrous and still. Beauty that doesn't need to try.</t>
  </si>
  <si>
    <t xml:space="preserve">beauty,calm,self-love</t>
  </si>
  <si>
    <t xml:space="preserve">growth, joy</t>
  </si>
  <si>
    <t xml:space="preserve">For the first good week after a hard winter.</t>
  </si>
  <si>
    <t xml:space="preserve">growth,joy</t>
  </si>
  <si>
    <t xml:space="preserve">abundance, success, confidence</t>
  </si>
  <si>
    <t xml:space="preserve">Fool's gold. Plenty, and the nerve to ask for more.</t>
  </si>
  <si>
    <t xml:space="preserve">abundance,confidence,success</t>
  </si>
  <si>
    <t xml:space="preserve">healing, self-love, release</t>
  </si>
  <si>
    <t xml:space="preserve">Heals emotional wounds.</t>
  </si>
  <si>
    <t xml:space="preserve">healing,release,self-love</t>
  </si>
  <si>
    <t xml:space="preserve">self-love, love, comfort</t>
  </si>
  <si>
    <t xml:space="preserve">Hold it after a cruel word, whether someone else said it or you did.</t>
  </si>
  <si>
    <t xml:space="preserve">comfort,love,self-love</t>
  </si>
  <si>
    <t xml:space="preserve">cleansing, calm, intuition</t>
  </si>
  <si>
    <t xml:space="preserve">Clears the energy of a room, softly.</t>
  </si>
  <si>
    <t xml:space="preserve">calm,cleansing,intuition</t>
  </si>
  <si>
    <t xml:space="preserve">grounding, release, protection</t>
  </si>
  <si>
    <t xml:space="preserve">Grounds and protects. Takes heavy things away.</t>
  </si>
  <si>
    <t xml:space="preserve">grounding,protection,release</t>
  </si>
  <si>
    <t xml:space="preserve">joy, confidence, success</t>
  </si>
  <si>
    <t xml:space="preserve">An inner sun. Bold self-belief.</t>
  </si>
  <si>
    <t xml:space="preserve">courage, confidence, success</t>
  </si>
  <si>
    <t xml:space="preserve">A striped stone for walking into the room first.</t>
  </si>
  <si>
    <t xml:space="preserve">confidence,courage,success</t>
  </si>
  <si>
    <t xml:space="preserve">grounding, patience, calm</t>
  </si>
  <si>
    <t xml:space="preserve">Pocketed by people who rush. It slows the step.</t>
  </si>
  <si>
    <t xml:space="preserve">calm,grounding,patience</t>
  </si>
  <si>
    <t xml:space="preserve">friendship, joy</t>
  </si>
  <si>
    <t xml:space="preserve">The shared sweetness of the hive.</t>
  </si>
  <si>
    <t xml:space="preserve">friendship,joy</t>
  </si>
  <si>
    <t xml:space="preserve">love, calm, friendship</t>
  </si>
  <si>
    <t xml:space="preserve">Tucked into a letter to make peace after a quarrel.</t>
  </si>
  <si>
    <t xml:space="preserve">calm,friendship,love</t>
  </si>
  <si>
    <t xml:space="preserve">boundaries, protection</t>
  </si>
  <si>
    <t xml:space="preserve">Prickly. Boundaries for someone too soft-hearted.</t>
  </si>
  <si>
    <t xml:space="preserve">abundance, home, friendship</t>
  </si>
  <si>
    <t xml:space="preserve">Hive plenty for a busy, crowded kitchen.</t>
  </si>
  <si>
    <t xml:space="preserve">abundance,friendship,home</t>
  </si>
  <si>
    <t xml:space="preserve">luck, opportunity, play</t>
  </si>
  <si>
    <t xml:space="preserve">Snatches luck and chances.</t>
  </si>
  <si>
    <t xml:space="preserve">luck,opportunity,play</t>
  </si>
  <si>
    <t xml:space="preserve">dreams, transformation, intuition</t>
  </si>
  <si>
    <t xml:space="preserve">Drawn to the moon. Uncanny dreams and change.</t>
  </si>
  <si>
    <t xml:space="preserve">dreams,intuition,transformation</t>
  </si>
  <si>
    <t xml:space="preserve">intuition, dreams</t>
  </si>
  <si>
    <t xml:space="preserve">Wise night sight.</t>
  </si>
  <si>
    <t xml:space="preserve">dreams,intuition</t>
  </si>
  <si>
    <t xml:space="preserve">beauty, confidence, protection</t>
  </si>
  <si>
    <t xml:space="preserve">A dazzling display. Its eyes watch over you.</t>
  </si>
  <si>
    <t xml:space="preserve">beauty,confidence,protection</t>
  </si>
  <si>
    <t xml:space="preserve">intuition, transformation, protection</t>
  </si>
  <si>
    <t xml:space="preserve">Messenger of change and secrets.</t>
  </si>
  <si>
    <t xml:space="preserve">intuition,protection,transformation</t>
  </si>
  <si>
    <t xml:space="preserve">calm, beauty, communication</t>
  </si>
  <si>
    <t xml:space="preserve">Hold it to your ear before a hard conversation, and let the sea speak first.</t>
  </si>
  <si>
    <t xml:space="preserve">beauty,calm,communication</t>
  </si>
  <si>
    <t xml:space="preserve">protection, intuition</t>
  </si>
  <si>
    <t xml:space="preserve">Senses what's near and protects quietly.</t>
  </si>
  <si>
    <t xml:space="preserve">intuition,protection</t>
  </si>
  <si>
    <t xml:space="preserve">transformation, release</t>
  </si>
  <si>
    <t xml:space="preserve">Molting and renewal.</t>
  </si>
  <si>
    <t xml:space="preserve">release,transformation</t>
  </si>
  <si>
    <t xml:space="preserve">patience, protection, travel</t>
  </si>
  <si>
    <t xml:space="preserve">Slow, safe journeys.</t>
  </si>
  <si>
    <t xml:space="preserve">patience,protection,travel</t>
  </si>
  <si>
    <t xml:space="preserve">beauty, love</t>
  </si>
  <si>
    <t xml:space="preserve">Soft grace, and two necks bent into a heart.</t>
  </si>
  <si>
    <t xml:space="preserve">beauty,love</t>
  </si>
  <si>
    <t xml:space="preserve">wonder, calm</t>
  </si>
  <si>
    <t xml:space="preserve">Found on the path after a bad day, as if someone left it there for you.</t>
  </si>
  <si>
    <t xml:space="preserve">calm,wonder</t>
  </si>
  <si>
    <t xml:space="preserve">home, abundance, comfort</t>
  </si>
  <si>
    <t xml:space="preserve">For the first night in a new room, when nowhere feels like yours yet.</t>
  </si>
  <si>
    <t xml:space="preserve">focus, success, protection</t>
  </si>
  <si>
    <t xml:space="preserve">Polished duty. A uniform's button that stands guard.</t>
  </si>
  <si>
    <t xml:space="preserve">focus,protection,success</t>
  </si>
  <si>
    <t xml:space="preserve">play, joy, creativity</t>
  </si>
  <si>
    <t xml:space="preserve">Off a child's coat. Sewn on, they make grown-ups silly again.</t>
  </si>
  <si>
    <t xml:space="preserve">creativity,joy,play</t>
  </si>
  <si>
    <t xml:space="preserve">success, abundance, opportunity</t>
  </si>
  <si>
    <t xml:space="preserve">A small fortune.</t>
  </si>
  <si>
    <t xml:space="preserve">abundance,opportunity,success</t>
  </si>
  <si>
    <t xml:space="preserve">love, self-love</t>
  </si>
  <si>
    <t xml:space="preserve">Sewn inside a sleeve, over the pulse, where only the wearer knows.</t>
  </si>
  <si>
    <t xml:space="preserve">creativity, self-love</t>
  </si>
  <si>
    <t xml:space="preserve">For the one who never quite matches, and is better for it.</t>
  </si>
  <si>
    <t xml:space="preserve">creativity,self-love</t>
  </si>
  <si>
    <t xml:space="preserve">Off an old friend's cardigan. Keeps two people fond across the years.</t>
  </si>
  <si>
    <t xml:space="preserve">play, luck</t>
  </si>
  <si>
    <t xml:space="preserve">Lost from a board game and found again. Good for games of chance.</t>
  </si>
  <si>
    <t xml:space="preserve">luck,play</t>
  </si>
  <si>
    <t xml:space="preserve">wonder, luck, joy</t>
  </si>
  <si>
    <t xml:space="preserve">Every child's first wish was made on one of these.</t>
  </si>
  <si>
    <t xml:space="preserve">joy,luck,wonder</t>
  </si>
  <si>
    <t xml:space="preserve">beauty, creativity</t>
  </si>
  <si>
    <t xml:space="preserve">From a grandmother's tin. Makes an old dress feel new.</t>
  </si>
  <si>
    <t xml:space="preserve">beauty,creativity</t>
  </si>
  <si>
    <t xml:space="preserve">banishing, protection, endings</t>
  </si>
  <si>
    <t xml:space="preserve">Wound tight round what must not come back.</t>
  </si>
  <si>
    <t xml:space="preserve">Same meaning as Black ink. The spell type decides which medium.</t>
  </si>
  <si>
    <t xml:space="preserve">banishing,endings,protection</t>
  </si>
  <si>
    <t xml:space="preserve">truth, memory, calm</t>
  </si>
  <si>
    <t xml:space="preserve">Stitched into a diary's spine so it stays honest.</t>
  </si>
  <si>
    <t xml:space="preserve">calm,memory,truth</t>
  </si>
  <si>
    <t xml:space="preserve">success, abundance, confidence, luck</t>
  </si>
  <si>
    <t xml:space="preserve">Success, stitched in.</t>
  </si>
  <si>
    <t xml:space="preserve">Same meaning as Gold ink, Gold paint. The spell type decides which medium.</t>
  </si>
  <si>
    <t xml:space="preserve">abundance,confidence,luck,success</t>
  </si>
  <si>
    <t xml:space="preserve">luck, abundance, growth</t>
  </si>
  <si>
    <t xml:space="preserve">Tied round a seed packet or a purse. Things come up.</t>
  </si>
  <si>
    <t xml:space="preserve">abundance,growth,luck</t>
  </si>
  <si>
    <t xml:space="preserve">balance, release, endings</t>
  </si>
  <si>
    <t xml:space="preserve">For closing a chapter without slamming the book.</t>
  </si>
  <si>
    <t xml:space="preserve">balance,endings,release</t>
  </si>
  <si>
    <t xml:space="preserve">creativity, energy, joy</t>
  </si>
  <si>
    <t xml:space="preserve">A bright creative spark, stitched in.</t>
  </si>
  <si>
    <t xml:space="preserve">creativity,energy,joy</t>
  </si>
  <si>
    <t xml:space="preserve">self-love, love, friendship</t>
  </si>
  <si>
    <t xml:space="preserve">For bracelets swapped between friends, and kind notes to yourself.</t>
  </si>
  <si>
    <t xml:space="preserve">friendship,love,self-love</t>
  </si>
  <si>
    <t xml:space="preserve">intuition, transformation, wonder</t>
  </si>
  <si>
    <t xml:space="preserve">Braided into a witch's ladder for a life about to change.</t>
  </si>
  <si>
    <t xml:space="preserve">Same meaning as Violet ink. The spell type decides which medium.</t>
  </si>
  <si>
    <t xml:space="preserve">intuition,transformation,wonder</t>
  </si>
  <si>
    <t xml:space="preserve">play, creativity, friendship</t>
  </si>
  <si>
    <t xml:space="preserve">Bracelet threads swapped at summer camp.</t>
  </si>
  <si>
    <t xml:space="preserve">creativity,friendship,play</t>
  </si>
  <si>
    <t xml:space="preserve">passion, courage, energy, love</t>
  </si>
  <si>
    <t xml:space="preserve">Tied round the wrist before a dare.</t>
  </si>
  <si>
    <t xml:space="preserve">Same meaning as Red ink, Red paint. The spell type decides which medium.</t>
  </si>
  <si>
    <t xml:space="preserve">courage,energy,love,passion</t>
  </si>
  <si>
    <t xml:space="preserve">intuition, dreams, connection, calm</t>
  </si>
  <si>
    <t xml:space="preserve">Stitch a dream into a pillowcase so it comes back.</t>
  </si>
  <si>
    <t xml:space="preserve">Same meaning as Silver ink. The spell type decides which medium.</t>
  </si>
  <si>
    <t xml:space="preserve">calm,connection,dreams,intuition</t>
  </si>
  <si>
    <t xml:space="preserve">cleansing, protection, calm, beginnings</t>
  </si>
  <si>
    <t xml:space="preserve">Clean and plain. Tied round a newborn's cot.</t>
  </si>
  <si>
    <t xml:space="preserve">beginnings,calm,cleansing,protection</t>
  </si>
  <si>
    <t xml:space="preserve">joy, communication, focus</t>
  </si>
  <si>
    <t xml:space="preserve">Sewn into a speaker's collar. Bright, clear words.</t>
  </si>
  <si>
    <t xml:space="preserve">communication,focus,joy</t>
  </si>
  <si>
    <t xml:space="preserve">beauty, joy, attraction</t>
  </si>
  <si>
    <t xml:space="preserve">Pretty bows that catch the eye.</t>
  </si>
  <si>
    <t xml:space="preserve">attraction,beauty,joy</t>
  </si>
  <si>
    <t xml:space="preserve">love, attraction</t>
  </si>
  <si>
    <t xml:space="preserve">Deep, devoted love.</t>
  </si>
  <si>
    <t xml:space="preserve">attraction,love</t>
  </si>
  <si>
    <t xml:space="preserve">creativity, connection, patience</t>
  </si>
  <si>
    <t xml:space="preserve">Ties people together, one slow stitch at a time.</t>
  </si>
  <si>
    <t xml:space="preserve">connection,creativity,patience</t>
  </si>
  <si>
    <t xml:space="preserve">Base for Sachet.</t>
  </si>
  <si>
    <t xml:space="preserve">Base for Poppet.</t>
  </si>
  <si>
    <t xml:space="preserve">play, creativity, joy</t>
  </si>
  <si>
    <t xml:space="preserve">Pieces sewn together into something cheerful for a home.</t>
  </si>
  <si>
    <t xml:space="preserve">intuition</t>
  </si>
  <si>
    <t xml:space="preserve">Wand wood of sight.</t>
  </si>
  <si>
    <t xml:space="preserve">Same meaning as Ash wood. The spell type decides which medium.</t>
  </si>
  <si>
    <t xml:space="preserve">Carving wood of sight.</t>
  </si>
  <si>
    <t xml:space="preserve">Same meaning as Ash branch. The spell type decides which medium.</t>
  </si>
  <si>
    <t xml:space="preserve">beginnings</t>
  </si>
  <si>
    <t xml:space="preserve">Wand wood for someone starting over.</t>
  </si>
  <si>
    <t xml:space="preserve">Same meaning as Birch wood. The spell type decides which medium.</t>
  </si>
  <si>
    <t xml:space="preserve">Carving wood for someone starting over.</t>
  </si>
  <si>
    <t xml:space="preserve">Same meaning as Birch branch. The spell type decides which medium.</t>
  </si>
  <si>
    <t xml:space="preserve">A thorny staff. Nerve to stand your ground.</t>
  </si>
  <si>
    <t xml:space="preserve">memory, creativity, intuition</t>
  </si>
  <si>
    <t xml:space="preserve">Wood of wisdom and inspiration.</t>
  </si>
  <si>
    <t xml:space="preserve">creativity,intuition,memory</t>
  </si>
  <si>
    <t xml:space="preserve">courage, grounding, protection</t>
  </si>
  <si>
    <t xml:space="preserve">Steadfast and rooted. The wood that stands guard.</t>
  </si>
  <si>
    <t xml:space="preserve">courage,grounding,protection</t>
  </si>
  <si>
    <t xml:space="preserve">Hung over the door. Old, steady protection.</t>
  </si>
  <si>
    <t xml:space="preserve">play, opportunity, travel</t>
  </si>
  <si>
    <t xml:space="preserve">Wandering play and small chances.</t>
  </si>
  <si>
    <t xml:space="preserve">opportunity,play,travel</t>
  </si>
  <si>
    <t xml:space="preserve">Wand wood that bends and listens.</t>
  </si>
  <si>
    <t xml:space="preserve">release</t>
  </si>
  <si>
    <t xml:space="preserve">Carving wood that bends and lets go.</t>
  </si>
  <si>
    <t xml:space="preserve">Base for Talisman.</t>
  </si>
  <si>
    <t xml:space="preserve">luck</t>
  </si>
  <si>
    <t xml:space="preserve">A little fortune that grows.</t>
  </si>
  <si>
    <t xml:space="preserve">Base for Hand Mirror.</t>
  </si>
  <si>
    <t xml:space="preserve">Base for Rune.</t>
  </si>
  <si>
    <t xml:space="preserve">luck, abundance</t>
  </si>
  <si>
    <t xml:space="preserve">Hard luck you can hold.</t>
  </si>
  <si>
    <t xml:space="preserve">protection, play, wonder</t>
  </si>
  <si>
    <t xml:space="preserve">A little eye bead that watches.</t>
  </si>
  <si>
    <t xml:space="preserve">play,protection,wonder</t>
  </si>
  <si>
    <t xml:space="preserve">Base for Spell Bottle.</t>
  </si>
  <si>
    <t xml:space="preserve">protection, grounding</t>
  </si>
  <si>
    <t xml:space="preserve">Heavy iron dust that keeps feet on the floor.</t>
  </si>
  <si>
    <t xml:space="preserve">grounding,protection</t>
  </si>
  <si>
    <t xml:space="preserve">protection</t>
  </si>
  <si>
    <t xml:space="preserve">Driven into the doorframe.</t>
  </si>
  <si>
    <t xml:space="preserve">boundaries</t>
  </si>
  <si>
    <t xml:space="preserve">Pinned to a collar. Thus far, and no further.</t>
  </si>
  <si>
    <t xml:space="preserve">memory, self-love</t>
  </si>
  <si>
    <t xml:space="preserve">Keeps a face close, and reminds you that you were loved.</t>
  </si>
  <si>
    <t xml:space="preserve">memory,self-love</t>
  </si>
  <si>
    <t xml:space="preserve">creativity</t>
  </si>
  <si>
    <t xml:space="preserve">Makes the hand eager to make things.</t>
  </si>
  <si>
    <t xml:space="preserve">For the writer stuck on the first line.</t>
  </si>
  <si>
    <t xml:space="preserve">intuition, calm, communication</t>
  </si>
  <si>
    <t xml:space="preserve">Strung on a bracelet, it nudges you to listen before you speak.</t>
  </si>
  <si>
    <t xml:space="preserve">calm,communication,intuition</t>
  </si>
  <si>
    <t xml:space="preserve">opportunity, protection, beginnings, release</t>
  </si>
  <si>
    <t xml:space="preserve">Opens and locks.</t>
  </si>
  <si>
    <t xml:space="preserve">beginnings,opportunity,protection,release</t>
  </si>
  <si>
    <t xml:space="preserve">comfort, calm, travel</t>
  </si>
  <si>
    <t xml:space="preserve">For someone far from home. Tastes like their own kitchen.</t>
  </si>
  <si>
    <t xml:space="preserve">calm,comfort,travel</t>
  </si>
  <si>
    <t xml:space="preserve">joy, beginnings</t>
  </si>
  <si>
    <t xml:space="preserve">Rings in the first day of anything.</t>
  </si>
  <si>
    <t xml:space="preserve">beginnings,joy</t>
  </si>
  <si>
    <t xml:space="preserve">protection, endings</t>
  </si>
  <si>
    <t xml:space="preserve">Seals and ends.</t>
  </si>
  <si>
    <t xml:space="preserve">endings,protection</t>
  </si>
  <si>
    <t xml:space="preserve">luck, play</t>
  </si>
  <si>
    <t xml:space="preserve">A roll of chance. Bold luck.</t>
  </si>
  <si>
    <t xml:space="preserve">Write a name in it, then burn the page.</t>
  </si>
  <si>
    <t xml:space="preserve">Same meaning as Black thread. The spell type decides which medium.</t>
  </si>
  <si>
    <t xml:space="preserve">Success, written down.</t>
  </si>
  <si>
    <t xml:space="preserve">Same meaning as Gold thread, Gold paint. The spell type decides which medium.</t>
  </si>
  <si>
    <t xml:space="preserve">For a letter that means every word and burns a little.</t>
  </si>
  <si>
    <t xml:space="preserve">Same meaning as Red thread, Red paint. The spell type decides which medium.</t>
  </si>
  <si>
    <t xml:space="preserve">Write a dream down in it before it fades.</t>
  </si>
  <si>
    <t xml:space="preserve">Same meaning as Silver thread. The spell type decides which medium.</t>
  </si>
  <si>
    <t xml:space="preserve">For a letter to the person you're becoming.</t>
  </si>
  <si>
    <t xml:space="preserve">Same meaning as Purple thread. The spell type decides which medium.</t>
  </si>
  <si>
    <t xml:space="preserve">Success, painted on.</t>
  </si>
  <si>
    <t xml:space="preserve">Same meaning as Gold thread, Gold ink. The spell type decides which medium.</t>
  </si>
  <si>
    <t xml:space="preserve">Bold strokes on a door or a drum.</t>
  </si>
  <si>
    <t xml:space="preserve">Same meaning as Red thread, Red ink. The spell type decides which medium.</t>
  </si>
  <si>
    <t xml:space="preserve">#</t>
  </si>
  <si>
    <t xml:space="preserve">Asker</t>
  </si>
  <si>
    <t xml:space="preserve">Question</t>
  </si>
  <si>
    <t xml:space="preserve">Asks for</t>
  </si>
  <si>
    <t xml:space="preserve">Keyword</t>
  </si>
  <si>
    <t xml:space="preserve">Perfect answer</t>
  </si>
  <si>
    <t xml:space="preserve">Clue words</t>
  </si>
  <si>
    <t xml:space="preserve">Perfect matches</t>
  </si>
  <si>
    <t xml:space="preserve">Answer fits?</t>
  </si>
  <si>
    <t xml:space="preserve">Good answers (#)</t>
  </si>
  <si>
    <t xml:space="preserve">Good answers (names)</t>
  </si>
  <si>
    <t xml:space="preserve">Rosalind</t>
  </si>
  <si>
    <t xml:space="preserve">My youngest scraped a hand on the garden wall. Which herb helps it heal? Nothing that stings.</t>
  </si>
  <si>
    <t xml:space="preserve">"heal" = healing; a hand = Body; "nothing that stings" = Gentle</t>
  </si>
  <si>
    <t xml:space="preserve">Angelica root, Chamomile, Dandelion root, Eucalyptus, Lemon balm, Nettle, Rose, Seaweed</t>
  </si>
  <si>
    <t xml:space="preserve">Parent with children</t>
  </si>
  <si>
    <t xml:space="preserve">My husband hasn't slept properly in a week. Is there a herb that will actually knock him out?</t>
  </si>
  <si>
    <t xml:space="preserve">sleep</t>
  </si>
  <si>
    <t xml:space="preserve">"slept" = sleep; tired body; "knock him out" = Strong</t>
  </si>
  <si>
    <t xml:space="preserve">Chamomile, Hops, Lavender</t>
  </si>
  <si>
    <t xml:space="preserve">Walk-in</t>
  </si>
  <si>
    <t xml:space="preserve">I've just woken from a long nap and feel like cotton wool. Something to freshen me up, but not too sharp?</t>
  </si>
  <si>
    <t xml:space="preserve">energy</t>
  </si>
  <si>
    <t xml:space="preserve">"freshen me up" = energy; groggy body; "not too sharp" = Gentle</t>
  </si>
  <si>
    <t xml:space="preserve">Lemongrass, Peppermint, Black tea</t>
  </si>
  <si>
    <t xml:space="preserve">Noor</t>
  </si>
  <si>
    <t xml:space="preserve">I've got a presentation in an hour and my head is mush. What wakes up the brain, fast?</t>
  </si>
  <si>
    <t xml:space="preserve">"wakes up" = energy; "the brain" = Mind; "fast" = Strong</t>
  </si>
  <si>
    <t xml:space="preserve">Lemongrass, Mint, Black tea</t>
  </si>
  <si>
    <t xml:space="preserve">I want to go really deep when I meditate. Which flower quiets the mind all the way down?</t>
  </si>
  <si>
    <t xml:space="preserve">"quiets" = calm; "the mind" = Mind; "really deep, all the way" = Strong</t>
  </si>
  <si>
    <t xml:space="preserve">Chamomile, Cornflower, Hops, Lavender, Lemon balm, Mint, Valerian, White lily</t>
  </si>
  <si>
    <t xml:space="preserve">Our old dog died last week. Is there a herb that helps you let go, gently?</t>
  </si>
  <si>
    <t xml:space="preserve">"let go" = release; grief = Mind; "gently" = Gentle</t>
  </si>
  <si>
    <t xml:space="preserve">Angelica root, Bay leaf, Dandelion root, Eucalyptus, Rose thorns, Seaweed, Willow bark</t>
  </si>
  <si>
    <t xml:space="preserve">This cold has my chest completely blocked. What clears it out?</t>
  </si>
  <si>
    <t xml:space="preserve">"clears it out" = cleansing; chest = Body; "completely blocked" = Strong</t>
  </si>
  <si>
    <t xml:space="preserve">Dandelion root, Garden sage, Lavender, Mint, Rosemary, Cedar, Juniper</t>
  </si>
  <si>
    <t xml:space="preserve">Edmund</t>
  </si>
  <si>
    <t xml:space="preserve">My brother keeps forgetting names. Something properly strong for the memory?</t>
  </si>
  <si>
    <t xml:space="preserve">memory</t>
  </si>
  <si>
    <t xml:space="preserve">"memory" = memory; names = Mind; "properly strong" = Strong</t>
  </si>
  <si>
    <t xml:space="preserve">Lilac, Pressed moon petals</t>
  </si>
  <si>
    <t xml:space="preserve">Couple</t>
  </si>
  <si>
    <t xml:space="preserve">I'm writing a love letter. Which herb makes the words impossible to resist?</t>
  </si>
  <si>
    <t xml:space="preserve">"love letter" = love; words = Mind; "impossible to resist" = Strong</t>
  </si>
  <si>
    <t xml:space="preserve">Hibiscus, Lavender, Rose petals, Rosebud</t>
  </si>
  <si>
    <t xml:space="preserve">We've been married twenty years. Something to bring the heat back?</t>
  </si>
  <si>
    <t xml:space="preserve">romance = love; "heat" = Body; "bring the heat back" = Strong</t>
  </si>
  <si>
    <t xml:space="preserve">Lavender, Orris root, Rose petals, Rosebud</t>
  </si>
  <si>
    <t xml:space="preserve">My son is backpacking for a month. A gentle herb to keep him safe on the road?</t>
  </si>
  <si>
    <t xml:space="preserve">"keep him safe" = protection; "on the road" = Space; "gentle" = Gentle</t>
  </si>
  <si>
    <t xml:space="preserve">Angelica root, Bay leaf, Garden sage, Mugwort, Rosemary, Rue, Cedar, Juniper</t>
  </si>
  <si>
    <t xml:space="preserve">Since Gran was ill the whole house feels sick. What drives that out?</t>
  </si>
  <si>
    <t xml:space="preserve">"feels sick" = healing; "the whole house" = Space; "drives that out" = Strong</t>
  </si>
  <si>
    <t xml:space="preserve">Calendula, Chamomile, Dandelion root, Eucalyptus, Lemon balm, Nettle, Rose, Seaweed</t>
  </si>
  <si>
    <t xml:space="preserve">I've made a new friend at work. A little flower to say so, nothing too much?</t>
  </si>
  <si>
    <t xml:space="preserve">"friend" = friendship; a feeling to share = Mind; "nothing too much" = Gentle</t>
  </si>
  <si>
    <t xml:space="preserve">Clover, Sweet pea</t>
  </si>
  <si>
    <t xml:space="preserve">Our neighbours fed us for a week when the baby came. What herb says thank you to a whole household?</t>
  </si>
  <si>
    <t xml:space="preserve">"thank you" = gratitude; "a whole household" = Space; a soft gift = Gentle</t>
  </si>
  <si>
    <t xml:space="preserve">Pressed moon petals, Autumn leaf</t>
  </si>
  <si>
    <t xml:space="preserve">We've just bought a house. Which herb guards a home best? I want it strong.</t>
  </si>
  <si>
    <t xml:space="preserve">"a home" = home; the house itself = Space; "strong" = Strong</t>
  </si>
  <si>
    <t xml:space="preserve">Wheat, Cedar chips</t>
  </si>
  <si>
    <t xml:space="preserve">Sam</t>
  </si>
  <si>
    <t xml:space="preserve">I want wild, vivid dreams. The stronger the better.</t>
  </si>
  <si>
    <t xml:space="preserve">dreams</t>
  </si>
  <si>
    <t xml:space="preserve">"dreams" = dreams; dreams = Mind; "the stronger the better" = Strong</t>
  </si>
  <si>
    <t xml:space="preserve">Jasmine, Violet</t>
  </si>
  <si>
    <t xml:space="preserve">My little boy starts school tomorrow and he's so shy. A mild flower for a bit of confidence?</t>
  </si>
  <si>
    <t xml:space="preserve">confidence</t>
  </si>
  <si>
    <t xml:space="preserve">"confidence" = confidence; shyness = Mind; "mild", a child = Gentle</t>
  </si>
  <si>
    <t xml:space="preserve">Calendula, Licorice root, Thyme</t>
  </si>
  <si>
    <t xml:space="preserve">I have to have a hard talk with my sister. A herb to keep my words calm and kind?</t>
  </si>
  <si>
    <t xml:space="preserve">communication</t>
  </si>
  <si>
    <t xml:space="preserve">"words" = communication; feelings = Mind; "calm and kind" = Gentle</t>
  </si>
  <si>
    <t xml:space="preserve">Licorice root, Orris root, Peppermint</t>
  </si>
  <si>
    <t xml:space="preserve">Student</t>
  </si>
  <si>
    <t xml:space="preserve">My driving test is on Friday and I'm terrified. Which stone gives courage?</t>
  </si>
  <si>
    <t xml:space="preserve">"courage" = courage; fear = Mind; "terrified" calls for Strong</t>
  </si>
  <si>
    <t xml:space="preserve">Carnelian, Garnet</t>
  </si>
  <si>
    <t xml:space="preserve">I feel dizzy and floaty all the time, like my feet don't touch the ground. A heavy stone?</t>
  </si>
  <si>
    <t xml:space="preserve">grounding</t>
  </si>
  <si>
    <t xml:space="preserve">"feet don't touch the ground" = grounding; dizzy = Body; "heavy" = Strong</t>
  </si>
  <si>
    <t xml:space="preserve">Smoky quartz, River stone</t>
  </si>
  <si>
    <t xml:space="preserve">I rush everything. Is there a stone that keeps you steady and patient, nothing heavy?</t>
  </si>
  <si>
    <t xml:space="preserve">"steady" = grounding; patience = Mind; "nothing heavy" = Gentle</t>
  </si>
  <si>
    <t xml:space="preserve">Hematite, Smoky quartz</t>
  </si>
  <si>
    <t xml:space="preserve">Ivy</t>
  </si>
  <si>
    <t xml:space="preserve">I want to like what I see in the mirror. Something soft, not a big transformation.</t>
  </si>
  <si>
    <t xml:space="preserve">self-love</t>
  </si>
  <si>
    <t xml:space="preserve">liking yourself = self-love; the mirror = Body; "soft" = Gentle</t>
  </si>
  <si>
    <t xml:space="preserve">Moonstone, Rhodonite, Rose quartz</t>
  </si>
  <si>
    <t xml:space="preserve">After the break-up I can't stand myself. I need something strong.</t>
  </si>
  <si>
    <t xml:space="preserve">"can't stand myself" = self-love; heartbreak = Mind; "strong" = Strong</t>
  </si>
  <si>
    <t xml:space="preserve">Moonstone, Pearl, Rose quartz</t>
  </si>
  <si>
    <t xml:space="preserve">I'm a witness in court next week and I must say it all clearly. Which stone?</t>
  </si>
  <si>
    <t xml:space="preserve">"say it clearly" = communication; truth-telling = Mind; high stakes = Strong</t>
  </si>
  <si>
    <t xml:space="preserve">Amazonite, Aquamarine, Blue lace agate</t>
  </si>
  <si>
    <t xml:space="preserve">Since the argument our flat feels so tense. A stone to calm the room down, gently?</t>
  </si>
  <si>
    <t xml:space="preserve">"calm" = calm; "the room" = Space; "gently" = Gentle</t>
  </si>
  <si>
    <t xml:space="preserve">Amazonite, Amethyst, Aquamarine, Blue lace agate, Howlite, Pearl, River stone</t>
  </si>
  <si>
    <t xml:space="preserve">My late uncle's house is full of heavy, old feelings. What takes all that away?</t>
  </si>
  <si>
    <t xml:space="preserve">"takes away" = release; the house = Space; "heavy", "all that" = Strong</t>
  </si>
  <si>
    <t xml:space="preserve">Aquamarine, Obsidian, Rhodonite</t>
  </si>
  <si>
    <t xml:space="preserve">My daughter's homework is chaos. A gentle stone to help her think in order?</t>
  </si>
  <si>
    <t xml:space="preserve">focus</t>
  </si>
  <si>
    <t xml:space="preserve">"think in order" = focus; thinking = Mind; "gentle", a child = Gentle</t>
  </si>
  <si>
    <t xml:space="preserve">Clear quartz, Hematite</t>
  </si>
  <si>
    <t xml:space="preserve">Day</t>
  </si>
  <si>
    <t xml:space="preserve">Month</t>
  </si>
  <si>
    <t xml:space="preserve">Weekday</t>
  </si>
  <si>
    <t xml:space="preserve">Moon</t>
  </si>
  <si>
    <t xml:space="preserve">Weather</t>
  </si>
  <si>
    <t xml:space="preserve">Hour</t>
  </si>
  <si>
    <t xml:space="preserve">Shares hour</t>
  </si>
  <si>
    <t xml:space="preserve">Recipe</t>
  </si>
  <si>
    <t xml:space="preserve">Type</t>
  </si>
  <si>
    <t xml:space="preserve">New (#)</t>
  </si>
  <si>
    <t xml:space="preserve">New things</t>
  </si>
  <si>
    <t xml:space="preserve">Reuses (#)</t>
  </si>
  <si>
    <t xml:space="preserve">Prepares for</t>
  </si>
  <si>
    <t xml:space="preserve">Note</t>
  </si>
  <si>
    <t xml:space="preserve">November</t>
  </si>
  <si>
    <t xml:space="preserve">Last Quarter</t>
  </si>
  <si>
    <t xml:space="preserve">Cloudy</t>
  </si>
  <si>
    <t xml:space="preserve">Noon</t>
  </si>
  <si>
    <t xml:space="preserve">Blue thread, Small key</t>
  </si>
  <si>
    <t xml:space="preserve">Week one (fixed)</t>
  </si>
  <si>
    <t xml:space="preserve">Nettle, Rose hips</t>
  </si>
  <si>
    <t xml:space="preserve">Honey, Rose petals</t>
  </si>
  <si>
    <t xml:space="preserve">Moth wing dust, Mugwort, The Moon</t>
  </si>
  <si>
    <t xml:space="preserve">Licorice root, Rhodonite, Blue candle, The Sun</t>
  </si>
  <si>
    <t xml:space="preserve">First Quarter</t>
  </si>
  <si>
    <t xml:space="preserve">Frankincense, Lemongrass</t>
  </si>
  <si>
    <t xml:space="preserve">Cherry, Vanilla, The Fool</t>
  </si>
  <si>
    <t xml:space="preserve">Garden sage, Lemon, White candle</t>
  </si>
  <si>
    <t xml:space="preserve">Dottie #161, Morwenna #21</t>
  </si>
  <si>
    <t xml:space="preserve">Amazonite, Justice</t>
  </si>
  <si>
    <t xml:space="preserve">Morwenna #21</t>
  </si>
  <si>
    <t xml:space="preserve">December</t>
  </si>
  <si>
    <t xml:space="preserve">Yes</t>
  </si>
  <si>
    <t xml:space="preserve">Cinnamon, Tiger's eye, Gold candle, The Chariot</t>
  </si>
  <si>
    <t xml:space="preserve">Felix #36, Morwenna #21</t>
  </si>
  <si>
    <t xml:space="preserve">Gold mica, Orange peel, Twilight</t>
  </si>
  <si>
    <t xml:space="preserve">Hester #68, Morwenna #21</t>
  </si>
  <si>
    <t xml:space="preserve">Lapis lazuli, Owl feather, Silver bead</t>
  </si>
  <si>
    <t xml:space="preserve">Rosalind #23</t>
  </si>
  <si>
    <t xml:space="preserve">Eucalyptus, Mint, Rain</t>
  </si>
  <si>
    <t xml:space="preserve">Dottie #161</t>
  </si>
  <si>
    <t xml:space="preserve">Labradorite, Moonstone, Silver thread, Dark Moon</t>
  </si>
  <si>
    <t xml:space="preserve">Morwenna #16</t>
  </si>
  <si>
    <t xml:space="preserve">Patchwork scraps, Snail shell, Twig, Clear starry night</t>
  </si>
  <si>
    <t xml:space="preserve">Sweet pea, The Lovers</t>
  </si>
  <si>
    <t xml:space="preserve">Hester #68</t>
  </si>
  <si>
    <t xml:space="preserve">Ash branch, Star anise</t>
  </si>
  <si>
    <t xml:space="preserve">Clove, Nutmeg, Yule</t>
  </si>
  <si>
    <t xml:space="preserve">Orange, Sunstone</t>
  </si>
  <si>
    <t xml:space="preserve">Dandelion, Dawn dew</t>
  </si>
  <si>
    <t xml:space="preserve">Felix #151</t>
  </si>
  <si>
    <t xml:space="preserve">Strawberry, Orange candle</t>
  </si>
  <si>
    <t xml:space="preserve">Full Moon (Cold Moon)</t>
  </si>
  <si>
    <t xml:space="preserve">Bergamot, Black tea, Rose, Cold Moon</t>
  </si>
  <si>
    <t xml:space="preserve">Noor #86</t>
  </si>
  <si>
    <t xml:space="preserve">Last chance this year</t>
  </si>
  <si>
    <t xml:space="preserve">Bay leaf, Brass button, Gold thread, The World</t>
  </si>
  <si>
    <t xml:space="preserve">Clear quartz, Silver ink</t>
  </si>
  <si>
    <t xml:space="preserve">January</t>
  </si>
  <si>
    <t xml:space="preserve">Willow wood, The Hierophant</t>
  </si>
  <si>
    <t xml:space="preserve">Angelica root, Hearth ash, Death</t>
  </si>
  <si>
    <t xml:space="preserve">Silver glitter, Star-shaped button</t>
  </si>
  <si>
    <t xml:space="preserve">Aquamarine, Chili, Red candle</t>
  </si>
  <si>
    <t xml:space="preserve">Eggshell, Judgement</t>
  </si>
  <si>
    <t xml:space="preserve">Wax seal, Black candle, The Magician</t>
  </si>
  <si>
    <t xml:space="preserve">Four-leaf clover, Green aventurine, Green thread, Green candle</t>
  </si>
  <si>
    <t xml:space="preserve">Hester #135</t>
  </si>
  <si>
    <t xml:space="preserve">Clover, Wheel of Fortune</t>
  </si>
  <si>
    <t xml:space="preserve">Bright buttons, Carnelian, Orange thread</t>
  </si>
  <si>
    <t xml:space="preserve">Pink candle, The Empress</t>
  </si>
  <si>
    <t xml:space="preserve">Purple thread, Grey candle, The Tower</t>
  </si>
  <si>
    <t xml:space="preserve">Noor #82</t>
  </si>
  <si>
    <t xml:space="preserve">Rose quartz, after Rain</t>
  </si>
  <si>
    <t xml:space="preserve">Full Moon (Wolf Moon)</t>
  </si>
  <si>
    <t xml:space="preserve">Black salt, Wolf Moon</t>
  </si>
  <si>
    <t xml:space="preserve">Elderflower, Gold sprinkles</t>
  </si>
  <si>
    <t xml:space="preserve">Pearl, Rosewater, Selenite, White lily, Temperance, Snow</t>
  </si>
  <si>
    <t xml:space="preserve">Hops, Moss agate, Silver candle</t>
  </si>
  <si>
    <t xml:space="preserve">February</t>
  </si>
  <si>
    <t xml:space="preserve">Brown candle, Imbolc</t>
  </si>
  <si>
    <t xml:space="preserve">Birch wood, Black pepper, Red paint</t>
  </si>
  <si>
    <t xml:space="preserve">Hematite, Spool of thread</t>
  </si>
  <si>
    <t xml:space="preserve">Basil, Citrine, Paintbrush bristle</t>
  </si>
  <si>
    <t xml:space="preserve">Coconut milk powder, Jasmine, Pyrite, Seashell, The Devil, Waxing Crescent</t>
  </si>
  <si>
    <t xml:space="preserve">Goldie #219, Goldie #7</t>
  </si>
  <si>
    <t xml:space="preserve">Fluorite, Peacock feather, Violet, The Hanged Man</t>
  </si>
  <si>
    <t xml:space="preserve">Ivy #218</t>
  </si>
  <si>
    <t xml:space="preserve">Rosebud, Waxing Gibbous</t>
  </si>
  <si>
    <t xml:space="preserve">Grey thread, Smoky quartz</t>
  </si>
  <si>
    <t xml:space="preserve">Full Moon (Snow Moon)</t>
  </si>
  <si>
    <t xml:space="preserve">Blue lace agate, Snow Moon</t>
  </si>
  <si>
    <t xml:space="preserve">Cornflower, Poppy seeds</t>
  </si>
  <si>
    <t xml:space="preserve">Black thread, Hedgehog quill, Rowan branch</t>
  </si>
  <si>
    <t xml:space="preserve">March</t>
  </si>
  <si>
    <t xml:space="preserve">Sam #221</t>
  </si>
  <si>
    <t xml:space="preserve">Acorn, Coin, Magpie feather</t>
  </si>
  <si>
    <t xml:space="preserve">Cypress, Myrrh, Waning Crescent</t>
  </si>
  <si>
    <t xml:space="preserve">Edmund #208</t>
  </si>
  <si>
    <t xml:space="preserve">Ivy #20</t>
  </si>
  <si>
    <t xml:space="preserve">Rainbow threads, Ostara</t>
  </si>
  <si>
    <t xml:space="preserve">Hester #150</t>
  </si>
  <si>
    <t xml:space="preserve">Calendula, Garden soil, Sunflower petals</t>
  </si>
  <si>
    <t xml:space="preserve">Pomegranate seeds, Wormwood</t>
  </si>
  <si>
    <t xml:space="preserve">Howlite, Lotus</t>
  </si>
  <si>
    <t xml:space="preserve">Fern, Oak moss</t>
  </si>
  <si>
    <t xml:space="preserve">Full Moon (Worm Moon)</t>
  </si>
  <si>
    <t xml:space="preserve">Worm Moon</t>
  </si>
  <si>
    <t xml:space="preserve">Apple peel, Cardamom, Hibiscus</t>
  </si>
  <si>
    <t xml:space="preserve">April</t>
  </si>
  <si>
    <t xml:space="preserve">Rainbow sprinkles, Rainbow</t>
  </si>
  <si>
    <t xml:space="preserve">Pink salt, The Star</t>
  </si>
  <si>
    <t xml:space="preserve">Hester #6</t>
  </si>
  <si>
    <t xml:space="preserve">Full Moon (Pink Moon)</t>
  </si>
  <si>
    <t xml:space="preserve">Pink Moon</t>
  </si>
  <si>
    <t xml:space="preserve">May</t>
  </si>
  <si>
    <t xml:space="preserve">Beetroot powder, Beltane</t>
  </si>
  <si>
    <t xml:space="preserve">Iron pin, Rose thorns</t>
  </si>
  <si>
    <t xml:space="preserve">Full Moon (Flower Moon)</t>
  </si>
  <si>
    <t xml:space="preserve">Flower Moon</t>
  </si>
  <si>
    <t xml:space="preserve">June</t>
  </si>
  <si>
    <t xml:space="preserve">Autumn leaf, Birch branch, Festival</t>
  </si>
  <si>
    <t xml:space="preserve">Full Moon (Strawberry Moon)</t>
  </si>
  <si>
    <t xml:space="preserve">Goldie #12</t>
  </si>
  <si>
    <t xml:space="preserve">Jade, Velvet ribbon (red)</t>
  </si>
  <si>
    <t xml:space="preserve">July</t>
  </si>
  <si>
    <t xml:space="preserve">Pressed moon petals, Wheat</t>
  </si>
  <si>
    <t xml:space="preserve">Hester #45</t>
  </si>
  <si>
    <t xml:space="preserve">Full Moon (Buck Moon)</t>
  </si>
  <si>
    <t xml:space="preserve">Buck Moon</t>
  </si>
  <si>
    <t xml:space="preserve">August</t>
  </si>
  <si>
    <t xml:space="preserve">Violet ink, Shooting stars</t>
  </si>
  <si>
    <t xml:space="preserve">Full Moon (Sturgeon Moon)</t>
  </si>
  <si>
    <t xml:space="preserve">Sturgeon Moon</t>
  </si>
  <si>
    <t xml:space="preserve">September</t>
  </si>
  <si>
    <t xml:space="preserve">Edmund #71</t>
  </si>
  <si>
    <t xml:space="preserve">Full Moon (Harvest Moon)</t>
  </si>
  <si>
    <t xml:space="preserve">Apple, Cedar chips</t>
  </si>
  <si>
    <t xml:space="preserve">Harvest Moon</t>
  </si>
  <si>
    <t xml:space="preserve">October</t>
  </si>
  <si>
    <t xml:space="preserve">Full Moon (Hunter's Moon)</t>
  </si>
  <si>
    <t xml:space="preserve">Not scheduled</t>
  </si>
  <si>
    <t xml:space="preserve">#25 The Keeper's Knot (Beaver Moon (November full moon)): its only chance this year is Day 7, too early for its seven new parts. Post-game, or decide.</t>
  </si>
  <si>
    <t xml:space="preserve">Due day</t>
  </si>
  <si>
    <t xml:space="preserve">Customer</t>
  </si>
  <si>
    <t xml:space="preserve">New without walk-ins</t>
  </si>
  <si>
    <t xml:space="preserve">New with plan</t>
  </si>
  <si>
    <t xml:space="preserve">Drop</t>
  </si>
  <si>
    <t xml:space="preserve">Flag</t>
  </si>
  <si>
    <t xml:space="preserve">Hester</t>
  </si>
  <si>
    <t xml:space="preserve">#111 The Language of Ravens</t>
  </si>
  <si>
    <t xml:space="preserve">#95 Lavender Hour</t>
  </si>
  <si>
    <t xml:space="preserve">Dottie</t>
  </si>
  <si>
    <t xml:space="preserve">#153 The Order of Little Things</t>
  </si>
  <si>
    <t xml:space="preserve">Goldie</t>
  </si>
  <si>
    <t xml:space="preserve">#58 The Velvet Tongue</t>
  </si>
  <si>
    <t xml:space="preserve">Morwenna</t>
  </si>
  <si>
    <t xml:space="preserve">#21 Wayfarer's Ward</t>
  </si>
  <si>
    <t xml:space="preserve">Felix</t>
  </si>
  <si>
    <t xml:space="preserve">#36 Fortune Favors the Bold</t>
  </si>
  <si>
    <t xml:space="preserve">#23 The Midnight Sentinel</t>
  </si>
  <si>
    <t xml:space="preserve">#161 The Fresh Linen Familiar</t>
  </si>
  <si>
    <t xml:space="preserve">#229 The Little Spotlight</t>
  </si>
  <si>
    <t xml:space="preserve">#68 A Thousand Little Lights</t>
  </si>
  <si>
    <t xml:space="preserve">#86 The Owl's Lantern</t>
  </si>
  <si>
    <t xml:space="preserve">#16 The Iron Moon</t>
  </si>
  <si>
    <t xml:space="preserve">#151 Rise, Little Flame</t>
  </si>
  <si>
    <t xml:space="preserve">#82 The Clear Quartz Hour</t>
  </si>
  <si>
    <t xml:space="preserve">#7 The Blushing Star</t>
  </si>
  <si>
    <t xml:space="preserve">#155 The Blanket Fort Blessing</t>
  </si>
  <si>
    <t xml:space="preserve">#96 The Last Candle</t>
  </si>
  <si>
    <t xml:space="preserve">#145 The Tidal Heart</t>
  </si>
  <si>
    <t xml:space="preserve">#172 The Sleepy Stardrop</t>
  </si>
  <si>
    <t xml:space="preserve">#221 The Soundtrack Summoner</t>
  </si>
  <si>
    <t xml:space="preserve">#135 The Green Comet</t>
  </si>
  <si>
    <t xml:space="preserve">#166 The Pocket-Sized Hearth</t>
  </si>
  <si>
    <t xml:space="preserve">#218 The Outfit Oracle</t>
  </si>
  <si>
    <t xml:space="preserve">#219 The Hello Spell</t>
  </si>
  <si>
    <t xml:space="preserve">#34 The Crowned Path</t>
  </si>
  <si>
    <t xml:space="preserve">#124 The Shadowed Halo</t>
  </si>
  <si>
    <t xml:space="preserve">#69 Company of the Moon</t>
  </si>
  <si>
    <t xml:space="preserve">#235 The Sweetness Permission</t>
  </si>
  <si>
    <t xml:space="preserve">#64 The Open Lantern</t>
  </si>
  <si>
    <t xml:space="preserve">#208 The Rain-Rooted Heart</t>
  </si>
  <si>
    <t xml:space="preserve">#232 The Critical-Hit Charm</t>
  </si>
  <si>
    <t xml:space="preserve">#150 The Promise of Blue Hour</t>
  </si>
  <si>
    <t xml:space="preserve">#20 The Unclouded Eye</t>
  </si>
  <si>
    <t xml:space="preserve">#171 The Pillow Fort Moon</t>
  </si>
  <si>
    <t xml:space="preserve">#26 Sanctuary in Blue</t>
  </si>
  <si>
    <t xml:space="preserve">#163 The Unhurried Hour</t>
  </si>
  <si>
    <t xml:space="preserve">#89 Done Is Enchanted</t>
  </si>
  <si>
    <t xml:space="preserve">#159 Rain on the Windowsill</t>
  </si>
  <si>
    <t xml:space="preserve">#98 The Soft Return</t>
  </si>
  <si>
    <t xml:space="preserve">#113 The Little Moon Temple</t>
  </si>
  <si>
    <t xml:space="preserve">#238 The Personal Fan Club</t>
  </si>
  <si>
    <t xml:space="preserve">#6 Venus in Bloom</t>
  </si>
  <si>
    <t xml:space="preserve">#173 One Tiny Task at a Time</t>
  </si>
  <si>
    <t xml:space="preserve">#154 The Silver Shopping Star</t>
  </si>
  <si>
    <t xml:space="preserve">#77 Brainstorm Stardust</t>
  </si>
  <si>
    <t xml:space="preserve">#223 The Rhythm of Doing</t>
  </si>
  <si>
    <t xml:space="preserve">#140 The Moonlit Appointment</t>
  </si>
  <si>
    <t xml:space="preserve">#12 The Lover's Mirror</t>
  </si>
  <si>
    <t xml:space="preserve">#53 The Enchanted Wardrobe</t>
  </si>
  <si>
    <t xml:space="preserve">#182 The Door You Know</t>
  </si>
  <si>
    <t xml:space="preserve">#76 The Muse Unlocked</t>
  </si>
  <si>
    <t xml:space="preserve">#11 Strawberry Moon</t>
  </si>
  <si>
    <t xml:space="preserve">#75 The Honeybee Feast</t>
  </si>
  <si>
    <t xml:space="preserve">#137 Solstice Honey</t>
  </si>
  <si>
    <t xml:space="preserve">#60 A Body Made of Stars</t>
  </si>
  <si>
    <t xml:space="preserve">#87 The Fool's Golden Star</t>
  </si>
  <si>
    <t xml:space="preserve">#189 The Cracked Porcelain Crown</t>
  </si>
  <si>
    <t xml:space="preserve">#156 The Supper of Small Wonders</t>
  </si>
  <si>
    <t xml:space="preserve">#188 The Green-Eyed Lantern</t>
  </si>
  <si>
    <t xml:space="preserve">#227 The Cozy-Cute Conjuring</t>
  </si>
  <si>
    <t xml:space="preserve">#240 The Glitterbomb Muse</t>
  </si>
  <si>
    <t xml:space="preserve">#157 The Honeyed Hello</t>
  </si>
  <si>
    <t xml:space="preserve">#125 A Thousand Open Eyes</t>
  </si>
  <si>
    <t xml:space="preserve">#176 The Sunday Softening</t>
  </si>
  <si>
    <t xml:space="preserve">#45 The Honeyed Hearth</t>
  </si>
  <si>
    <t xml:space="preserve">#54 The Only Moon</t>
  </si>
  <si>
    <t xml:space="preserve">#33 Key to the Golden Hour</t>
  </si>
  <si>
    <t xml:space="preserve">#2 The Velvet Thread</t>
  </si>
  <si>
    <t xml:space="preserve">#175 The Everyday Jester</t>
  </si>
  <si>
    <t xml:space="preserve">#71 The Woven Village</t>
  </si>
  <si>
    <t xml:space="preserve">#51 One of a Kind</t>
  </si>
  <si>
    <t xml:space="preserve">#122 The Waning Veil</t>
  </si>
  <si>
    <t xml:space="preserve">#206 The Clear Bell</t>
  </si>
  <si>
    <t xml:space="preserve">#8 Heartspeak</t>
  </si>
  <si>
    <t xml:space="preserve">#84 The Artist's Entrance</t>
  </si>
  <si>
    <t xml:space="preserve">#42 The Golden Nest</t>
  </si>
  <si>
    <t xml:space="preserve">#197 The Two-Sided Star</t>
  </si>
  <si>
    <t xml:space="preserve">#139 The North Star Within</t>
  </si>
  <si>
    <t xml:space="preserve">#209 The Worth Beyond Work</t>
  </si>
  <si>
    <t xml:space="preserve">#105 Permission to Be</t>
  </si>
  <si>
    <t xml:space="preserve">#203 The First-Draft Witch</t>
  </si>
  <si>
    <t xml:space="preserve">#130 The Amber Hour</t>
  </si>
  <si>
    <t xml:space="preserve">#234 The Pajama Moon</t>
  </si>
  <si>
    <t xml:space="preserve">#138 The Copper Moon</t>
  </si>
  <si>
    <t xml:space="preserve">#216 The Compliment Constellation</t>
  </si>
  <si>
    <t xml:space="preserve">#220 The Sweet Little Detour</t>
  </si>
  <si>
    <t xml:space="preserve">#100 The Unwritten Page</t>
  </si>
  <si>
    <t xml:space="preserve">Orders with 5+ new parts</t>
  </si>
  <si>
    <t xml:space="preserve">Candle colour</t>
  </si>
  <si>
    <t xml:space="preserve">candle_white.png</t>
  </si>
  <si>
    <t xml:space="preserve">candle_black.png</t>
  </si>
  <si>
    <t xml:space="preserve">candle_red.png</t>
  </si>
  <si>
    <t xml:space="preserve">candle_pink.png</t>
  </si>
  <si>
    <t xml:space="preserve">candle_orange.png</t>
  </si>
  <si>
    <t xml:space="preserve">candle_yellow.png</t>
  </si>
  <si>
    <t xml:space="preserve">candle_gold.png</t>
  </si>
  <si>
    <t xml:space="preserve">candle_green.png</t>
  </si>
  <si>
    <t xml:space="preserve">candle_light_blue.png</t>
  </si>
  <si>
    <t xml:space="preserve">candle_blue.png</t>
  </si>
  <si>
    <t xml:space="preserve">candle_purple.png</t>
  </si>
  <si>
    <t xml:space="preserve">candle_lavender.png</t>
  </si>
  <si>
    <t xml:space="preserve">candle_silver.png</t>
  </si>
  <si>
    <t xml:space="preserve">candle_brown.png</t>
  </si>
  <si>
    <t xml:space="preserve">candle_grey.png</t>
  </si>
  <si>
    <t xml:space="preserve">Card</t>
  </si>
  <si>
    <t xml:space="preserve">tarot_the_fool.png</t>
  </si>
  <si>
    <t xml:space="preserve">tarot_the_magician.png</t>
  </si>
  <si>
    <t xml:space="preserve">tarot_the_high_priestess.png</t>
  </si>
  <si>
    <t xml:space="preserve">tarot_the_empress.png</t>
  </si>
  <si>
    <t xml:space="preserve">tarot_the_emperor.png</t>
  </si>
  <si>
    <t xml:space="preserve">tarot_the_hierophant.png</t>
  </si>
  <si>
    <t xml:space="preserve">tarot_the_lovers.png</t>
  </si>
  <si>
    <t xml:space="preserve">tarot_the_chariot.png</t>
  </si>
  <si>
    <t xml:space="preserve">tarot_strength.png</t>
  </si>
  <si>
    <t xml:space="preserve">tarot_the_hermit.png</t>
  </si>
  <si>
    <t xml:space="preserve">tarot_wheel_of_fortune.png</t>
  </si>
  <si>
    <t xml:space="preserve">tarot_justice.png</t>
  </si>
  <si>
    <t xml:space="preserve">tarot_the_hanged_man.png</t>
  </si>
  <si>
    <t xml:space="preserve">tarot_death.png</t>
  </si>
  <si>
    <t xml:space="preserve">tarot_temperance.png</t>
  </si>
  <si>
    <t xml:space="preserve">tarot_the_devil.png</t>
  </si>
  <si>
    <t xml:space="preserve">tarot_the_tower.png</t>
  </si>
  <si>
    <t xml:space="preserve">tarot_the_star.png</t>
  </si>
  <si>
    <t xml:space="preserve">tarot_the_moon.png</t>
  </si>
  <si>
    <t xml:space="preserve">tarot_the_sun.png</t>
  </si>
  <si>
    <t xml:space="preserve">tarot_judgement.png</t>
  </si>
  <si>
    <t xml:space="preserve">tarot_the_world.png</t>
  </si>
  <si>
    <t xml:space="preserve">Icon</t>
  </si>
  <si>
    <t xml:space="preserve">Group</t>
  </si>
  <si>
    <t xml:space="preserve">Dark Moon</t>
  </si>
  <si>
    <t xml:space="preserve">Moon phase</t>
  </si>
  <si>
    <t xml:space="preserve">icon_moon_dark_moon.png</t>
  </si>
  <si>
    <t xml:space="preserve">icon_moon_new_moon.png</t>
  </si>
  <si>
    <t xml:space="preserve">icon_moon_waxing_crescent.png</t>
  </si>
  <si>
    <t xml:space="preserve">icon_moon_first_quarter.png</t>
  </si>
  <si>
    <t xml:space="preserve">icon_moon_waxing_gibbous.png</t>
  </si>
  <si>
    <t xml:space="preserve">icon_moon_full_moon.png</t>
  </si>
  <si>
    <t xml:space="preserve">icon_moon_waning_gibbous.png</t>
  </si>
  <si>
    <t xml:space="preserve">icon_moon_last_quarter.png</t>
  </si>
  <si>
    <t xml:space="preserve">icon_moon_waning_crescent.png</t>
  </si>
  <si>
    <t xml:space="preserve">Wolf Moon</t>
  </si>
  <si>
    <t xml:space="preserve">Named moon</t>
  </si>
  <si>
    <t xml:space="preserve">icon_named_wolf_moon.png</t>
  </si>
  <si>
    <t xml:space="preserve">Snow Moon</t>
  </si>
  <si>
    <t xml:space="preserve">icon_named_snow_moon.png</t>
  </si>
  <si>
    <t xml:space="preserve">icon_named_worm_moon.png</t>
  </si>
  <si>
    <t xml:space="preserve">icon_named_pink_moon.png</t>
  </si>
  <si>
    <t xml:space="preserve">icon_named_flower_moon.png</t>
  </si>
  <si>
    <t xml:space="preserve">icon_named_strawberry_moon.png</t>
  </si>
  <si>
    <t xml:space="preserve">icon_named_buck_moon.png</t>
  </si>
  <si>
    <t xml:space="preserve">icon_named_sturgeon_moon.png</t>
  </si>
  <si>
    <t xml:space="preserve">icon_named_harvest_moon.png</t>
  </si>
  <si>
    <t xml:space="preserve">Hunter's Moon</t>
  </si>
  <si>
    <t xml:space="preserve">icon_named_hunter_s_moon.png</t>
  </si>
  <si>
    <t xml:space="preserve">Beaver Moon</t>
  </si>
  <si>
    <t xml:space="preserve">icon_named_beaver_moon.png</t>
  </si>
  <si>
    <t xml:space="preserve">Cold Moon</t>
  </si>
  <si>
    <t xml:space="preserve">icon_named_cold_moon.png</t>
  </si>
  <si>
    <t xml:space="preserve">Blue Moon (special event, replaces the Sturgeon Moon on Day 79)</t>
  </si>
  <si>
    <t xml:space="preserve">icon_named_blue_moon_special_event_replaces_the_sturgeon_moon_on_day_79.png</t>
  </si>
  <si>
    <t xml:space="preserve">Lunar Eclipse (event, Day 31)</t>
  </si>
  <si>
    <t xml:space="preserve">icon_named_lunar_eclipse_event_day_31.png</t>
  </si>
  <si>
    <t xml:space="preserve">icon_day_monday.png</t>
  </si>
  <si>
    <t xml:space="preserve">icon_day_tuesday.png</t>
  </si>
  <si>
    <t xml:space="preserve">icon_day_wednesday.png</t>
  </si>
  <si>
    <t xml:space="preserve">icon_day_thursday.png</t>
  </si>
  <si>
    <t xml:space="preserve">icon_day_friday.png</t>
  </si>
  <si>
    <t xml:space="preserve">icon_day_saturday.png</t>
  </si>
  <si>
    <t xml:space="preserve">icon_day_sunday.png</t>
  </si>
  <si>
    <t xml:space="preserve">Time of day</t>
  </si>
  <si>
    <t xml:space="preserve">icon_time_sunrise.png</t>
  </si>
  <si>
    <t xml:space="preserve">icon_time_noon.png</t>
  </si>
  <si>
    <t xml:space="preserve">icon_time_twilight.png</t>
  </si>
  <si>
    <t xml:space="preserve">icon_time_nightfall.png</t>
  </si>
  <si>
    <t xml:space="preserve">icon_weather_clear_sunny.png</t>
  </si>
  <si>
    <t xml:space="preserve">icon_weather_cloudy.png</t>
  </si>
  <si>
    <t xml:space="preserve">icon_weather_rain.png</t>
  </si>
  <si>
    <t xml:space="preserve">icon_weather_thunderstorm.png</t>
  </si>
  <si>
    <t xml:space="preserve">icon_weather_fog_mist.png</t>
  </si>
  <si>
    <t xml:space="preserve">icon_weather_windy.png</t>
  </si>
  <si>
    <t xml:space="preserve">icon_weather_snow.png</t>
  </si>
  <si>
    <t xml:space="preserve">icon_weather_clear_starry_night.png</t>
  </si>
  <si>
    <t xml:space="preserve">icon_weather_rainbow_rare_event.png</t>
  </si>
  <si>
    <t xml:space="preserve">icon_weather_shooting_star_rare_event.png</t>
  </si>
  <si>
    <t xml:space="preserve">Sabbat</t>
  </si>
  <si>
    <t xml:space="preserve">icon_sabbat_samhain.png</t>
  </si>
  <si>
    <t xml:space="preserve">icon_sabbat_yule.png</t>
  </si>
  <si>
    <t xml:space="preserve">icon_sabbat_imbolc.png</t>
  </si>
  <si>
    <t xml:space="preserve">icon_sabbat_ostara.png</t>
  </si>
  <si>
    <t xml:space="preserve">icon_sabbat_beltane.png</t>
  </si>
  <si>
    <t xml:space="preserve">icon_sabbat_litha.png</t>
  </si>
  <si>
    <t xml:space="preserve">icon_sabbat_lughnasadh.png</t>
  </si>
  <si>
    <t xml:space="preserve">icon_sabbat_mabon.png</t>
  </si>
  <si>
    <t xml:space="preserve">Spell type</t>
  </si>
  <si>
    <t xml:space="preserve"># spells of this type</t>
  </si>
  <si>
    <t xml:space="preserve">product_amulet.png</t>
  </si>
  <si>
    <t xml:space="preserve">Base sprite; each spell gets its own label</t>
  </si>
  <si>
    <t xml:space="preserve">product_balm.png</t>
  </si>
  <si>
    <t xml:space="preserve">product_bath_salt.png</t>
  </si>
  <si>
    <t xml:space="preserve">product_butter.png</t>
  </si>
  <si>
    <t xml:space="preserve">product_charm.png</t>
  </si>
  <si>
    <t xml:space="preserve">product_cookies.png</t>
  </si>
  <si>
    <t xml:space="preserve">product_glamour.png</t>
  </si>
  <si>
    <t xml:space="preserve">product_hand_mirror.png</t>
  </si>
  <si>
    <t xml:space="preserve">product_incense.png</t>
  </si>
  <si>
    <t xml:space="preserve">product_oil.png</t>
  </si>
  <si>
    <t xml:space="preserve">product_poppet.png</t>
  </si>
  <si>
    <t xml:space="preserve">product_potion.png</t>
  </si>
  <si>
    <t xml:space="preserve">product_powder.png</t>
  </si>
  <si>
    <t xml:space="preserve">product_rune.png</t>
  </si>
  <si>
    <t xml:space="preserve">product_sachet.png</t>
  </si>
  <si>
    <t xml:space="preserve">product_sigil.png</t>
  </si>
  <si>
    <t xml:space="preserve">product_soap.png</t>
  </si>
  <si>
    <t xml:space="preserve">product_spell_bottle.png</t>
  </si>
  <si>
    <t xml:space="preserve">product_talisman.png</t>
  </si>
  <si>
    <t xml:space="preserve">product_tea.png</t>
  </si>
  <si>
    <t xml:space="preserve">product_tonic.png</t>
  </si>
  <si>
    <t xml:space="preserve">product_wand.png</t>
  </si>
  <si>
    <t xml:space="preserve">product_water.png</t>
  </si>
  <si>
    <t xml:space="preserve">product_witch_salt.png</t>
  </si>
  <si>
    <t xml:space="preserve">product_witch_s_ladder.png</t>
  </si>
  <si>
    <t xml:space="preserve">Object</t>
  </si>
  <si>
    <t xml:space="preserve">Where</t>
  </si>
  <si>
    <t xml:space="preserve">Altar plates</t>
  </si>
  <si>
    <t xml:space="preserve">Main · Altar</t>
  </si>
  <si>
    <t xml:space="preserve">obj_altar_plates.png</t>
  </si>
  <si>
    <t xml:space="preserve">Athame</t>
  </si>
  <si>
    <t xml:space="preserve">obj_athame.png</t>
  </si>
  <si>
    <t xml:space="preserve">Boline</t>
  </si>
  <si>
    <t xml:space="preserve">obj_boline.png</t>
  </si>
  <si>
    <t xml:space="preserve">Pentacle</t>
  </si>
  <si>
    <t xml:space="preserve">obj_pentacle.png</t>
  </si>
  <si>
    <t xml:space="preserve">Candle holder</t>
  </si>
  <si>
    <t xml:space="preserve">obj_candle_holder.png</t>
  </si>
  <si>
    <t xml:space="preserve">Tarot spread cloth</t>
  </si>
  <si>
    <t xml:space="preserve">obj_tarot_spread_cloth.png</t>
  </si>
  <si>
    <t xml:space="preserve">Bookshelf</t>
  </si>
  <si>
    <t xml:space="preserve">obj_bookshelf.png</t>
  </si>
  <si>
    <t xml:space="preserve">Shop counter</t>
  </si>
  <si>
    <t xml:space="preserve">obj_shop_counter.png</t>
  </si>
  <si>
    <t xml:space="preserve">Cauldron</t>
  </si>
  <si>
    <t xml:space="preserve">obj_cauldron.png</t>
  </si>
  <si>
    <t xml:space="preserve">Mortar &amp; pestle</t>
  </si>
  <si>
    <t xml:space="preserve">obj_mortar_pestle.png</t>
  </si>
  <si>
    <t xml:space="preserve">Oil infuser</t>
  </si>
  <si>
    <t xml:space="preserve">obj_oil_infuser.png</t>
  </si>
  <si>
    <t xml:space="preserve">Stove</t>
  </si>
  <si>
    <t xml:space="preserve">obj_stove.png</t>
  </si>
  <si>
    <t xml:space="preserve">Oven</t>
  </si>
  <si>
    <t xml:space="preserve">obj_oven.png</t>
  </si>
  <si>
    <t xml:space="preserve">Kettle</t>
  </si>
  <si>
    <t xml:space="preserve">obj_kettle.png</t>
  </si>
  <si>
    <t xml:space="preserve">Double boiler</t>
  </si>
  <si>
    <t xml:space="preserve">obj_double_boiler.png</t>
  </si>
  <si>
    <t xml:space="preserve">Soap &amp; cookie moulds</t>
  </si>
  <si>
    <t xml:space="preserve">obj_soap_cookie_moulds.png</t>
  </si>
  <si>
    <t xml:space="preserve">Herb drying rack</t>
  </si>
  <si>
    <t xml:space="preserve">obj_herb_drying_rack.png</t>
  </si>
  <si>
    <t xml:space="preserve">Water bottles</t>
  </si>
  <si>
    <t xml:space="preserve">obj_water_bottles.png</t>
  </si>
  <si>
    <t xml:space="preserve">Bottle label drawer</t>
  </si>
  <si>
    <t xml:space="preserve">obj_bottle_label_drawer.png</t>
  </si>
  <si>
    <t xml:space="preserve">Crystal shelf</t>
  </si>
  <si>
    <t xml:space="preserve">Right</t>
  </si>
  <si>
    <t xml:space="preserve">obj_crystal_shelf.png</t>
  </si>
  <si>
    <t xml:space="preserve">Candle shelf</t>
  </si>
  <si>
    <t xml:space="preserve">obj_candle_shelf.png</t>
  </si>
  <si>
    <t xml:space="preserve">Tarot deck box</t>
  </si>
  <si>
    <t xml:space="preserve">obj_tarot_deck_box.png</t>
  </si>
  <si>
    <t xml:space="preserve">Animal gift cabinet</t>
  </si>
  <si>
    <t xml:space="preserve">obj_animal_gift_cabinet.png</t>
  </si>
  <si>
    <t xml:space="preserve">Button tin</t>
  </si>
  <si>
    <t xml:space="preserve">obj_button_tin.png</t>
  </si>
  <si>
    <t xml:space="preserve">Thread drawer</t>
  </si>
  <si>
    <t xml:space="preserve">obj_thread_drawer.png</t>
  </si>
  <si>
    <t xml:space="preserve">The Grimoire of Days</t>
  </si>
  <si>
    <t xml:space="preserve">obj_the_grimoire_of_days.png</t>
  </si>
  <si>
    <t xml:space="preserve">The Gentle Bestiary</t>
  </si>
  <si>
    <t xml:space="preserve">obj_the_gentle_bestiary.png</t>
  </si>
  <si>
    <t xml:space="preserve">The Herbiary</t>
  </si>
  <si>
    <t xml:space="preserve">obj_the_herbiary.png</t>
  </si>
  <si>
    <t xml:space="preserve">The Crystal Almanac</t>
  </si>
  <si>
    <t xml:space="preserve">obj_the_crystal_almanac.png</t>
  </si>
  <si>
    <t xml:space="preserve">The Sky &amp; Weather Almanac</t>
  </si>
  <si>
    <t xml:space="preserve">obj_the_sky_weather_almanac.png</t>
  </si>
  <si>
    <t xml:space="preserve">The Tarot Companion</t>
  </si>
  <si>
    <t xml:space="preserve">obj_the_tarot_companion.png</t>
  </si>
  <si>
    <t xml:space="preserve">The Recipe Book</t>
  </si>
  <si>
    <t xml:space="preserve">obj_the_recipe_book.png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</si>
</sst>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3478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95F73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34784"/>
        <bgColor rgb="FF695F73"/>
      </patternFill>
    </fill>
    <fill>
      <patternFill patternType="solid">
        <fgColor rgb="FFFFF7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2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63478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CC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4C7C7"/>
        </patternFill>
      </fill>
    </dxf>
    <dxf>
      <fill>
        <patternFill patternType="solid">
          <fgColor rgb="FFF4C7C7"/>
          <bgColor rgb="FF000000"/>
        </patternFill>
      </fill>
    </dxf>
    <dxf>
      <fill>
        <patternFill>
          <bgColor rgb="FFF4C7C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CC"/>
      <rgbColor rgb="FFCCFFFF"/>
      <rgbColor rgb="FF660066"/>
      <rgbColor rgb="FFFF8080"/>
      <rgbColor rgb="FF0066CC"/>
      <rgbColor rgb="FFD9D2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7"/>
      <rgbColor rgb="FF3366FF"/>
      <rgbColor rgb="FF33CCCC"/>
      <rgbColor rgb="FF99CC00"/>
      <rgbColor rgb="FFFFCC00"/>
      <rgbColor rgb="FFFF9900"/>
      <rgbColor rgb="FFFF6600"/>
      <rgbColor rgb="FF695F73"/>
      <rgbColor rgb="FF969696"/>
      <rgbColor rgb="FF003366"/>
      <rgbColor rgb="FF339966"/>
      <rgbColor rgb="FF003300"/>
      <rgbColor rgb="FF333300"/>
      <rgbColor rgb="FF993300"/>
      <rgbColor rgb="FF993366"/>
      <rgbColor rgb="FF63478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0"/>
    <col collapsed="false" customWidth="true" hidden="false" outlineLevel="0" max="4" min="4" style="1" width="20"/>
    <col collapsed="false" customWidth="true" hidden="false" outlineLevel="0" max="6" min="5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true" outlineLevel="0" collapsed="false">
      <c r="A5" s="5" t="s">
        <v>8</v>
      </c>
      <c r="B5" s="5" t="n">
        <f aca="false">COUNTA(Ingredients!F:F)-1</f>
        <v>258</v>
      </c>
      <c r="C5" s="5" t="n">
        <f aca="false">COUNTIF(Ingredients!F:F,"Done")</f>
        <v>0</v>
      </c>
      <c r="D5" s="5" t="n">
        <f aca="false">COUNTIF(Ingredients!F:F,"In progress")+COUNTIF(Ingredients!F:F,"Sketch")</f>
        <v>0</v>
      </c>
      <c r="E5" s="5" t="n">
        <f aca="false">COUNTIF(Ingredients!F:F,"To do")</f>
        <v>258</v>
      </c>
      <c r="F5" s="6" t="n">
        <f aca="false">IF(B5=0,0,C5/B5)</f>
        <v>0</v>
      </c>
    </row>
    <row r="6" customFormat="false" ht="15" hidden="false" customHeight="true" outlineLevel="0" collapsed="false">
      <c r="A6" s="5" t="s">
        <v>9</v>
      </c>
      <c r="B6" s="5" t="n">
        <f aca="false">COUNTA(Candles!D:D)-1</f>
        <v>15</v>
      </c>
      <c r="C6" s="5" t="n">
        <f aca="false">COUNTIF(Candles!D:D,"Done")</f>
        <v>0</v>
      </c>
      <c r="D6" s="5" t="n">
        <f aca="false">COUNTIF(Candles!D:D,"In progress")+COUNTIF(Candles!D:D,"Sketch")</f>
        <v>0</v>
      </c>
      <c r="E6" s="5" t="n">
        <f aca="false">COUNTIF(Candles!D:D,"To do")</f>
        <v>15</v>
      </c>
      <c r="F6" s="6" t="n">
        <f aca="false">IF(B6=0,0,C6/B6)</f>
        <v>0</v>
      </c>
    </row>
    <row r="7" customFormat="false" ht="15" hidden="false" customHeight="true" outlineLevel="0" collapsed="false">
      <c r="A7" s="5" t="s">
        <v>10</v>
      </c>
      <c r="B7" s="5" t="n">
        <f aca="false">COUNTA(Tarot!D:D)-1</f>
        <v>22</v>
      </c>
      <c r="C7" s="5" t="n">
        <f aca="false">COUNTIF(Tarot!D:D,"Done")</f>
        <v>0</v>
      </c>
      <c r="D7" s="5" t="n">
        <f aca="false">COUNTIF(Tarot!D:D,"In progress")+COUNTIF(Tarot!D:D,"Sketch")</f>
        <v>0</v>
      </c>
      <c r="E7" s="5" t="n">
        <f aca="false">COUNTIF(Tarot!D:D,"To do")</f>
        <v>22</v>
      </c>
      <c r="F7" s="6" t="n">
        <f aca="false">IF(B7=0,0,C7/B7)</f>
        <v>0</v>
      </c>
    </row>
    <row r="8" customFormat="false" ht="15" hidden="false" customHeight="true" outlineLevel="0" collapsed="false">
      <c r="A8" s="5" t="s">
        <v>11</v>
      </c>
      <c r="B8" s="5" t="n">
        <f aca="false">COUNTA('Condition Icons'!D:D)-1</f>
        <v>52</v>
      </c>
      <c r="C8" s="5" t="n">
        <f aca="false">COUNTIF('Condition Icons'!D:D,"Done")</f>
        <v>0</v>
      </c>
      <c r="D8" s="5" t="n">
        <f aca="false">COUNTIF('Condition Icons'!D:D,"In progress")+COUNTIF('Condition Icons'!D:D,"Sketch")</f>
        <v>0</v>
      </c>
      <c r="E8" s="5" t="n">
        <f aca="false">COUNTIF('Condition Icons'!D:D,"To do")</f>
        <v>52</v>
      </c>
      <c r="F8" s="6" t="n">
        <f aca="false">IF(B8=0,0,C8/B8)</f>
        <v>0</v>
      </c>
    </row>
    <row r="9" customFormat="false" ht="15" hidden="false" customHeight="true" outlineLevel="0" collapsed="false">
      <c r="A9" s="5" t="s">
        <v>12</v>
      </c>
      <c r="B9" s="5" t="n">
        <f aca="false">COUNTA('Spell Products'!D:D)-1</f>
        <v>25</v>
      </c>
      <c r="C9" s="5" t="n">
        <f aca="false">COUNTIF('Spell Products'!D:D,"Done")</f>
        <v>0</v>
      </c>
      <c r="D9" s="5" t="n">
        <f aca="false">COUNTIF('Spell Products'!D:D,"In progress")+COUNTIF('Spell Products'!D:D,"Sketch")</f>
        <v>0</v>
      </c>
      <c r="E9" s="5" t="n">
        <f aca="false">COUNTIF('Spell Products'!D:D,"To do")</f>
        <v>25</v>
      </c>
      <c r="F9" s="6" t="n">
        <f aca="false">IF(B9=0,0,C9/B9)</f>
        <v>0</v>
      </c>
    </row>
    <row r="10" customFormat="false" ht="15" hidden="false" customHeight="true" outlineLevel="0" collapsed="false">
      <c r="A10" s="5" t="s">
        <v>13</v>
      </c>
      <c r="B10" s="5" t="n">
        <f aca="false">COUNTA('Altar, Tools &amp; Books'!D:D)-1</f>
        <v>32</v>
      </c>
      <c r="C10" s="5" t="n">
        <f aca="false">COUNTIF('Altar, Tools &amp; Books'!D:D,"Done")</f>
        <v>0</v>
      </c>
      <c r="D10" s="5" t="n">
        <f aca="false">COUNTIF('Altar, Tools &amp; Books'!D:D,"In progress")+COUNTIF('Altar, Tools &amp; Books'!D:D,"Sketch")</f>
        <v>0</v>
      </c>
      <c r="E10" s="5" t="n">
        <f aca="false">COUNTIF('Altar, Tools &amp; Books'!D:D,"To do")</f>
        <v>32</v>
      </c>
      <c r="F10" s="6" t="n">
        <f aca="false">IF(B10=0,0,C10/B10)</f>
        <v>0</v>
      </c>
    </row>
    <row r="11" customFormat="false" ht="15" hidden="false" customHeight="true" outlineLevel="0" collapsed="false">
      <c r="A11" s="7" t="s">
        <v>14</v>
      </c>
      <c r="B11" s="5" t="n">
        <f aca="false">SUM(B5:B10)</f>
        <v>404</v>
      </c>
      <c r="C11" s="5" t="n">
        <f aca="false">SUM(C5:C10)</f>
        <v>0</v>
      </c>
      <c r="D11" s="5" t="n">
        <f aca="false">SUM(D5:D10)</f>
        <v>0</v>
      </c>
      <c r="E11" s="5" t="n">
        <f aca="false">SUM(E5:E10)</f>
        <v>404</v>
      </c>
      <c r="F11" s="6" t="n">
        <f aca="false">IF(B11=0,0,C11/B11)</f>
        <v>0</v>
      </c>
    </row>
    <row r="13" customFormat="false" ht="15" hidden="false" customHeight="true" outlineLevel="0" collapsed="false">
      <c r="A13" s="8" t="s">
        <v>15</v>
      </c>
    </row>
    <row r="15" customFormat="false" ht="15" hidden="false" customHeight="true" outlineLevel="0" collapsed="false">
      <c r="A15" s="5" t="s">
        <v>16</v>
      </c>
    </row>
    <row r="16" customFormat="false" ht="15" hidden="false" customHeight="true" outlineLevel="0" collapsed="false">
      <c r="A16" s="5" t="s">
        <v>17</v>
      </c>
    </row>
    <row r="17" customFormat="false" ht="15" hidden="false" customHeight="false" outlineLevel="0" collapsed="false">
      <c r="A17" s="9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60"/>
  </cols>
  <sheetData>
    <row r="1" customFormat="false" ht="21.75" hidden="false" customHeight="true" outlineLevel="0" collapsed="false">
      <c r="A1" s="10" t="s">
        <v>19</v>
      </c>
      <c r="B1" s="10" t="s">
        <v>20</v>
      </c>
      <c r="C1" s="10" t="s">
        <v>21</v>
      </c>
      <c r="D1" s="10" t="s">
        <v>22</v>
      </c>
      <c r="E1" s="10" t="s">
        <v>23</v>
      </c>
    </row>
    <row r="2" customFormat="false" ht="15" hidden="false" customHeight="true" outlineLevel="0" collapsed="false">
      <c r="A2" s="5" t="n">
        <v>1</v>
      </c>
      <c r="B2" s="5" t="s">
        <v>24</v>
      </c>
      <c r="C2" s="5" t="s">
        <v>25</v>
      </c>
      <c r="D2" s="5" t="s">
        <v>26</v>
      </c>
      <c r="E2" s="5" t="s">
        <v>26</v>
      </c>
    </row>
    <row r="3" customFormat="false" ht="15" hidden="false" customHeight="true" outlineLevel="0" collapsed="false">
      <c r="A3" s="5" t="n">
        <v>1</v>
      </c>
      <c r="B3" s="5" t="s">
        <v>24</v>
      </c>
      <c r="C3" s="5" t="s">
        <v>25</v>
      </c>
      <c r="D3" s="5" t="s">
        <v>27</v>
      </c>
      <c r="E3" s="5" t="s">
        <v>28</v>
      </c>
    </row>
    <row r="4" customFormat="false" ht="15" hidden="false" customHeight="true" outlineLevel="0" collapsed="false">
      <c r="A4" s="5" t="n">
        <v>1</v>
      </c>
      <c r="B4" s="5" t="s">
        <v>24</v>
      </c>
      <c r="C4" s="5" t="s">
        <v>25</v>
      </c>
      <c r="D4" s="5" t="s">
        <v>29</v>
      </c>
      <c r="E4" s="5" t="s">
        <v>30</v>
      </c>
    </row>
    <row r="5" customFormat="false" ht="15" hidden="false" customHeight="true" outlineLevel="0" collapsed="false">
      <c r="A5" s="5" t="n">
        <v>1</v>
      </c>
      <c r="B5" s="5" t="s">
        <v>24</v>
      </c>
      <c r="C5" s="5" t="s">
        <v>25</v>
      </c>
      <c r="D5" s="5" t="s">
        <v>31</v>
      </c>
      <c r="E5" s="5" t="s">
        <v>32</v>
      </c>
    </row>
    <row r="6" customFormat="false" ht="15" hidden="false" customHeight="true" outlineLevel="0" collapsed="false">
      <c r="A6" s="5" t="n">
        <v>1</v>
      </c>
      <c r="B6" s="5" t="s">
        <v>24</v>
      </c>
      <c r="C6" s="5" t="s">
        <v>25</v>
      </c>
      <c r="D6" s="5" t="s">
        <v>33</v>
      </c>
      <c r="E6" s="5" t="s">
        <v>34</v>
      </c>
    </row>
    <row r="7" customFormat="false" ht="15" hidden="false" customHeight="true" outlineLevel="0" collapsed="false">
      <c r="A7" s="5" t="n">
        <v>1</v>
      </c>
      <c r="B7" s="5" t="s">
        <v>24</v>
      </c>
      <c r="C7" s="5" t="s">
        <v>25</v>
      </c>
      <c r="D7" s="5" t="s">
        <v>35</v>
      </c>
      <c r="E7" s="5" t="s">
        <v>36</v>
      </c>
    </row>
    <row r="8" customFormat="false" ht="15" hidden="false" customHeight="true" outlineLevel="0" collapsed="false">
      <c r="A8" s="5" t="n">
        <v>2</v>
      </c>
      <c r="B8" s="5" t="s">
        <v>37</v>
      </c>
      <c r="C8" s="5" t="s">
        <v>38</v>
      </c>
      <c r="D8" s="5" t="s">
        <v>39</v>
      </c>
      <c r="E8" s="5" t="s">
        <v>39</v>
      </c>
    </row>
    <row r="9" customFormat="false" ht="15" hidden="false" customHeight="true" outlineLevel="0" collapsed="false">
      <c r="A9" s="5" t="n">
        <v>2</v>
      </c>
      <c r="B9" s="5" t="s">
        <v>37</v>
      </c>
      <c r="C9" s="5" t="s">
        <v>38</v>
      </c>
      <c r="D9" s="5" t="s">
        <v>40</v>
      </c>
      <c r="E9" s="5" t="s">
        <v>41</v>
      </c>
    </row>
    <row r="10" customFormat="false" ht="15" hidden="false" customHeight="true" outlineLevel="0" collapsed="false">
      <c r="A10" s="5" t="n">
        <v>2</v>
      </c>
      <c r="B10" s="5" t="s">
        <v>37</v>
      </c>
      <c r="C10" s="5" t="s">
        <v>38</v>
      </c>
      <c r="D10" s="5" t="s">
        <v>42</v>
      </c>
      <c r="E10" s="5" t="s">
        <v>43</v>
      </c>
    </row>
    <row r="11" customFormat="false" ht="15" hidden="false" customHeight="true" outlineLevel="0" collapsed="false">
      <c r="A11" s="5" t="n">
        <v>2</v>
      </c>
      <c r="B11" s="5" t="s">
        <v>37</v>
      </c>
      <c r="C11" s="5" t="s">
        <v>38</v>
      </c>
      <c r="D11" s="5" t="s">
        <v>35</v>
      </c>
      <c r="E11" s="5" t="s">
        <v>36</v>
      </c>
    </row>
    <row r="12" customFormat="false" ht="15" hidden="false" customHeight="true" outlineLevel="0" collapsed="false">
      <c r="A12" s="5" t="n">
        <v>2</v>
      </c>
      <c r="B12" s="5" t="s">
        <v>37</v>
      </c>
      <c r="C12" s="5" t="s">
        <v>38</v>
      </c>
      <c r="D12" s="5" t="s">
        <v>44</v>
      </c>
      <c r="E12" s="5" t="s">
        <v>45</v>
      </c>
    </row>
    <row r="13" customFormat="false" ht="15" hidden="false" customHeight="true" outlineLevel="0" collapsed="false">
      <c r="A13" s="5" t="n">
        <v>2</v>
      </c>
      <c r="B13" s="5" t="s">
        <v>37</v>
      </c>
      <c r="C13" s="5" t="s">
        <v>38</v>
      </c>
      <c r="D13" s="5" t="s">
        <v>46</v>
      </c>
      <c r="E13" s="5" t="s">
        <v>47</v>
      </c>
    </row>
    <row r="14" customFormat="false" ht="15" hidden="false" customHeight="true" outlineLevel="0" collapsed="false">
      <c r="A14" s="5" t="n">
        <v>2</v>
      </c>
      <c r="B14" s="5" t="s">
        <v>37</v>
      </c>
      <c r="C14" s="5" t="s">
        <v>38</v>
      </c>
      <c r="D14" s="5" t="s">
        <v>48</v>
      </c>
      <c r="E14" s="5" t="s">
        <v>49</v>
      </c>
    </row>
    <row r="15" customFormat="false" ht="15" hidden="false" customHeight="true" outlineLevel="0" collapsed="false">
      <c r="A15" s="5" t="n">
        <v>3</v>
      </c>
      <c r="B15" s="5" t="s">
        <v>50</v>
      </c>
      <c r="C15" s="5" t="s">
        <v>51</v>
      </c>
      <c r="D15" s="5" t="s">
        <v>52</v>
      </c>
      <c r="E15" s="5" t="s">
        <v>52</v>
      </c>
    </row>
    <row r="16" customFormat="false" ht="15" hidden="false" customHeight="true" outlineLevel="0" collapsed="false">
      <c r="A16" s="5" t="n">
        <v>3</v>
      </c>
      <c r="B16" s="5" t="s">
        <v>50</v>
      </c>
      <c r="C16" s="5" t="s">
        <v>51</v>
      </c>
      <c r="D16" s="5" t="s">
        <v>53</v>
      </c>
      <c r="E16" s="5" t="s">
        <v>54</v>
      </c>
    </row>
    <row r="17" customFormat="false" ht="15" hidden="false" customHeight="true" outlineLevel="0" collapsed="false">
      <c r="A17" s="5" t="n">
        <v>3</v>
      </c>
      <c r="B17" s="5" t="s">
        <v>50</v>
      </c>
      <c r="C17" s="5" t="s">
        <v>51</v>
      </c>
      <c r="D17" s="5" t="s">
        <v>55</v>
      </c>
      <c r="E17" s="5" t="s">
        <v>56</v>
      </c>
    </row>
    <row r="18" customFormat="false" ht="15" hidden="false" customHeight="true" outlineLevel="0" collapsed="false">
      <c r="A18" s="5" t="n">
        <v>3</v>
      </c>
      <c r="B18" s="5" t="s">
        <v>50</v>
      </c>
      <c r="C18" s="5" t="s">
        <v>51</v>
      </c>
      <c r="D18" s="5" t="s">
        <v>57</v>
      </c>
      <c r="E18" s="5" t="s">
        <v>58</v>
      </c>
    </row>
    <row r="19" customFormat="false" ht="15" hidden="false" customHeight="true" outlineLevel="0" collapsed="false">
      <c r="A19" s="5" t="n">
        <v>3</v>
      </c>
      <c r="B19" s="5" t="s">
        <v>50</v>
      </c>
      <c r="C19" s="5" t="s">
        <v>51</v>
      </c>
      <c r="D19" s="5" t="s">
        <v>59</v>
      </c>
      <c r="E19" s="5" t="s">
        <v>60</v>
      </c>
    </row>
    <row r="20" customFormat="false" ht="15" hidden="false" customHeight="true" outlineLevel="0" collapsed="false">
      <c r="A20" s="5" t="n">
        <v>3</v>
      </c>
      <c r="B20" s="5" t="s">
        <v>50</v>
      </c>
      <c r="C20" s="5" t="s">
        <v>51</v>
      </c>
      <c r="D20" s="5" t="s">
        <v>61</v>
      </c>
      <c r="E20" s="5" t="s">
        <v>62</v>
      </c>
    </row>
    <row r="21" customFormat="false" ht="15" hidden="false" customHeight="true" outlineLevel="0" collapsed="false">
      <c r="A21" s="5" t="n">
        <v>3</v>
      </c>
      <c r="B21" s="5" t="s">
        <v>50</v>
      </c>
      <c r="C21" s="5" t="s">
        <v>51</v>
      </c>
      <c r="D21" s="5" t="s">
        <v>42</v>
      </c>
      <c r="E21" s="5" t="s">
        <v>62</v>
      </c>
    </row>
    <row r="22" customFormat="false" ht="15" hidden="false" customHeight="true" outlineLevel="0" collapsed="false">
      <c r="A22" s="5" t="n">
        <v>4</v>
      </c>
      <c r="B22" s="5" t="s">
        <v>63</v>
      </c>
      <c r="C22" s="5" t="s">
        <v>64</v>
      </c>
      <c r="D22" s="5" t="s">
        <v>65</v>
      </c>
      <c r="E22" s="5" t="s">
        <v>65</v>
      </c>
    </row>
    <row r="23" customFormat="false" ht="15" hidden="false" customHeight="true" outlineLevel="0" collapsed="false">
      <c r="A23" s="5" t="n">
        <v>4</v>
      </c>
      <c r="B23" s="5" t="s">
        <v>63</v>
      </c>
      <c r="C23" s="5" t="s">
        <v>64</v>
      </c>
      <c r="D23" s="5" t="s">
        <v>66</v>
      </c>
      <c r="E23" s="5" t="s">
        <v>67</v>
      </c>
    </row>
    <row r="24" customFormat="false" ht="15" hidden="false" customHeight="true" outlineLevel="0" collapsed="false">
      <c r="A24" s="5" t="n">
        <v>4</v>
      </c>
      <c r="B24" s="5" t="s">
        <v>63</v>
      </c>
      <c r="C24" s="5" t="s">
        <v>64</v>
      </c>
      <c r="D24" s="5" t="s">
        <v>68</v>
      </c>
      <c r="E24" s="5" t="s">
        <v>69</v>
      </c>
    </row>
    <row r="25" customFormat="false" ht="15" hidden="false" customHeight="true" outlineLevel="0" collapsed="false">
      <c r="A25" s="5" t="n">
        <v>4</v>
      </c>
      <c r="B25" s="5" t="s">
        <v>63</v>
      </c>
      <c r="C25" s="5" t="s">
        <v>64</v>
      </c>
      <c r="D25" s="5" t="s">
        <v>70</v>
      </c>
      <c r="E25" s="5" t="s">
        <v>71</v>
      </c>
    </row>
    <row r="26" customFormat="false" ht="15" hidden="false" customHeight="true" outlineLevel="0" collapsed="false">
      <c r="A26" s="5" t="n">
        <v>4</v>
      </c>
      <c r="B26" s="5" t="s">
        <v>63</v>
      </c>
      <c r="C26" s="5" t="s">
        <v>64</v>
      </c>
      <c r="D26" s="5" t="s">
        <v>72</v>
      </c>
      <c r="E26" s="5" t="s">
        <v>73</v>
      </c>
    </row>
    <row r="27" customFormat="false" ht="15" hidden="false" customHeight="true" outlineLevel="0" collapsed="false">
      <c r="A27" s="5" t="n">
        <v>4</v>
      </c>
      <c r="B27" s="5" t="s">
        <v>63</v>
      </c>
      <c r="C27" s="5" t="s">
        <v>64</v>
      </c>
      <c r="D27" s="5" t="s">
        <v>74</v>
      </c>
      <c r="E27" s="5" t="s">
        <v>75</v>
      </c>
    </row>
    <row r="28" customFormat="false" ht="15" hidden="false" customHeight="true" outlineLevel="0" collapsed="false">
      <c r="A28" s="5" t="n">
        <v>5</v>
      </c>
      <c r="B28" s="5" t="s">
        <v>76</v>
      </c>
      <c r="C28" s="5" t="s">
        <v>77</v>
      </c>
      <c r="D28" s="5" t="s">
        <v>55</v>
      </c>
      <c r="E28" s="5" t="s">
        <v>55</v>
      </c>
    </row>
    <row r="29" customFormat="false" ht="15" hidden="false" customHeight="true" outlineLevel="0" collapsed="false">
      <c r="A29" s="5" t="n">
        <v>5</v>
      </c>
      <c r="B29" s="5" t="s">
        <v>76</v>
      </c>
      <c r="C29" s="5" t="s">
        <v>77</v>
      </c>
      <c r="D29" s="5" t="s">
        <v>78</v>
      </c>
      <c r="E29" s="5" t="s">
        <v>78</v>
      </c>
    </row>
    <row r="30" customFormat="false" ht="15" hidden="false" customHeight="true" outlineLevel="0" collapsed="false">
      <c r="A30" s="5" t="n">
        <v>5</v>
      </c>
      <c r="B30" s="5" t="s">
        <v>76</v>
      </c>
      <c r="C30" s="5" t="s">
        <v>77</v>
      </c>
      <c r="D30" s="5" t="s">
        <v>27</v>
      </c>
      <c r="E30" s="5" t="s">
        <v>28</v>
      </c>
    </row>
    <row r="31" customFormat="false" ht="15" hidden="false" customHeight="true" outlineLevel="0" collapsed="false">
      <c r="A31" s="5" t="n">
        <v>5</v>
      </c>
      <c r="B31" s="5" t="s">
        <v>76</v>
      </c>
      <c r="C31" s="5" t="s">
        <v>77</v>
      </c>
      <c r="D31" s="5" t="s">
        <v>79</v>
      </c>
      <c r="E31" s="5" t="s">
        <v>80</v>
      </c>
    </row>
    <row r="32" customFormat="false" ht="15" hidden="false" customHeight="true" outlineLevel="0" collapsed="false">
      <c r="A32" s="5" t="n">
        <v>5</v>
      </c>
      <c r="B32" s="5" t="s">
        <v>76</v>
      </c>
      <c r="C32" s="5" t="s">
        <v>77</v>
      </c>
      <c r="D32" s="5" t="s">
        <v>81</v>
      </c>
      <c r="E32" s="5" t="s">
        <v>82</v>
      </c>
    </row>
    <row r="33" customFormat="false" ht="15" hidden="false" customHeight="true" outlineLevel="0" collapsed="false">
      <c r="A33" s="5" t="n">
        <v>5</v>
      </c>
      <c r="B33" s="5" t="s">
        <v>76</v>
      </c>
      <c r="C33" s="5" t="s">
        <v>77</v>
      </c>
      <c r="D33" s="5" t="s">
        <v>35</v>
      </c>
      <c r="E33" s="5" t="s">
        <v>36</v>
      </c>
    </row>
    <row r="34" customFormat="false" ht="15" hidden="false" customHeight="true" outlineLevel="0" collapsed="false">
      <c r="A34" s="5" t="n">
        <v>6</v>
      </c>
      <c r="B34" s="5" t="s">
        <v>83</v>
      </c>
      <c r="C34" s="5" t="s">
        <v>84</v>
      </c>
      <c r="D34" s="5" t="s">
        <v>85</v>
      </c>
      <c r="E34" s="5" t="s">
        <v>86</v>
      </c>
    </row>
    <row r="35" customFormat="false" ht="15" hidden="false" customHeight="true" outlineLevel="0" collapsed="false">
      <c r="A35" s="5" t="n">
        <v>6</v>
      </c>
      <c r="B35" s="5" t="s">
        <v>83</v>
      </c>
      <c r="C35" s="5" t="s">
        <v>84</v>
      </c>
      <c r="D35" s="5" t="s">
        <v>79</v>
      </c>
      <c r="E35" s="5" t="s">
        <v>80</v>
      </c>
    </row>
    <row r="36" customFormat="false" ht="15" hidden="false" customHeight="true" outlineLevel="0" collapsed="false">
      <c r="A36" s="5" t="n">
        <v>6</v>
      </c>
      <c r="B36" s="5" t="s">
        <v>83</v>
      </c>
      <c r="C36" s="5" t="s">
        <v>84</v>
      </c>
      <c r="D36" s="5" t="s">
        <v>87</v>
      </c>
      <c r="E36" s="5" t="s">
        <v>88</v>
      </c>
    </row>
    <row r="37" customFormat="false" ht="15" hidden="false" customHeight="true" outlineLevel="0" collapsed="false">
      <c r="A37" s="5" t="n">
        <v>6</v>
      </c>
      <c r="B37" s="5" t="s">
        <v>83</v>
      </c>
      <c r="C37" s="5" t="s">
        <v>84</v>
      </c>
      <c r="D37" s="5" t="s">
        <v>89</v>
      </c>
      <c r="E37" s="5" t="s">
        <v>90</v>
      </c>
    </row>
    <row r="38" customFormat="false" ht="15" hidden="false" customHeight="true" outlineLevel="0" collapsed="false">
      <c r="A38" s="5" t="n">
        <v>6</v>
      </c>
      <c r="B38" s="5" t="s">
        <v>83</v>
      </c>
      <c r="C38" s="5" t="s">
        <v>84</v>
      </c>
      <c r="D38" s="5" t="s">
        <v>91</v>
      </c>
      <c r="E38" s="5" t="s">
        <v>92</v>
      </c>
    </row>
    <row r="39" customFormat="false" ht="15" hidden="false" customHeight="true" outlineLevel="0" collapsed="false">
      <c r="A39" s="5" t="n">
        <v>6</v>
      </c>
      <c r="B39" s="5" t="s">
        <v>83</v>
      </c>
      <c r="C39" s="5" t="s">
        <v>84</v>
      </c>
      <c r="D39" s="5" t="s">
        <v>93</v>
      </c>
      <c r="E39" s="5" t="s">
        <v>94</v>
      </c>
    </row>
    <row r="40" customFormat="false" ht="15" hidden="false" customHeight="true" outlineLevel="0" collapsed="false">
      <c r="A40" s="5" t="n">
        <v>7</v>
      </c>
      <c r="B40" s="5" t="s">
        <v>95</v>
      </c>
      <c r="C40" s="5" t="s">
        <v>96</v>
      </c>
      <c r="D40" s="5" t="s">
        <v>97</v>
      </c>
      <c r="E40" s="5" t="s">
        <v>98</v>
      </c>
    </row>
    <row r="41" customFormat="false" ht="15" hidden="false" customHeight="true" outlineLevel="0" collapsed="false">
      <c r="A41" s="5" t="n">
        <v>7</v>
      </c>
      <c r="B41" s="5" t="s">
        <v>95</v>
      </c>
      <c r="C41" s="5" t="s">
        <v>96</v>
      </c>
      <c r="D41" s="5" t="s">
        <v>27</v>
      </c>
      <c r="E41" s="5" t="s">
        <v>28</v>
      </c>
    </row>
    <row r="42" customFormat="false" ht="15" hidden="false" customHeight="true" outlineLevel="0" collapsed="false">
      <c r="A42" s="5" t="n">
        <v>7</v>
      </c>
      <c r="B42" s="5" t="s">
        <v>95</v>
      </c>
      <c r="C42" s="5" t="s">
        <v>96</v>
      </c>
      <c r="D42" s="5" t="s">
        <v>44</v>
      </c>
      <c r="E42" s="5" t="s">
        <v>99</v>
      </c>
    </row>
    <row r="43" customFormat="false" ht="15" hidden="false" customHeight="true" outlineLevel="0" collapsed="false">
      <c r="A43" s="5" t="n">
        <v>7</v>
      </c>
      <c r="B43" s="5" t="s">
        <v>95</v>
      </c>
      <c r="C43" s="5" t="s">
        <v>96</v>
      </c>
      <c r="D43" s="5" t="s">
        <v>100</v>
      </c>
      <c r="E43" s="5" t="s">
        <v>101</v>
      </c>
    </row>
    <row r="44" customFormat="false" ht="15" hidden="false" customHeight="true" outlineLevel="0" collapsed="false">
      <c r="A44" s="5" t="n">
        <v>7</v>
      </c>
      <c r="B44" s="5" t="s">
        <v>95</v>
      </c>
      <c r="C44" s="5" t="s">
        <v>96</v>
      </c>
      <c r="D44" s="5" t="s">
        <v>35</v>
      </c>
      <c r="E44" s="5" t="s">
        <v>36</v>
      </c>
    </row>
    <row r="45" customFormat="false" ht="15" hidden="false" customHeight="true" outlineLevel="0" collapsed="false">
      <c r="A45" s="5" t="n">
        <v>7</v>
      </c>
      <c r="B45" s="5" t="s">
        <v>95</v>
      </c>
      <c r="C45" s="5" t="s">
        <v>96</v>
      </c>
      <c r="D45" s="5" t="s">
        <v>102</v>
      </c>
      <c r="E45" s="5" t="s">
        <v>103</v>
      </c>
    </row>
    <row r="46" customFormat="false" ht="15" hidden="false" customHeight="true" outlineLevel="0" collapsed="false">
      <c r="A46" s="5" t="n">
        <v>7</v>
      </c>
      <c r="B46" s="5" t="s">
        <v>95</v>
      </c>
      <c r="C46" s="5" t="s">
        <v>96</v>
      </c>
      <c r="D46" s="5" t="s">
        <v>61</v>
      </c>
      <c r="E46" s="5" t="s">
        <v>104</v>
      </c>
    </row>
    <row r="47" customFormat="false" ht="15" hidden="false" customHeight="true" outlineLevel="0" collapsed="false">
      <c r="A47" s="5" t="n">
        <v>8</v>
      </c>
      <c r="B47" s="5" t="s">
        <v>105</v>
      </c>
      <c r="C47" s="5" t="s">
        <v>106</v>
      </c>
      <c r="D47" s="5" t="s">
        <v>26</v>
      </c>
      <c r="E47" s="5" t="s">
        <v>26</v>
      </c>
    </row>
    <row r="48" customFormat="false" ht="15" hidden="false" customHeight="true" outlineLevel="0" collapsed="false">
      <c r="A48" s="5" t="n">
        <v>8</v>
      </c>
      <c r="B48" s="5" t="s">
        <v>105</v>
      </c>
      <c r="C48" s="5" t="s">
        <v>106</v>
      </c>
      <c r="D48" s="5" t="s">
        <v>107</v>
      </c>
      <c r="E48" s="5" t="s">
        <v>108</v>
      </c>
    </row>
    <row r="49" customFormat="false" ht="15" hidden="false" customHeight="true" outlineLevel="0" collapsed="false">
      <c r="A49" s="5" t="n">
        <v>8</v>
      </c>
      <c r="B49" s="5" t="s">
        <v>105</v>
      </c>
      <c r="C49" s="5" t="s">
        <v>106</v>
      </c>
      <c r="D49" s="5" t="s">
        <v>100</v>
      </c>
      <c r="E49" s="5" t="s">
        <v>101</v>
      </c>
    </row>
    <row r="50" customFormat="false" ht="15" hidden="false" customHeight="true" outlineLevel="0" collapsed="false">
      <c r="A50" s="5" t="n">
        <v>8</v>
      </c>
      <c r="B50" s="5" t="s">
        <v>105</v>
      </c>
      <c r="C50" s="5" t="s">
        <v>106</v>
      </c>
      <c r="D50" s="5" t="s">
        <v>72</v>
      </c>
      <c r="E50" s="5" t="s">
        <v>73</v>
      </c>
    </row>
    <row r="51" customFormat="false" ht="15" hidden="false" customHeight="true" outlineLevel="0" collapsed="false">
      <c r="A51" s="5" t="n">
        <v>8</v>
      </c>
      <c r="B51" s="5" t="s">
        <v>105</v>
      </c>
      <c r="C51" s="5" t="s">
        <v>106</v>
      </c>
      <c r="D51" s="5" t="s">
        <v>70</v>
      </c>
      <c r="E51" s="5" t="s">
        <v>71</v>
      </c>
    </row>
    <row r="52" customFormat="false" ht="15" hidden="false" customHeight="true" outlineLevel="0" collapsed="false">
      <c r="A52" s="5" t="n">
        <v>8</v>
      </c>
      <c r="B52" s="5" t="s">
        <v>105</v>
      </c>
      <c r="C52" s="5" t="s">
        <v>106</v>
      </c>
      <c r="D52" s="5" t="s">
        <v>33</v>
      </c>
      <c r="E52" s="5" t="s">
        <v>34</v>
      </c>
    </row>
    <row r="53" customFormat="false" ht="15" hidden="false" customHeight="true" outlineLevel="0" collapsed="false">
      <c r="A53" s="5" t="n">
        <v>9</v>
      </c>
      <c r="B53" s="5" t="s">
        <v>109</v>
      </c>
      <c r="C53" s="5" t="s">
        <v>110</v>
      </c>
      <c r="D53" s="5" t="s">
        <v>111</v>
      </c>
      <c r="E53" s="5" t="s">
        <v>111</v>
      </c>
    </row>
    <row r="54" customFormat="false" ht="15" hidden="false" customHeight="true" outlineLevel="0" collapsed="false">
      <c r="A54" s="5" t="n">
        <v>9</v>
      </c>
      <c r="B54" s="5" t="s">
        <v>109</v>
      </c>
      <c r="C54" s="5" t="s">
        <v>110</v>
      </c>
      <c r="D54" s="5" t="s">
        <v>112</v>
      </c>
      <c r="E54" s="5" t="s">
        <v>113</v>
      </c>
    </row>
    <row r="55" customFormat="false" ht="15" hidden="false" customHeight="true" outlineLevel="0" collapsed="false">
      <c r="A55" s="5" t="n">
        <v>9</v>
      </c>
      <c r="B55" s="5" t="s">
        <v>109</v>
      </c>
      <c r="C55" s="5" t="s">
        <v>110</v>
      </c>
      <c r="D55" s="5" t="s">
        <v>114</v>
      </c>
      <c r="E55" s="5" t="s">
        <v>115</v>
      </c>
    </row>
    <row r="56" customFormat="false" ht="15" hidden="false" customHeight="true" outlineLevel="0" collapsed="false">
      <c r="A56" s="5" t="n">
        <v>9</v>
      </c>
      <c r="B56" s="5" t="s">
        <v>109</v>
      </c>
      <c r="C56" s="5" t="s">
        <v>110</v>
      </c>
      <c r="D56" s="5" t="s">
        <v>116</v>
      </c>
      <c r="E56" s="5" t="s">
        <v>117</v>
      </c>
    </row>
    <row r="57" customFormat="false" ht="15" hidden="false" customHeight="true" outlineLevel="0" collapsed="false">
      <c r="A57" s="5" t="n">
        <v>9</v>
      </c>
      <c r="B57" s="5" t="s">
        <v>109</v>
      </c>
      <c r="C57" s="5" t="s">
        <v>110</v>
      </c>
      <c r="D57" s="5" t="s">
        <v>118</v>
      </c>
      <c r="E57" s="5" t="s">
        <v>119</v>
      </c>
    </row>
    <row r="58" customFormat="false" ht="15" hidden="false" customHeight="true" outlineLevel="0" collapsed="false">
      <c r="A58" s="5" t="n">
        <v>9</v>
      </c>
      <c r="B58" s="5" t="s">
        <v>109</v>
      </c>
      <c r="C58" s="5" t="s">
        <v>110</v>
      </c>
      <c r="D58" s="5" t="s">
        <v>120</v>
      </c>
      <c r="E58" s="5" t="s">
        <v>121</v>
      </c>
    </row>
    <row r="59" customFormat="false" ht="15" hidden="false" customHeight="true" outlineLevel="0" collapsed="false">
      <c r="A59" s="5" t="n">
        <v>9</v>
      </c>
      <c r="B59" s="5" t="s">
        <v>109</v>
      </c>
      <c r="C59" s="5" t="s">
        <v>110</v>
      </c>
      <c r="D59" s="5" t="s">
        <v>122</v>
      </c>
      <c r="E59" s="5" t="s">
        <v>123</v>
      </c>
    </row>
    <row r="60" customFormat="false" ht="15" hidden="false" customHeight="true" outlineLevel="0" collapsed="false">
      <c r="A60" s="5" t="n">
        <v>10</v>
      </c>
      <c r="B60" s="5" t="s">
        <v>124</v>
      </c>
      <c r="C60" s="5" t="s">
        <v>125</v>
      </c>
      <c r="D60" s="5" t="s">
        <v>126</v>
      </c>
      <c r="E60" s="5" t="s">
        <v>126</v>
      </c>
    </row>
    <row r="61" customFormat="false" ht="15" hidden="false" customHeight="true" outlineLevel="0" collapsed="false">
      <c r="A61" s="5" t="n">
        <v>10</v>
      </c>
      <c r="B61" s="5" t="s">
        <v>124</v>
      </c>
      <c r="C61" s="5" t="s">
        <v>125</v>
      </c>
      <c r="D61" s="5" t="s">
        <v>127</v>
      </c>
      <c r="E61" s="5" t="s">
        <v>128</v>
      </c>
    </row>
    <row r="62" customFormat="false" ht="15" hidden="false" customHeight="true" outlineLevel="0" collapsed="false">
      <c r="A62" s="5" t="n">
        <v>10</v>
      </c>
      <c r="B62" s="5" t="s">
        <v>124</v>
      </c>
      <c r="C62" s="5" t="s">
        <v>125</v>
      </c>
      <c r="D62" s="5" t="s">
        <v>129</v>
      </c>
      <c r="E62" s="5" t="s">
        <v>129</v>
      </c>
    </row>
    <row r="63" customFormat="false" ht="15" hidden="false" customHeight="true" outlineLevel="0" collapsed="false">
      <c r="A63" s="5" t="n">
        <v>10</v>
      </c>
      <c r="B63" s="5" t="s">
        <v>124</v>
      </c>
      <c r="C63" s="5" t="s">
        <v>125</v>
      </c>
      <c r="D63" s="5" t="s">
        <v>27</v>
      </c>
      <c r="E63" s="5" t="s">
        <v>28</v>
      </c>
    </row>
    <row r="64" customFormat="false" ht="15" hidden="false" customHeight="true" outlineLevel="0" collapsed="false">
      <c r="A64" s="5" t="n">
        <v>10</v>
      </c>
      <c r="B64" s="5" t="s">
        <v>124</v>
      </c>
      <c r="C64" s="5" t="s">
        <v>125</v>
      </c>
      <c r="D64" s="5" t="s">
        <v>130</v>
      </c>
      <c r="E64" s="5" t="s">
        <v>131</v>
      </c>
    </row>
    <row r="65" customFormat="false" ht="15" hidden="false" customHeight="true" outlineLevel="0" collapsed="false">
      <c r="A65" s="5" t="n">
        <v>10</v>
      </c>
      <c r="B65" s="5" t="s">
        <v>124</v>
      </c>
      <c r="C65" s="5" t="s">
        <v>125</v>
      </c>
      <c r="D65" s="5" t="s">
        <v>132</v>
      </c>
      <c r="E65" s="5" t="s">
        <v>133</v>
      </c>
    </row>
    <row r="66" customFormat="false" ht="15" hidden="false" customHeight="true" outlineLevel="0" collapsed="false">
      <c r="A66" s="5" t="n">
        <v>11</v>
      </c>
      <c r="B66" s="5" t="s">
        <v>134</v>
      </c>
      <c r="C66" s="5" t="s">
        <v>135</v>
      </c>
      <c r="D66" s="5" t="s">
        <v>29</v>
      </c>
      <c r="E66" s="5" t="s">
        <v>136</v>
      </c>
    </row>
    <row r="67" customFormat="false" ht="15" hidden="false" customHeight="true" outlineLevel="0" collapsed="false">
      <c r="A67" s="5" t="n">
        <v>11</v>
      </c>
      <c r="B67" s="5" t="s">
        <v>134</v>
      </c>
      <c r="C67" s="5" t="s">
        <v>135</v>
      </c>
      <c r="D67" s="5" t="s">
        <v>137</v>
      </c>
      <c r="E67" s="5" t="s">
        <v>138</v>
      </c>
    </row>
    <row r="68" customFormat="false" ht="15" hidden="false" customHeight="true" outlineLevel="0" collapsed="false">
      <c r="A68" s="5" t="n">
        <v>11</v>
      </c>
      <c r="B68" s="5" t="s">
        <v>134</v>
      </c>
      <c r="C68" s="5" t="s">
        <v>135</v>
      </c>
      <c r="D68" s="5" t="s">
        <v>139</v>
      </c>
      <c r="E68" s="5" t="s">
        <v>140</v>
      </c>
    </row>
    <row r="69" customFormat="false" ht="15" hidden="false" customHeight="true" outlineLevel="0" collapsed="false">
      <c r="A69" s="5" t="n">
        <v>11</v>
      </c>
      <c r="B69" s="5" t="s">
        <v>134</v>
      </c>
      <c r="C69" s="5" t="s">
        <v>135</v>
      </c>
      <c r="D69" s="5" t="s">
        <v>141</v>
      </c>
      <c r="E69" s="5" t="s">
        <v>142</v>
      </c>
    </row>
    <row r="70" customFormat="false" ht="15" hidden="false" customHeight="true" outlineLevel="0" collapsed="false">
      <c r="A70" s="5" t="n">
        <v>11</v>
      </c>
      <c r="B70" s="5" t="s">
        <v>134</v>
      </c>
      <c r="C70" s="5" t="s">
        <v>135</v>
      </c>
      <c r="D70" s="5" t="s">
        <v>31</v>
      </c>
      <c r="E70" s="5" t="s">
        <v>143</v>
      </c>
    </row>
    <row r="71" customFormat="false" ht="15" hidden="false" customHeight="true" outlineLevel="0" collapsed="false">
      <c r="A71" s="5" t="n">
        <v>11</v>
      </c>
      <c r="B71" s="5" t="s">
        <v>134</v>
      </c>
      <c r="C71" s="5" t="s">
        <v>135</v>
      </c>
      <c r="D71" s="5" t="s">
        <v>144</v>
      </c>
      <c r="E71" s="5" t="s">
        <v>145</v>
      </c>
    </row>
    <row r="72" customFormat="false" ht="15" hidden="false" customHeight="true" outlineLevel="0" collapsed="false">
      <c r="A72" s="5" t="n">
        <v>11</v>
      </c>
      <c r="B72" s="5" t="s">
        <v>134</v>
      </c>
      <c r="C72" s="5" t="s">
        <v>135</v>
      </c>
      <c r="D72" s="5" t="s">
        <v>27</v>
      </c>
      <c r="E72" s="5" t="s">
        <v>146</v>
      </c>
    </row>
    <row r="73" customFormat="false" ht="15" hidden="false" customHeight="true" outlineLevel="0" collapsed="false">
      <c r="A73" s="5" t="n">
        <v>12</v>
      </c>
      <c r="B73" s="5" t="s">
        <v>147</v>
      </c>
      <c r="C73" s="5" t="s">
        <v>148</v>
      </c>
      <c r="D73" s="5" t="s">
        <v>149</v>
      </c>
      <c r="E73" s="5" t="s">
        <v>149</v>
      </c>
    </row>
    <row r="74" customFormat="false" ht="15" hidden="false" customHeight="true" outlineLevel="0" collapsed="false">
      <c r="A74" s="5" t="n">
        <v>12</v>
      </c>
      <c r="B74" s="5" t="s">
        <v>147</v>
      </c>
      <c r="C74" s="5" t="s">
        <v>148</v>
      </c>
      <c r="D74" s="5" t="s">
        <v>26</v>
      </c>
      <c r="E74" s="5" t="s">
        <v>26</v>
      </c>
    </row>
    <row r="75" customFormat="false" ht="15" hidden="false" customHeight="true" outlineLevel="0" collapsed="false">
      <c r="A75" s="5" t="n">
        <v>12</v>
      </c>
      <c r="B75" s="5" t="s">
        <v>147</v>
      </c>
      <c r="C75" s="5" t="s">
        <v>148</v>
      </c>
      <c r="D75" s="5" t="s">
        <v>35</v>
      </c>
      <c r="E75" s="5" t="s">
        <v>36</v>
      </c>
    </row>
    <row r="76" customFormat="false" ht="15" hidden="false" customHeight="true" outlineLevel="0" collapsed="false">
      <c r="A76" s="5" t="n">
        <v>12</v>
      </c>
      <c r="B76" s="5" t="s">
        <v>147</v>
      </c>
      <c r="C76" s="5" t="s">
        <v>148</v>
      </c>
      <c r="D76" s="5" t="s">
        <v>42</v>
      </c>
      <c r="E76" s="5" t="s">
        <v>150</v>
      </c>
    </row>
    <row r="77" customFormat="false" ht="15" hidden="false" customHeight="true" outlineLevel="0" collapsed="false">
      <c r="A77" s="5" t="n">
        <v>12</v>
      </c>
      <c r="B77" s="5" t="s">
        <v>147</v>
      </c>
      <c r="C77" s="5" t="s">
        <v>148</v>
      </c>
      <c r="D77" s="5" t="s">
        <v>151</v>
      </c>
      <c r="E77" s="5" t="s">
        <v>152</v>
      </c>
    </row>
    <row r="78" customFormat="false" ht="15" hidden="false" customHeight="true" outlineLevel="0" collapsed="false">
      <c r="A78" s="5" t="n">
        <v>13</v>
      </c>
      <c r="B78" s="5" t="s">
        <v>153</v>
      </c>
      <c r="C78" s="5" t="s">
        <v>154</v>
      </c>
      <c r="D78" s="5" t="s">
        <v>72</v>
      </c>
      <c r="E78" s="5" t="s">
        <v>155</v>
      </c>
    </row>
    <row r="79" customFormat="false" ht="15" hidden="false" customHeight="true" outlineLevel="0" collapsed="false">
      <c r="A79" s="5" t="n">
        <v>13</v>
      </c>
      <c r="B79" s="5" t="s">
        <v>153</v>
      </c>
      <c r="C79" s="5" t="s">
        <v>154</v>
      </c>
      <c r="D79" s="5" t="s">
        <v>68</v>
      </c>
      <c r="E79" s="5" t="s">
        <v>69</v>
      </c>
    </row>
    <row r="80" customFormat="false" ht="15" hidden="false" customHeight="true" outlineLevel="0" collapsed="false">
      <c r="A80" s="5" t="n">
        <v>13</v>
      </c>
      <c r="B80" s="5" t="s">
        <v>153</v>
      </c>
      <c r="C80" s="5" t="s">
        <v>154</v>
      </c>
      <c r="D80" s="5" t="s">
        <v>156</v>
      </c>
      <c r="E80" s="5" t="s">
        <v>157</v>
      </c>
    </row>
    <row r="81" customFormat="false" ht="15" hidden="false" customHeight="true" outlineLevel="0" collapsed="false">
      <c r="A81" s="5" t="n">
        <v>13</v>
      </c>
      <c r="B81" s="5" t="s">
        <v>153</v>
      </c>
      <c r="C81" s="5" t="s">
        <v>154</v>
      </c>
      <c r="D81" s="5" t="s">
        <v>158</v>
      </c>
      <c r="E81" s="5" t="s">
        <v>159</v>
      </c>
    </row>
    <row r="82" customFormat="false" ht="15" hidden="false" customHeight="true" outlineLevel="0" collapsed="false">
      <c r="A82" s="5" t="n">
        <v>13</v>
      </c>
      <c r="B82" s="5" t="s">
        <v>153</v>
      </c>
      <c r="C82" s="5" t="s">
        <v>154</v>
      </c>
      <c r="D82" s="5" t="s">
        <v>160</v>
      </c>
      <c r="E82" s="5" t="s">
        <v>161</v>
      </c>
    </row>
    <row r="83" customFormat="false" ht="15" hidden="false" customHeight="true" outlineLevel="0" collapsed="false">
      <c r="A83" s="5" t="n">
        <v>14</v>
      </c>
      <c r="B83" s="5" t="s">
        <v>162</v>
      </c>
      <c r="C83" s="5" t="s">
        <v>163</v>
      </c>
      <c r="D83" s="5" t="s">
        <v>164</v>
      </c>
      <c r="E83" s="5" t="s">
        <v>164</v>
      </c>
    </row>
    <row r="84" customFormat="false" ht="15" hidden="false" customHeight="true" outlineLevel="0" collapsed="false">
      <c r="A84" s="5" t="n">
        <v>14</v>
      </c>
      <c r="B84" s="5" t="s">
        <v>162</v>
      </c>
      <c r="C84" s="5" t="s">
        <v>163</v>
      </c>
      <c r="D84" s="5" t="s">
        <v>40</v>
      </c>
      <c r="E84" s="5" t="s">
        <v>165</v>
      </c>
    </row>
    <row r="85" customFormat="false" ht="15" hidden="false" customHeight="true" outlineLevel="0" collapsed="false">
      <c r="A85" s="5" t="n">
        <v>14</v>
      </c>
      <c r="B85" s="5" t="s">
        <v>162</v>
      </c>
      <c r="C85" s="5" t="s">
        <v>163</v>
      </c>
      <c r="D85" s="5" t="s">
        <v>166</v>
      </c>
      <c r="E85" s="5" t="s">
        <v>167</v>
      </c>
    </row>
    <row r="86" customFormat="false" ht="15" hidden="false" customHeight="true" outlineLevel="0" collapsed="false">
      <c r="A86" s="5" t="n">
        <v>14</v>
      </c>
      <c r="B86" s="5" t="s">
        <v>162</v>
      </c>
      <c r="C86" s="5" t="s">
        <v>163</v>
      </c>
      <c r="D86" s="5" t="s">
        <v>168</v>
      </c>
      <c r="E86" s="5" t="s">
        <v>169</v>
      </c>
    </row>
    <row r="87" customFormat="false" ht="15" hidden="false" customHeight="true" outlineLevel="0" collapsed="false">
      <c r="A87" s="5" t="n">
        <v>14</v>
      </c>
      <c r="B87" s="5" t="s">
        <v>162</v>
      </c>
      <c r="C87" s="5" t="s">
        <v>163</v>
      </c>
      <c r="D87" s="5" t="s">
        <v>33</v>
      </c>
      <c r="E87" s="5" t="s">
        <v>34</v>
      </c>
    </row>
    <row r="88" customFormat="false" ht="15" hidden="false" customHeight="true" outlineLevel="0" collapsed="false">
      <c r="A88" s="5" t="n">
        <v>15</v>
      </c>
      <c r="B88" s="5" t="s">
        <v>170</v>
      </c>
      <c r="C88" s="5" t="s">
        <v>171</v>
      </c>
      <c r="D88" s="5" t="s">
        <v>172</v>
      </c>
      <c r="E88" s="5" t="s">
        <v>172</v>
      </c>
    </row>
    <row r="89" customFormat="false" ht="15" hidden="false" customHeight="true" outlineLevel="0" collapsed="false">
      <c r="A89" s="5" t="n">
        <v>15</v>
      </c>
      <c r="B89" s="5" t="s">
        <v>170</v>
      </c>
      <c r="C89" s="5" t="s">
        <v>171</v>
      </c>
      <c r="D89" s="5" t="s">
        <v>173</v>
      </c>
      <c r="E89" s="5" t="s">
        <v>174</v>
      </c>
    </row>
    <row r="90" customFormat="false" ht="15" hidden="false" customHeight="true" outlineLevel="0" collapsed="false">
      <c r="A90" s="5" t="n">
        <v>15</v>
      </c>
      <c r="B90" s="5" t="s">
        <v>170</v>
      </c>
      <c r="C90" s="5" t="s">
        <v>171</v>
      </c>
      <c r="D90" s="5" t="s">
        <v>26</v>
      </c>
      <c r="E90" s="5" t="s">
        <v>175</v>
      </c>
    </row>
    <row r="91" customFormat="false" ht="15" hidden="false" customHeight="true" outlineLevel="0" collapsed="false">
      <c r="A91" s="5" t="n">
        <v>15</v>
      </c>
      <c r="B91" s="5" t="s">
        <v>170</v>
      </c>
      <c r="C91" s="5" t="s">
        <v>171</v>
      </c>
      <c r="D91" s="5" t="s">
        <v>176</v>
      </c>
      <c r="E91" s="5" t="s">
        <v>177</v>
      </c>
    </row>
    <row r="92" customFormat="false" ht="15" hidden="false" customHeight="true" outlineLevel="0" collapsed="false">
      <c r="A92" s="5" t="n">
        <v>15</v>
      </c>
      <c r="B92" s="5" t="s">
        <v>170</v>
      </c>
      <c r="C92" s="5" t="s">
        <v>171</v>
      </c>
      <c r="D92" s="5" t="s">
        <v>178</v>
      </c>
      <c r="E92" s="5" t="s">
        <v>179</v>
      </c>
    </row>
    <row r="93" customFormat="false" ht="15" hidden="false" customHeight="true" outlineLevel="0" collapsed="false">
      <c r="A93" s="5" t="n">
        <v>16</v>
      </c>
      <c r="B93" s="5" t="s">
        <v>180</v>
      </c>
      <c r="C93" s="5" t="s">
        <v>181</v>
      </c>
      <c r="D93" s="5" t="s">
        <v>182</v>
      </c>
      <c r="E93" s="5" t="s">
        <v>182</v>
      </c>
    </row>
    <row r="94" customFormat="false" ht="15" hidden="false" customHeight="true" outlineLevel="0" collapsed="false">
      <c r="A94" s="5" t="n">
        <v>16</v>
      </c>
      <c r="B94" s="5" t="s">
        <v>180</v>
      </c>
      <c r="C94" s="5" t="s">
        <v>181</v>
      </c>
      <c r="D94" s="5" t="s">
        <v>183</v>
      </c>
      <c r="E94" s="5" t="s">
        <v>184</v>
      </c>
    </row>
    <row r="95" customFormat="false" ht="15" hidden="false" customHeight="true" outlineLevel="0" collapsed="false">
      <c r="A95" s="5" t="n">
        <v>16</v>
      </c>
      <c r="B95" s="5" t="s">
        <v>180</v>
      </c>
      <c r="C95" s="5" t="s">
        <v>181</v>
      </c>
      <c r="D95" s="5" t="s">
        <v>178</v>
      </c>
      <c r="E95" s="5" t="s">
        <v>179</v>
      </c>
    </row>
    <row r="96" customFormat="false" ht="15" hidden="false" customHeight="true" outlineLevel="0" collapsed="false">
      <c r="A96" s="5" t="n">
        <v>16</v>
      </c>
      <c r="B96" s="5" t="s">
        <v>180</v>
      </c>
      <c r="C96" s="5" t="s">
        <v>181</v>
      </c>
      <c r="D96" s="5" t="s">
        <v>185</v>
      </c>
      <c r="E96" s="5" t="s">
        <v>186</v>
      </c>
    </row>
    <row r="97" customFormat="false" ht="15" hidden="false" customHeight="true" outlineLevel="0" collapsed="false">
      <c r="A97" s="5" t="n">
        <v>16</v>
      </c>
      <c r="B97" s="5" t="s">
        <v>180</v>
      </c>
      <c r="C97" s="5" t="s">
        <v>181</v>
      </c>
      <c r="D97" s="5" t="s">
        <v>187</v>
      </c>
      <c r="E97" s="5" t="s">
        <v>188</v>
      </c>
    </row>
    <row r="98" customFormat="false" ht="15" hidden="false" customHeight="true" outlineLevel="0" collapsed="false">
      <c r="A98" s="5" t="n">
        <v>16</v>
      </c>
      <c r="B98" s="5" t="s">
        <v>180</v>
      </c>
      <c r="C98" s="5" t="s">
        <v>181</v>
      </c>
      <c r="D98" s="5" t="s">
        <v>189</v>
      </c>
      <c r="E98" s="5" t="s">
        <v>189</v>
      </c>
    </row>
    <row r="99" customFormat="false" ht="15" hidden="false" customHeight="true" outlineLevel="0" collapsed="false">
      <c r="A99" s="5" t="n">
        <v>17</v>
      </c>
      <c r="B99" s="5" t="s">
        <v>190</v>
      </c>
      <c r="C99" s="5" t="s">
        <v>191</v>
      </c>
      <c r="D99" s="5" t="s">
        <v>192</v>
      </c>
      <c r="E99" s="5" t="s">
        <v>192</v>
      </c>
    </row>
    <row r="100" customFormat="false" ht="15" hidden="false" customHeight="true" outlineLevel="0" collapsed="false">
      <c r="A100" s="5" t="n">
        <v>17</v>
      </c>
      <c r="B100" s="5" t="s">
        <v>190</v>
      </c>
      <c r="C100" s="5" t="s">
        <v>191</v>
      </c>
      <c r="D100" s="5" t="s">
        <v>193</v>
      </c>
      <c r="E100" s="5" t="s">
        <v>194</v>
      </c>
    </row>
    <row r="101" customFormat="false" ht="15" hidden="false" customHeight="true" outlineLevel="0" collapsed="false">
      <c r="A101" s="5" t="n">
        <v>17</v>
      </c>
      <c r="B101" s="5" t="s">
        <v>190</v>
      </c>
      <c r="C101" s="5" t="s">
        <v>191</v>
      </c>
      <c r="D101" s="5" t="s">
        <v>185</v>
      </c>
      <c r="E101" s="5" t="s">
        <v>186</v>
      </c>
    </row>
    <row r="102" customFormat="false" ht="15" hidden="false" customHeight="true" outlineLevel="0" collapsed="false">
      <c r="A102" s="5" t="n">
        <v>17</v>
      </c>
      <c r="B102" s="5" t="s">
        <v>190</v>
      </c>
      <c r="C102" s="5" t="s">
        <v>191</v>
      </c>
      <c r="D102" s="5" t="s">
        <v>195</v>
      </c>
      <c r="E102" s="5" t="s">
        <v>196</v>
      </c>
    </row>
    <row r="103" customFormat="false" ht="15" hidden="false" customHeight="true" outlineLevel="0" collapsed="false">
      <c r="A103" s="5" t="n">
        <v>17</v>
      </c>
      <c r="B103" s="5" t="s">
        <v>190</v>
      </c>
      <c r="C103" s="5" t="s">
        <v>191</v>
      </c>
      <c r="D103" s="5" t="s">
        <v>197</v>
      </c>
      <c r="E103" s="5" t="s">
        <v>198</v>
      </c>
    </row>
    <row r="104" customFormat="false" ht="15" hidden="false" customHeight="true" outlineLevel="0" collapsed="false">
      <c r="A104" s="5" t="n">
        <v>17</v>
      </c>
      <c r="B104" s="5" t="s">
        <v>190</v>
      </c>
      <c r="C104" s="5" t="s">
        <v>191</v>
      </c>
      <c r="D104" s="5" t="s">
        <v>199</v>
      </c>
      <c r="E104" s="5" t="s">
        <v>200</v>
      </c>
    </row>
    <row r="105" customFormat="false" ht="15" hidden="false" customHeight="true" outlineLevel="0" collapsed="false">
      <c r="A105" s="5" t="n">
        <v>18</v>
      </c>
      <c r="B105" s="5" t="s">
        <v>201</v>
      </c>
      <c r="C105" s="5" t="s">
        <v>171</v>
      </c>
      <c r="D105" s="5" t="s">
        <v>172</v>
      </c>
      <c r="E105" s="5" t="s">
        <v>172</v>
      </c>
    </row>
    <row r="106" customFormat="false" ht="15" hidden="false" customHeight="true" outlineLevel="0" collapsed="false">
      <c r="A106" s="5" t="n">
        <v>18</v>
      </c>
      <c r="B106" s="5" t="s">
        <v>201</v>
      </c>
      <c r="C106" s="5" t="s">
        <v>171</v>
      </c>
      <c r="D106" s="5" t="s">
        <v>202</v>
      </c>
      <c r="E106" s="5" t="s">
        <v>203</v>
      </c>
    </row>
    <row r="107" customFormat="false" ht="15" hidden="false" customHeight="true" outlineLevel="0" collapsed="false">
      <c r="A107" s="5" t="n">
        <v>18</v>
      </c>
      <c r="B107" s="5" t="s">
        <v>201</v>
      </c>
      <c r="C107" s="5" t="s">
        <v>171</v>
      </c>
      <c r="D107" s="5" t="s">
        <v>204</v>
      </c>
      <c r="E107" s="5" t="s">
        <v>205</v>
      </c>
    </row>
    <row r="108" customFormat="false" ht="15" hidden="false" customHeight="true" outlineLevel="0" collapsed="false">
      <c r="A108" s="5" t="n">
        <v>18</v>
      </c>
      <c r="B108" s="5" t="s">
        <v>201</v>
      </c>
      <c r="C108" s="5" t="s">
        <v>171</v>
      </c>
      <c r="D108" s="5" t="s">
        <v>118</v>
      </c>
      <c r="E108" s="5" t="s">
        <v>206</v>
      </c>
    </row>
    <row r="109" customFormat="false" ht="15" hidden="false" customHeight="true" outlineLevel="0" collapsed="false">
      <c r="A109" s="5" t="n">
        <v>18</v>
      </c>
      <c r="B109" s="5" t="s">
        <v>201</v>
      </c>
      <c r="C109" s="5" t="s">
        <v>171</v>
      </c>
      <c r="D109" s="5" t="s">
        <v>207</v>
      </c>
      <c r="E109" s="5" t="s">
        <v>208</v>
      </c>
    </row>
    <row r="110" customFormat="false" ht="15" hidden="false" customHeight="true" outlineLevel="0" collapsed="false">
      <c r="A110" s="5" t="n">
        <v>19</v>
      </c>
      <c r="B110" s="5" t="s">
        <v>209</v>
      </c>
      <c r="C110" s="5" t="s">
        <v>210</v>
      </c>
      <c r="D110" s="5" t="s">
        <v>211</v>
      </c>
      <c r="E110" s="5" t="s">
        <v>212</v>
      </c>
    </row>
    <row r="111" customFormat="false" ht="15" hidden="false" customHeight="true" outlineLevel="0" collapsed="false">
      <c r="A111" s="5" t="n">
        <v>19</v>
      </c>
      <c r="B111" s="5" t="s">
        <v>209</v>
      </c>
      <c r="C111" s="5" t="s">
        <v>210</v>
      </c>
      <c r="D111" s="5" t="s">
        <v>111</v>
      </c>
      <c r="E111" s="5" t="s">
        <v>213</v>
      </c>
    </row>
    <row r="112" customFormat="false" ht="15" hidden="false" customHeight="true" outlineLevel="0" collapsed="false">
      <c r="A112" s="5" t="n">
        <v>19</v>
      </c>
      <c r="B112" s="5" t="s">
        <v>209</v>
      </c>
      <c r="C112" s="5" t="s">
        <v>210</v>
      </c>
      <c r="D112" s="5" t="s">
        <v>214</v>
      </c>
      <c r="E112" s="5" t="s">
        <v>215</v>
      </c>
    </row>
    <row r="113" customFormat="false" ht="15" hidden="false" customHeight="true" outlineLevel="0" collapsed="false">
      <c r="A113" s="5" t="n">
        <v>19</v>
      </c>
      <c r="B113" s="5" t="s">
        <v>209</v>
      </c>
      <c r="C113" s="5" t="s">
        <v>210</v>
      </c>
      <c r="D113" s="5" t="s">
        <v>120</v>
      </c>
      <c r="E113" s="5" t="s">
        <v>121</v>
      </c>
    </row>
    <row r="114" customFormat="false" ht="15" hidden="false" customHeight="true" outlineLevel="0" collapsed="false">
      <c r="A114" s="5" t="n">
        <v>20</v>
      </c>
      <c r="B114" s="5" t="s">
        <v>216</v>
      </c>
      <c r="C114" s="5" t="s">
        <v>38</v>
      </c>
      <c r="D114" s="5" t="s">
        <v>217</v>
      </c>
      <c r="E114" s="5" t="s">
        <v>218</v>
      </c>
    </row>
    <row r="115" customFormat="false" ht="15" hidden="false" customHeight="true" outlineLevel="0" collapsed="false">
      <c r="A115" s="5" t="n">
        <v>20</v>
      </c>
      <c r="B115" s="5" t="s">
        <v>216</v>
      </c>
      <c r="C115" s="5" t="s">
        <v>38</v>
      </c>
      <c r="D115" s="5" t="s">
        <v>219</v>
      </c>
      <c r="E115" s="5" t="s">
        <v>220</v>
      </c>
    </row>
    <row r="116" customFormat="false" ht="15" hidden="false" customHeight="true" outlineLevel="0" collapsed="false">
      <c r="A116" s="5" t="n">
        <v>20</v>
      </c>
      <c r="B116" s="5" t="s">
        <v>216</v>
      </c>
      <c r="C116" s="5" t="s">
        <v>38</v>
      </c>
      <c r="D116" s="5" t="s">
        <v>221</v>
      </c>
      <c r="E116" s="5" t="s">
        <v>222</v>
      </c>
    </row>
    <row r="117" customFormat="false" ht="15" hidden="false" customHeight="true" outlineLevel="0" collapsed="false">
      <c r="A117" s="5" t="n">
        <v>20</v>
      </c>
      <c r="B117" s="5" t="s">
        <v>216</v>
      </c>
      <c r="C117" s="5" t="s">
        <v>38</v>
      </c>
      <c r="D117" s="5" t="s">
        <v>223</v>
      </c>
      <c r="E117" s="5" t="s">
        <v>224</v>
      </c>
    </row>
    <row r="118" customFormat="false" ht="15" hidden="false" customHeight="true" outlineLevel="0" collapsed="false">
      <c r="A118" s="5" t="n">
        <v>20</v>
      </c>
      <c r="B118" s="5" t="s">
        <v>216</v>
      </c>
      <c r="C118" s="5" t="s">
        <v>38</v>
      </c>
      <c r="D118" s="5" t="s">
        <v>225</v>
      </c>
      <c r="E118" s="5" t="s">
        <v>226</v>
      </c>
    </row>
    <row r="119" customFormat="false" ht="15" hidden="false" customHeight="true" outlineLevel="0" collapsed="false">
      <c r="A119" s="5" t="n">
        <v>20</v>
      </c>
      <c r="B119" s="5" t="s">
        <v>216</v>
      </c>
      <c r="C119" s="5" t="s">
        <v>38</v>
      </c>
      <c r="D119" s="5" t="s">
        <v>93</v>
      </c>
      <c r="E119" s="5" t="s">
        <v>94</v>
      </c>
    </row>
    <row r="120" customFormat="false" ht="15" hidden="false" customHeight="true" outlineLevel="0" collapsed="false">
      <c r="A120" s="5" t="n">
        <v>21</v>
      </c>
      <c r="B120" s="5" t="s">
        <v>227</v>
      </c>
      <c r="C120" s="5" t="s">
        <v>163</v>
      </c>
      <c r="D120" s="5" t="s">
        <v>164</v>
      </c>
      <c r="E120" s="5" t="s">
        <v>164</v>
      </c>
    </row>
    <row r="121" customFormat="false" ht="15" hidden="false" customHeight="true" outlineLevel="0" collapsed="false">
      <c r="A121" s="5" t="n">
        <v>21</v>
      </c>
      <c r="B121" s="5" t="s">
        <v>227</v>
      </c>
      <c r="C121" s="5" t="s">
        <v>163</v>
      </c>
      <c r="D121" s="5" t="s">
        <v>228</v>
      </c>
      <c r="E121" s="5" t="s">
        <v>229</v>
      </c>
    </row>
    <row r="122" customFormat="false" ht="15" hidden="false" customHeight="true" outlineLevel="0" collapsed="false">
      <c r="A122" s="5" t="n">
        <v>21</v>
      </c>
      <c r="B122" s="5" t="s">
        <v>227</v>
      </c>
      <c r="C122" s="5" t="s">
        <v>163</v>
      </c>
      <c r="D122" s="5" t="s">
        <v>230</v>
      </c>
      <c r="E122" s="5" t="s">
        <v>231</v>
      </c>
    </row>
    <row r="123" customFormat="false" ht="15" hidden="false" customHeight="true" outlineLevel="0" collapsed="false">
      <c r="A123" s="5" t="n">
        <v>21</v>
      </c>
      <c r="B123" s="5" t="s">
        <v>227</v>
      </c>
      <c r="C123" s="5" t="s">
        <v>163</v>
      </c>
      <c r="D123" s="5" t="s">
        <v>232</v>
      </c>
      <c r="E123" s="5" t="s">
        <v>233</v>
      </c>
    </row>
    <row r="124" customFormat="false" ht="15" hidden="false" customHeight="true" outlineLevel="0" collapsed="false">
      <c r="A124" s="5" t="n">
        <v>21</v>
      </c>
      <c r="B124" s="5" t="s">
        <v>227</v>
      </c>
      <c r="C124" s="5" t="s">
        <v>163</v>
      </c>
      <c r="D124" s="5" t="s">
        <v>234</v>
      </c>
      <c r="E124" s="5" t="s">
        <v>235</v>
      </c>
    </row>
    <row r="125" customFormat="false" ht="15" hidden="false" customHeight="true" outlineLevel="0" collapsed="false">
      <c r="A125" s="5" t="n">
        <v>21</v>
      </c>
      <c r="B125" s="5" t="s">
        <v>227</v>
      </c>
      <c r="C125" s="5" t="s">
        <v>163</v>
      </c>
      <c r="D125" s="5" t="s">
        <v>236</v>
      </c>
      <c r="E125" s="5" t="s">
        <v>237</v>
      </c>
    </row>
    <row r="126" customFormat="false" ht="15" hidden="false" customHeight="true" outlineLevel="0" collapsed="false">
      <c r="A126" s="5" t="n">
        <v>22</v>
      </c>
      <c r="B126" s="5" t="s">
        <v>238</v>
      </c>
      <c r="C126" s="5" t="s">
        <v>239</v>
      </c>
      <c r="D126" s="5" t="s">
        <v>240</v>
      </c>
      <c r="E126" s="5" t="s">
        <v>240</v>
      </c>
    </row>
    <row r="127" customFormat="false" ht="15" hidden="false" customHeight="true" outlineLevel="0" collapsed="false">
      <c r="A127" s="5" t="n">
        <v>22</v>
      </c>
      <c r="B127" s="5" t="s">
        <v>238</v>
      </c>
      <c r="C127" s="5" t="s">
        <v>239</v>
      </c>
      <c r="D127" s="5" t="s">
        <v>241</v>
      </c>
      <c r="E127" s="5" t="s">
        <v>242</v>
      </c>
    </row>
    <row r="128" customFormat="false" ht="15" hidden="false" customHeight="true" outlineLevel="0" collapsed="false">
      <c r="A128" s="5" t="n">
        <v>22</v>
      </c>
      <c r="B128" s="5" t="s">
        <v>238</v>
      </c>
      <c r="C128" s="5" t="s">
        <v>239</v>
      </c>
      <c r="D128" s="5" t="s">
        <v>204</v>
      </c>
      <c r="E128" s="5" t="s">
        <v>243</v>
      </c>
    </row>
    <row r="129" customFormat="false" ht="15" hidden="false" customHeight="true" outlineLevel="0" collapsed="false">
      <c r="A129" s="5" t="n">
        <v>22</v>
      </c>
      <c r="B129" s="5" t="s">
        <v>238</v>
      </c>
      <c r="C129" s="5" t="s">
        <v>239</v>
      </c>
      <c r="D129" s="5" t="s">
        <v>244</v>
      </c>
      <c r="E129" s="5" t="s">
        <v>245</v>
      </c>
    </row>
    <row r="130" customFormat="false" ht="15" hidden="false" customHeight="true" outlineLevel="0" collapsed="false">
      <c r="A130" s="5" t="n">
        <v>22</v>
      </c>
      <c r="B130" s="5" t="s">
        <v>238</v>
      </c>
      <c r="C130" s="5" t="s">
        <v>239</v>
      </c>
      <c r="D130" s="5" t="s">
        <v>246</v>
      </c>
      <c r="E130" s="5" t="s">
        <v>247</v>
      </c>
    </row>
    <row r="131" customFormat="false" ht="15" hidden="false" customHeight="true" outlineLevel="0" collapsed="false">
      <c r="A131" s="5" t="n">
        <v>22</v>
      </c>
      <c r="B131" s="5" t="s">
        <v>238</v>
      </c>
      <c r="C131" s="5" t="s">
        <v>239</v>
      </c>
      <c r="D131" s="5" t="s">
        <v>248</v>
      </c>
      <c r="E131" s="5" t="s">
        <v>249</v>
      </c>
    </row>
    <row r="132" customFormat="false" ht="15" hidden="false" customHeight="true" outlineLevel="0" collapsed="false">
      <c r="A132" s="5" t="n">
        <v>23</v>
      </c>
      <c r="B132" s="5" t="s">
        <v>250</v>
      </c>
      <c r="C132" s="5" t="s">
        <v>96</v>
      </c>
      <c r="D132" s="5" t="s">
        <v>44</v>
      </c>
      <c r="E132" s="5" t="s">
        <v>44</v>
      </c>
    </row>
    <row r="133" customFormat="false" ht="15" hidden="false" customHeight="true" outlineLevel="0" collapsed="false">
      <c r="A133" s="5" t="n">
        <v>23</v>
      </c>
      <c r="B133" s="5" t="s">
        <v>250</v>
      </c>
      <c r="C133" s="5" t="s">
        <v>96</v>
      </c>
      <c r="D133" s="5" t="s">
        <v>230</v>
      </c>
      <c r="E133" s="5" t="s">
        <v>231</v>
      </c>
    </row>
    <row r="134" customFormat="false" ht="15" hidden="false" customHeight="true" outlineLevel="0" collapsed="false">
      <c r="A134" s="5" t="n">
        <v>23</v>
      </c>
      <c r="B134" s="5" t="s">
        <v>250</v>
      </c>
      <c r="C134" s="5" t="s">
        <v>96</v>
      </c>
      <c r="D134" s="5" t="s">
        <v>251</v>
      </c>
      <c r="E134" s="5" t="s">
        <v>252</v>
      </c>
    </row>
    <row r="135" customFormat="false" ht="15" hidden="false" customHeight="true" outlineLevel="0" collapsed="false">
      <c r="A135" s="5" t="n">
        <v>23</v>
      </c>
      <c r="B135" s="5" t="s">
        <v>250</v>
      </c>
      <c r="C135" s="5" t="s">
        <v>96</v>
      </c>
      <c r="D135" s="5" t="s">
        <v>253</v>
      </c>
      <c r="E135" s="5" t="s">
        <v>254</v>
      </c>
    </row>
    <row r="136" customFormat="false" ht="15" hidden="false" customHeight="true" outlineLevel="0" collapsed="false">
      <c r="A136" s="5" t="n">
        <v>23</v>
      </c>
      <c r="B136" s="5" t="s">
        <v>250</v>
      </c>
      <c r="C136" s="5" t="s">
        <v>96</v>
      </c>
      <c r="D136" s="5" t="s">
        <v>255</v>
      </c>
      <c r="E136" s="5" t="s">
        <v>256</v>
      </c>
    </row>
    <row r="137" customFormat="false" ht="15" hidden="false" customHeight="true" outlineLevel="0" collapsed="false">
      <c r="A137" s="5" t="n">
        <v>23</v>
      </c>
      <c r="B137" s="5" t="s">
        <v>250</v>
      </c>
      <c r="C137" s="5" t="s">
        <v>96</v>
      </c>
      <c r="D137" s="5" t="s">
        <v>257</v>
      </c>
      <c r="E137" s="5" t="s">
        <v>258</v>
      </c>
    </row>
    <row r="138" customFormat="false" ht="15" hidden="false" customHeight="true" outlineLevel="0" collapsed="false">
      <c r="A138" s="5" t="n">
        <v>24</v>
      </c>
      <c r="B138" s="5" t="s">
        <v>259</v>
      </c>
      <c r="C138" s="5" t="s">
        <v>260</v>
      </c>
      <c r="D138" s="5" t="s">
        <v>261</v>
      </c>
      <c r="E138" s="5" t="s">
        <v>262</v>
      </c>
    </row>
    <row r="139" customFormat="false" ht="15" hidden="false" customHeight="true" outlineLevel="0" collapsed="false">
      <c r="A139" s="5" t="n">
        <v>24</v>
      </c>
      <c r="B139" s="5" t="s">
        <v>259</v>
      </c>
      <c r="C139" s="5" t="s">
        <v>260</v>
      </c>
      <c r="D139" s="5" t="s">
        <v>214</v>
      </c>
      <c r="E139" s="5" t="s">
        <v>215</v>
      </c>
    </row>
    <row r="140" customFormat="false" ht="15" hidden="false" customHeight="true" outlineLevel="0" collapsed="false">
      <c r="A140" s="5" t="n">
        <v>24</v>
      </c>
      <c r="B140" s="5" t="s">
        <v>259</v>
      </c>
      <c r="C140" s="5" t="s">
        <v>260</v>
      </c>
      <c r="D140" s="5" t="s">
        <v>263</v>
      </c>
      <c r="E140" s="5" t="s">
        <v>264</v>
      </c>
    </row>
    <row r="141" customFormat="false" ht="15" hidden="false" customHeight="true" outlineLevel="0" collapsed="false">
      <c r="A141" s="5" t="n">
        <v>24</v>
      </c>
      <c r="B141" s="5" t="s">
        <v>259</v>
      </c>
      <c r="C141" s="5" t="s">
        <v>260</v>
      </c>
      <c r="D141" s="5" t="s">
        <v>265</v>
      </c>
      <c r="E141" s="5" t="s">
        <v>266</v>
      </c>
    </row>
    <row r="142" customFormat="false" ht="15" hidden="false" customHeight="true" outlineLevel="0" collapsed="false">
      <c r="A142" s="5" t="n">
        <v>24</v>
      </c>
      <c r="B142" s="5" t="s">
        <v>259</v>
      </c>
      <c r="C142" s="5" t="s">
        <v>260</v>
      </c>
      <c r="D142" s="5" t="s">
        <v>267</v>
      </c>
      <c r="E142" s="5" t="s">
        <v>268</v>
      </c>
    </row>
    <row r="143" customFormat="false" ht="15" hidden="false" customHeight="true" outlineLevel="0" collapsed="false">
      <c r="A143" s="5" t="n">
        <v>24</v>
      </c>
      <c r="B143" s="5" t="s">
        <v>259</v>
      </c>
      <c r="C143" s="5" t="s">
        <v>260</v>
      </c>
      <c r="D143" s="5" t="s">
        <v>269</v>
      </c>
      <c r="E143" s="5" t="s">
        <v>270</v>
      </c>
    </row>
    <row r="144" customFormat="false" ht="15" hidden="false" customHeight="true" outlineLevel="0" collapsed="false">
      <c r="A144" s="5" t="n">
        <v>25</v>
      </c>
      <c r="B144" s="5" t="s">
        <v>271</v>
      </c>
      <c r="C144" s="5" t="s">
        <v>110</v>
      </c>
      <c r="D144" s="5" t="s">
        <v>111</v>
      </c>
      <c r="E144" s="5" t="s">
        <v>111</v>
      </c>
    </row>
    <row r="145" customFormat="false" ht="15" hidden="false" customHeight="true" outlineLevel="0" collapsed="false">
      <c r="A145" s="5" t="n">
        <v>25</v>
      </c>
      <c r="B145" s="5" t="s">
        <v>271</v>
      </c>
      <c r="C145" s="5" t="s">
        <v>110</v>
      </c>
      <c r="D145" s="5" t="s">
        <v>257</v>
      </c>
      <c r="E145" s="5" t="s">
        <v>258</v>
      </c>
    </row>
    <row r="146" customFormat="false" ht="15" hidden="false" customHeight="true" outlineLevel="0" collapsed="false">
      <c r="A146" s="5" t="n">
        <v>25</v>
      </c>
      <c r="B146" s="5" t="s">
        <v>271</v>
      </c>
      <c r="C146" s="5" t="s">
        <v>110</v>
      </c>
      <c r="D146" s="5" t="s">
        <v>207</v>
      </c>
      <c r="E146" s="5" t="s">
        <v>272</v>
      </c>
    </row>
    <row r="147" customFormat="false" ht="15" hidden="false" customHeight="true" outlineLevel="0" collapsed="false">
      <c r="A147" s="5" t="n">
        <v>25</v>
      </c>
      <c r="B147" s="5" t="s">
        <v>271</v>
      </c>
      <c r="C147" s="5" t="s">
        <v>110</v>
      </c>
      <c r="D147" s="5" t="s">
        <v>199</v>
      </c>
      <c r="E147" s="5" t="s">
        <v>273</v>
      </c>
    </row>
    <row r="148" customFormat="false" ht="15" hidden="false" customHeight="true" outlineLevel="0" collapsed="false">
      <c r="A148" s="5" t="n">
        <v>25</v>
      </c>
      <c r="B148" s="5" t="s">
        <v>271</v>
      </c>
      <c r="C148" s="5" t="s">
        <v>110</v>
      </c>
      <c r="D148" s="5" t="s">
        <v>274</v>
      </c>
      <c r="E148" s="5" t="s">
        <v>275</v>
      </c>
    </row>
    <row r="149" customFormat="false" ht="15" hidden="false" customHeight="true" outlineLevel="0" collapsed="false">
      <c r="A149" s="5" t="n">
        <v>25</v>
      </c>
      <c r="B149" s="5" t="s">
        <v>271</v>
      </c>
      <c r="C149" s="5" t="s">
        <v>110</v>
      </c>
      <c r="D149" s="5" t="s">
        <v>276</v>
      </c>
      <c r="E149" s="5" t="s">
        <v>277</v>
      </c>
    </row>
    <row r="150" customFormat="false" ht="15" hidden="false" customHeight="true" outlineLevel="0" collapsed="false">
      <c r="A150" s="5" t="n">
        <v>26</v>
      </c>
      <c r="B150" s="5" t="s">
        <v>278</v>
      </c>
      <c r="C150" s="5" t="s">
        <v>279</v>
      </c>
      <c r="D150" s="5" t="s">
        <v>189</v>
      </c>
      <c r="E150" s="5" t="s">
        <v>189</v>
      </c>
    </row>
    <row r="151" customFormat="false" ht="15" hidden="false" customHeight="true" outlineLevel="0" collapsed="false">
      <c r="A151" s="5" t="n">
        <v>26</v>
      </c>
      <c r="B151" s="5" t="s">
        <v>278</v>
      </c>
      <c r="C151" s="5" t="s">
        <v>279</v>
      </c>
      <c r="D151" s="5" t="s">
        <v>280</v>
      </c>
      <c r="E151" s="5" t="s">
        <v>281</v>
      </c>
    </row>
    <row r="152" customFormat="false" ht="15" hidden="false" customHeight="true" outlineLevel="0" collapsed="false">
      <c r="A152" s="5" t="n">
        <v>26</v>
      </c>
      <c r="B152" s="5" t="s">
        <v>278</v>
      </c>
      <c r="C152" s="5" t="s">
        <v>279</v>
      </c>
      <c r="D152" s="5" t="s">
        <v>44</v>
      </c>
      <c r="E152" s="5" t="s">
        <v>99</v>
      </c>
    </row>
    <row r="153" customFormat="false" ht="15" hidden="false" customHeight="true" outlineLevel="0" collapsed="false">
      <c r="A153" s="5" t="n">
        <v>26</v>
      </c>
      <c r="B153" s="5" t="s">
        <v>278</v>
      </c>
      <c r="C153" s="5" t="s">
        <v>279</v>
      </c>
      <c r="D153" s="5" t="s">
        <v>282</v>
      </c>
      <c r="E153" s="5" t="s">
        <v>283</v>
      </c>
    </row>
    <row r="154" customFormat="false" ht="15" hidden="false" customHeight="true" outlineLevel="0" collapsed="false">
      <c r="A154" s="5" t="n">
        <v>26</v>
      </c>
      <c r="B154" s="5" t="s">
        <v>278</v>
      </c>
      <c r="C154" s="5" t="s">
        <v>279</v>
      </c>
      <c r="D154" s="5" t="s">
        <v>192</v>
      </c>
      <c r="E154" s="5" t="s">
        <v>284</v>
      </c>
    </row>
    <row r="155" customFormat="false" ht="15" hidden="false" customHeight="true" outlineLevel="0" collapsed="false">
      <c r="A155" s="5" t="n">
        <v>26</v>
      </c>
      <c r="B155" s="5" t="s">
        <v>278</v>
      </c>
      <c r="C155" s="5" t="s">
        <v>279</v>
      </c>
      <c r="D155" s="5" t="s">
        <v>48</v>
      </c>
      <c r="E155" s="5" t="s">
        <v>49</v>
      </c>
    </row>
    <row r="156" customFormat="false" ht="15" hidden="false" customHeight="true" outlineLevel="0" collapsed="false">
      <c r="A156" s="5" t="n">
        <v>27</v>
      </c>
      <c r="B156" s="5" t="s">
        <v>285</v>
      </c>
      <c r="C156" s="5" t="s">
        <v>286</v>
      </c>
      <c r="D156" s="5" t="s">
        <v>287</v>
      </c>
      <c r="E156" s="5" t="s">
        <v>288</v>
      </c>
    </row>
    <row r="157" customFormat="false" ht="15" hidden="false" customHeight="true" outlineLevel="0" collapsed="false">
      <c r="A157" s="5" t="n">
        <v>27</v>
      </c>
      <c r="B157" s="5" t="s">
        <v>285</v>
      </c>
      <c r="C157" s="5" t="s">
        <v>286</v>
      </c>
      <c r="D157" s="5" t="s">
        <v>189</v>
      </c>
      <c r="E157" s="5" t="s">
        <v>189</v>
      </c>
    </row>
    <row r="158" customFormat="false" ht="15" hidden="false" customHeight="true" outlineLevel="0" collapsed="false">
      <c r="A158" s="5" t="n">
        <v>27</v>
      </c>
      <c r="B158" s="5" t="s">
        <v>285</v>
      </c>
      <c r="C158" s="5" t="s">
        <v>286</v>
      </c>
      <c r="D158" s="5" t="s">
        <v>289</v>
      </c>
      <c r="E158" s="5" t="s">
        <v>290</v>
      </c>
    </row>
    <row r="159" customFormat="false" ht="15" hidden="false" customHeight="true" outlineLevel="0" collapsed="false">
      <c r="A159" s="5" t="n">
        <v>27</v>
      </c>
      <c r="B159" s="5" t="s">
        <v>285</v>
      </c>
      <c r="C159" s="5" t="s">
        <v>286</v>
      </c>
      <c r="D159" s="5" t="s">
        <v>44</v>
      </c>
      <c r="E159" s="5" t="s">
        <v>99</v>
      </c>
    </row>
    <row r="160" customFormat="false" ht="15" hidden="false" customHeight="true" outlineLevel="0" collapsed="false">
      <c r="A160" s="5" t="n">
        <v>27</v>
      </c>
      <c r="B160" s="5" t="s">
        <v>285</v>
      </c>
      <c r="C160" s="5" t="s">
        <v>286</v>
      </c>
      <c r="D160" s="5" t="s">
        <v>291</v>
      </c>
      <c r="E160" s="5" t="s">
        <v>292</v>
      </c>
    </row>
    <row r="161" customFormat="false" ht="15" hidden="false" customHeight="true" outlineLevel="0" collapsed="false">
      <c r="A161" s="5" t="n">
        <v>27</v>
      </c>
      <c r="B161" s="5" t="s">
        <v>285</v>
      </c>
      <c r="C161" s="5" t="s">
        <v>286</v>
      </c>
      <c r="D161" s="5" t="s">
        <v>120</v>
      </c>
      <c r="E161" s="5" t="s">
        <v>121</v>
      </c>
    </row>
    <row r="162" customFormat="false" ht="15" hidden="false" customHeight="true" outlineLevel="0" collapsed="false">
      <c r="A162" s="5" t="n">
        <v>28</v>
      </c>
      <c r="B162" s="5" t="s">
        <v>293</v>
      </c>
      <c r="C162" s="5" t="s">
        <v>154</v>
      </c>
      <c r="D162" s="5" t="s">
        <v>294</v>
      </c>
      <c r="E162" s="5" t="s">
        <v>294</v>
      </c>
    </row>
    <row r="163" customFormat="false" ht="15" hidden="false" customHeight="true" outlineLevel="0" collapsed="false">
      <c r="A163" s="5" t="n">
        <v>28</v>
      </c>
      <c r="B163" s="5" t="s">
        <v>293</v>
      </c>
      <c r="C163" s="5" t="s">
        <v>154</v>
      </c>
      <c r="D163" s="5" t="s">
        <v>192</v>
      </c>
      <c r="E163" s="5" t="s">
        <v>295</v>
      </c>
    </row>
    <row r="164" customFormat="false" ht="15" hidden="false" customHeight="true" outlineLevel="0" collapsed="false">
      <c r="A164" s="5" t="n">
        <v>28</v>
      </c>
      <c r="B164" s="5" t="s">
        <v>293</v>
      </c>
      <c r="C164" s="5" t="s">
        <v>154</v>
      </c>
      <c r="D164" s="5" t="s">
        <v>185</v>
      </c>
      <c r="E164" s="5" t="s">
        <v>186</v>
      </c>
    </row>
    <row r="165" customFormat="false" ht="15" hidden="false" customHeight="true" outlineLevel="0" collapsed="false">
      <c r="A165" s="5" t="n">
        <v>28</v>
      </c>
      <c r="B165" s="5" t="s">
        <v>293</v>
      </c>
      <c r="C165" s="5" t="s">
        <v>154</v>
      </c>
      <c r="D165" s="5" t="s">
        <v>240</v>
      </c>
      <c r="E165" s="5" t="s">
        <v>296</v>
      </c>
    </row>
    <row r="166" customFormat="false" ht="15" hidden="false" customHeight="true" outlineLevel="0" collapsed="false">
      <c r="A166" s="5" t="n">
        <v>28</v>
      </c>
      <c r="B166" s="5" t="s">
        <v>293</v>
      </c>
      <c r="C166" s="5" t="s">
        <v>154</v>
      </c>
      <c r="D166" s="5" t="s">
        <v>197</v>
      </c>
      <c r="E166" s="5" t="s">
        <v>198</v>
      </c>
    </row>
    <row r="167" customFormat="false" ht="15" hidden="false" customHeight="true" outlineLevel="0" collapsed="false">
      <c r="A167" s="5" t="n">
        <v>28</v>
      </c>
      <c r="B167" s="5" t="s">
        <v>293</v>
      </c>
      <c r="C167" s="5" t="s">
        <v>154</v>
      </c>
      <c r="D167" s="5" t="s">
        <v>219</v>
      </c>
      <c r="E167" s="5" t="s">
        <v>220</v>
      </c>
    </row>
    <row r="168" customFormat="false" ht="15" hidden="false" customHeight="true" outlineLevel="0" collapsed="false">
      <c r="A168" s="5" t="n">
        <v>29</v>
      </c>
      <c r="B168" s="5" t="s">
        <v>297</v>
      </c>
      <c r="C168" s="5" t="s">
        <v>51</v>
      </c>
      <c r="D168" s="5" t="s">
        <v>298</v>
      </c>
      <c r="E168" s="5" t="s">
        <v>299</v>
      </c>
    </row>
    <row r="169" customFormat="false" ht="15" hidden="false" customHeight="true" outlineLevel="0" collapsed="false">
      <c r="A169" s="5" t="n">
        <v>29</v>
      </c>
      <c r="B169" s="5" t="s">
        <v>297</v>
      </c>
      <c r="C169" s="5" t="s">
        <v>51</v>
      </c>
      <c r="D169" s="5" t="s">
        <v>300</v>
      </c>
      <c r="E169" s="5" t="s">
        <v>301</v>
      </c>
    </row>
    <row r="170" customFormat="false" ht="15" hidden="false" customHeight="true" outlineLevel="0" collapsed="false">
      <c r="A170" s="5" t="n">
        <v>29</v>
      </c>
      <c r="B170" s="5" t="s">
        <v>297</v>
      </c>
      <c r="C170" s="5" t="s">
        <v>51</v>
      </c>
      <c r="D170" s="5" t="s">
        <v>185</v>
      </c>
      <c r="E170" s="5" t="s">
        <v>186</v>
      </c>
    </row>
    <row r="171" customFormat="false" ht="15" hidden="false" customHeight="true" outlineLevel="0" collapsed="false">
      <c r="A171" s="5" t="n">
        <v>29</v>
      </c>
      <c r="B171" s="5" t="s">
        <v>297</v>
      </c>
      <c r="C171" s="5" t="s">
        <v>51</v>
      </c>
      <c r="D171" s="5" t="s">
        <v>183</v>
      </c>
      <c r="E171" s="5" t="s">
        <v>184</v>
      </c>
    </row>
    <row r="172" customFormat="false" ht="15" hidden="false" customHeight="true" outlineLevel="0" collapsed="false">
      <c r="A172" s="5" t="n">
        <v>29</v>
      </c>
      <c r="B172" s="5" t="s">
        <v>297</v>
      </c>
      <c r="C172" s="5" t="s">
        <v>51</v>
      </c>
      <c r="D172" s="5" t="s">
        <v>195</v>
      </c>
      <c r="E172" s="5" t="s">
        <v>196</v>
      </c>
    </row>
    <row r="173" customFormat="false" ht="15" hidden="false" customHeight="true" outlineLevel="0" collapsed="false">
      <c r="A173" s="5" t="n">
        <v>29</v>
      </c>
      <c r="B173" s="5" t="s">
        <v>297</v>
      </c>
      <c r="C173" s="5" t="s">
        <v>51</v>
      </c>
      <c r="D173" s="5" t="s">
        <v>302</v>
      </c>
      <c r="E173" s="5" t="s">
        <v>303</v>
      </c>
    </row>
    <row r="174" customFormat="false" ht="15" hidden="false" customHeight="true" outlineLevel="0" collapsed="false">
      <c r="A174" s="5" t="n">
        <v>30</v>
      </c>
      <c r="B174" s="5" t="s">
        <v>304</v>
      </c>
      <c r="C174" s="5" t="s">
        <v>137</v>
      </c>
      <c r="D174" s="5" t="s">
        <v>137</v>
      </c>
      <c r="E174" s="5" t="s">
        <v>137</v>
      </c>
    </row>
    <row r="175" customFormat="false" ht="15" hidden="false" customHeight="true" outlineLevel="0" collapsed="false">
      <c r="A175" s="5" t="n">
        <v>30</v>
      </c>
      <c r="B175" s="5" t="s">
        <v>304</v>
      </c>
      <c r="C175" s="5" t="s">
        <v>137</v>
      </c>
      <c r="D175" s="5" t="s">
        <v>305</v>
      </c>
      <c r="E175" s="5" t="s">
        <v>306</v>
      </c>
    </row>
    <row r="176" customFormat="false" ht="15" hidden="false" customHeight="true" outlineLevel="0" collapsed="false">
      <c r="A176" s="5" t="n">
        <v>30</v>
      </c>
      <c r="B176" s="5" t="s">
        <v>304</v>
      </c>
      <c r="C176" s="5" t="s">
        <v>137</v>
      </c>
      <c r="D176" s="5" t="s">
        <v>307</v>
      </c>
      <c r="E176" s="5" t="s">
        <v>308</v>
      </c>
    </row>
    <row r="177" customFormat="false" ht="15" hidden="false" customHeight="true" outlineLevel="0" collapsed="false">
      <c r="A177" s="5" t="n">
        <v>30</v>
      </c>
      <c r="B177" s="5" t="s">
        <v>304</v>
      </c>
      <c r="C177" s="5" t="s">
        <v>137</v>
      </c>
      <c r="D177" s="5" t="s">
        <v>251</v>
      </c>
      <c r="E177" s="5" t="s">
        <v>252</v>
      </c>
    </row>
    <row r="178" customFormat="false" ht="15" hidden="false" customHeight="true" outlineLevel="0" collapsed="false">
      <c r="A178" s="5" t="n">
        <v>30</v>
      </c>
      <c r="B178" s="5" t="s">
        <v>304</v>
      </c>
      <c r="C178" s="5" t="s">
        <v>137</v>
      </c>
      <c r="D178" s="5" t="s">
        <v>192</v>
      </c>
      <c r="E178" s="5" t="s">
        <v>284</v>
      </c>
    </row>
    <row r="179" customFormat="false" ht="15" hidden="false" customHeight="true" outlineLevel="0" collapsed="false">
      <c r="A179" s="5" t="n">
        <v>31</v>
      </c>
      <c r="B179" s="5" t="s">
        <v>309</v>
      </c>
      <c r="C179" s="5" t="s">
        <v>25</v>
      </c>
      <c r="D179" s="5" t="s">
        <v>310</v>
      </c>
      <c r="E179" s="5" t="s">
        <v>310</v>
      </c>
    </row>
    <row r="180" customFormat="false" ht="15" hidden="false" customHeight="true" outlineLevel="0" collapsed="false">
      <c r="A180" s="5" t="n">
        <v>31</v>
      </c>
      <c r="B180" s="5" t="s">
        <v>309</v>
      </c>
      <c r="C180" s="5" t="s">
        <v>25</v>
      </c>
      <c r="D180" s="5" t="s">
        <v>311</v>
      </c>
      <c r="E180" s="5" t="s">
        <v>312</v>
      </c>
    </row>
    <row r="181" customFormat="false" ht="15" hidden="false" customHeight="true" outlineLevel="0" collapsed="false">
      <c r="A181" s="5" t="n">
        <v>31</v>
      </c>
      <c r="B181" s="5" t="s">
        <v>309</v>
      </c>
      <c r="C181" s="5" t="s">
        <v>25</v>
      </c>
      <c r="D181" s="5" t="s">
        <v>313</v>
      </c>
      <c r="E181" s="5" t="s">
        <v>314</v>
      </c>
    </row>
    <row r="182" customFormat="false" ht="15" hidden="false" customHeight="true" outlineLevel="0" collapsed="false">
      <c r="A182" s="5" t="n">
        <v>31</v>
      </c>
      <c r="B182" s="5" t="s">
        <v>309</v>
      </c>
      <c r="C182" s="5" t="s">
        <v>25</v>
      </c>
      <c r="D182" s="5" t="s">
        <v>315</v>
      </c>
      <c r="E182" s="5" t="s">
        <v>316</v>
      </c>
    </row>
    <row r="183" customFormat="false" ht="15" hidden="false" customHeight="true" outlineLevel="0" collapsed="false">
      <c r="A183" s="5" t="n">
        <v>31</v>
      </c>
      <c r="B183" s="5" t="s">
        <v>309</v>
      </c>
      <c r="C183" s="5" t="s">
        <v>25</v>
      </c>
      <c r="D183" s="5" t="s">
        <v>33</v>
      </c>
      <c r="E183" s="5" t="s">
        <v>34</v>
      </c>
    </row>
    <row r="184" customFormat="false" ht="15" hidden="false" customHeight="true" outlineLevel="0" collapsed="false">
      <c r="A184" s="5" t="n">
        <v>31</v>
      </c>
      <c r="B184" s="5" t="s">
        <v>309</v>
      </c>
      <c r="C184" s="5" t="s">
        <v>25</v>
      </c>
      <c r="D184" s="5" t="s">
        <v>317</v>
      </c>
      <c r="E184" s="5" t="s">
        <v>318</v>
      </c>
    </row>
    <row r="185" customFormat="false" ht="15" hidden="false" customHeight="true" outlineLevel="0" collapsed="false">
      <c r="A185" s="5" t="n">
        <v>32</v>
      </c>
      <c r="B185" s="5" t="s">
        <v>319</v>
      </c>
      <c r="C185" s="5" t="s">
        <v>64</v>
      </c>
      <c r="D185" s="5" t="s">
        <v>320</v>
      </c>
      <c r="E185" s="5" t="s">
        <v>320</v>
      </c>
    </row>
    <row r="186" customFormat="false" ht="15" hidden="false" customHeight="true" outlineLevel="0" collapsed="false">
      <c r="A186" s="5" t="n">
        <v>32</v>
      </c>
      <c r="B186" s="5" t="s">
        <v>319</v>
      </c>
      <c r="C186" s="5" t="s">
        <v>64</v>
      </c>
      <c r="D186" s="5" t="s">
        <v>321</v>
      </c>
      <c r="E186" s="5" t="s">
        <v>322</v>
      </c>
    </row>
    <row r="187" customFormat="false" ht="15" hidden="false" customHeight="true" outlineLevel="0" collapsed="false">
      <c r="A187" s="5" t="n">
        <v>32</v>
      </c>
      <c r="B187" s="5" t="s">
        <v>319</v>
      </c>
      <c r="C187" s="5" t="s">
        <v>64</v>
      </c>
      <c r="D187" s="5" t="s">
        <v>68</v>
      </c>
      <c r="E187" s="5" t="s">
        <v>69</v>
      </c>
    </row>
    <row r="188" customFormat="false" ht="15" hidden="false" customHeight="true" outlineLevel="0" collapsed="false">
      <c r="A188" s="5" t="n">
        <v>32</v>
      </c>
      <c r="B188" s="5" t="s">
        <v>319</v>
      </c>
      <c r="C188" s="5" t="s">
        <v>64</v>
      </c>
      <c r="D188" s="5" t="s">
        <v>323</v>
      </c>
      <c r="E188" s="5" t="s">
        <v>324</v>
      </c>
    </row>
    <row r="189" customFormat="false" ht="15" hidden="false" customHeight="true" outlineLevel="0" collapsed="false">
      <c r="A189" s="5" t="n">
        <v>32</v>
      </c>
      <c r="B189" s="5" t="s">
        <v>319</v>
      </c>
      <c r="C189" s="5" t="s">
        <v>64</v>
      </c>
      <c r="D189" s="5" t="s">
        <v>325</v>
      </c>
      <c r="E189" s="5" t="s">
        <v>326</v>
      </c>
    </row>
    <row r="190" customFormat="false" ht="15" hidden="false" customHeight="true" outlineLevel="0" collapsed="false">
      <c r="A190" s="5" t="n">
        <v>32</v>
      </c>
      <c r="B190" s="5" t="s">
        <v>319</v>
      </c>
      <c r="C190" s="5" t="s">
        <v>64</v>
      </c>
      <c r="D190" s="5" t="s">
        <v>327</v>
      </c>
      <c r="E190" s="5" t="s">
        <v>328</v>
      </c>
    </row>
    <row r="191" customFormat="false" ht="15" hidden="false" customHeight="true" outlineLevel="0" collapsed="false">
      <c r="A191" s="5" t="n">
        <v>33</v>
      </c>
      <c r="B191" s="5" t="s">
        <v>329</v>
      </c>
      <c r="C191" s="5" t="s">
        <v>181</v>
      </c>
      <c r="D191" s="5" t="s">
        <v>207</v>
      </c>
      <c r="E191" s="5" t="s">
        <v>330</v>
      </c>
    </row>
    <row r="192" customFormat="false" ht="15" hidden="false" customHeight="true" outlineLevel="0" collapsed="false">
      <c r="A192" s="5" t="n">
        <v>33</v>
      </c>
      <c r="B192" s="5" t="s">
        <v>329</v>
      </c>
      <c r="C192" s="5" t="s">
        <v>181</v>
      </c>
      <c r="D192" s="5" t="s">
        <v>331</v>
      </c>
      <c r="E192" s="5" t="s">
        <v>332</v>
      </c>
    </row>
    <row r="193" customFormat="false" ht="15" hidden="false" customHeight="true" outlineLevel="0" collapsed="false">
      <c r="A193" s="5" t="n">
        <v>33</v>
      </c>
      <c r="B193" s="5" t="s">
        <v>329</v>
      </c>
      <c r="C193" s="5" t="s">
        <v>181</v>
      </c>
      <c r="D193" s="5" t="s">
        <v>195</v>
      </c>
      <c r="E193" s="5" t="s">
        <v>196</v>
      </c>
    </row>
    <row r="194" customFormat="false" ht="15" hidden="false" customHeight="true" outlineLevel="0" collapsed="false">
      <c r="A194" s="5" t="n">
        <v>33</v>
      </c>
      <c r="B194" s="5" t="s">
        <v>329</v>
      </c>
      <c r="C194" s="5" t="s">
        <v>181</v>
      </c>
      <c r="D194" s="5" t="s">
        <v>311</v>
      </c>
      <c r="E194" s="5" t="s">
        <v>312</v>
      </c>
    </row>
    <row r="195" customFormat="false" ht="15" hidden="false" customHeight="true" outlineLevel="0" collapsed="false">
      <c r="A195" s="5" t="n">
        <v>33</v>
      </c>
      <c r="B195" s="5" t="s">
        <v>329</v>
      </c>
      <c r="C195" s="5" t="s">
        <v>181</v>
      </c>
      <c r="D195" s="5" t="s">
        <v>333</v>
      </c>
      <c r="E195" s="5" t="s">
        <v>334</v>
      </c>
    </row>
    <row r="196" customFormat="false" ht="15" hidden="false" customHeight="true" outlineLevel="0" collapsed="false">
      <c r="A196" s="5" t="n">
        <v>34</v>
      </c>
      <c r="B196" s="5" t="s">
        <v>335</v>
      </c>
      <c r="C196" s="5" t="s">
        <v>260</v>
      </c>
      <c r="D196" s="5" t="s">
        <v>261</v>
      </c>
      <c r="E196" s="5" t="s">
        <v>261</v>
      </c>
    </row>
    <row r="197" customFormat="false" ht="15" hidden="false" customHeight="true" outlineLevel="0" collapsed="false">
      <c r="A197" s="5" t="n">
        <v>34</v>
      </c>
      <c r="B197" s="5" t="s">
        <v>335</v>
      </c>
      <c r="C197" s="5" t="s">
        <v>260</v>
      </c>
      <c r="D197" s="5" t="s">
        <v>336</v>
      </c>
      <c r="E197" s="5" t="s">
        <v>337</v>
      </c>
    </row>
    <row r="198" customFormat="false" ht="15" hidden="false" customHeight="true" outlineLevel="0" collapsed="false">
      <c r="A198" s="5" t="n">
        <v>34</v>
      </c>
      <c r="B198" s="5" t="s">
        <v>335</v>
      </c>
      <c r="C198" s="5" t="s">
        <v>260</v>
      </c>
      <c r="D198" s="5" t="s">
        <v>338</v>
      </c>
      <c r="E198" s="5" t="s">
        <v>339</v>
      </c>
    </row>
    <row r="199" customFormat="false" ht="15" hidden="false" customHeight="true" outlineLevel="0" collapsed="false">
      <c r="A199" s="5" t="n">
        <v>34</v>
      </c>
      <c r="B199" s="5" t="s">
        <v>335</v>
      </c>
      <c r="C199" s="5" t="s">
        <v>260</v>
      </c>
      <c r="D199" s="5" t="s">
        <v>195</v>
      </c>
      <c r="E199" s="5" t="s">
        <v>196</v>
      </c>
    </row>
    <row r="200" customFormat="false" ht="15" hidden="false" customHeight="true" outlineLevel="0" collapsed="false">
      <c r="A200" s="5" t="n">
        <v>34</v>
      </c>
      <c r="B200" s="5" t="s">
        <v>335</v>
      </c>
      <c r="C200" s="5" t="s">
        <v>260</v>
      </c>
      <c r="D200" s="5" t="s">
        <v>93</v>
      </c>
      <c r="E200" s="5" t="s">
        <v>94</v>
      </c>
    </row>
    <row r="201" customFormat="false" ht="15" hidden="false" customHeight="true" outlineLevel="0" collapsed="false">
      <c r="A201" s="5" t="n">
        <v>35</v>
      </c>
      <c r="B201" s="5" t="s">
        <v>340</v>
      </c>
      <c r="C201" s="5" t="s">
        <v>51</v>
      </c>
      <c r="D201" s="5" t="s">
        <v>341</v>
      </c>
      <c r="E201" s="5" t="s">
        <v>341</v>
      </c>
    </row>
    <row r="202" customFormat="false" ht="15" hidden="false" customHeight="true" outlineLevel="0" collapsed="false">
      <c r="A202" s="5" t="n">
        <v>35</v>
      </c>
      <c r="B202" s="5" t="s">
        <v>340</v>
      </c>
      <c r="C202" s="5" t="s">
        <v>51</v>
      </c>
      <c r="D202" s="5" t="s">
        <v>68</v>
      </c>
      <c r="E202" s="5" t="s">
        <v>69</v>
      </c>
    </row>
    <row r="203" customFormat="false" ht="15" hidden="false" customHeight="true" outlineLevel="0" collapsed="false">
      <c r="A203" s="5" t="n">
        <v>35</v>
      </c>
      <c r="B203" s="5" t="s">
        <v>340</v>
      </c>
      <c r="C203" s="5" t="s">
        <v>51</v>
      </c>
      <c r="D203" s="5" t="s">
        <v>323</v>
      </c>
      <c r="E203" s="5" t="s">
        <v>324</v>
      </c>
    </row>
    <row r="204" customFormat="false" ht="15" hidden="false" customHeight="true" outlineLevel="0" collapsed="false">
      <c r="A204" s="5" t="n">
        <v>35</v>
      </c>
      <c r="B204" s="5" t="s">
        <v>340</v>
      </c>
      <c r="C204" s="5" t="s">
        <v>51</v>
      </c>
      <c r="D204" s="5" t="s">
        <v>317</v>
      </c>
      <c r="E204" s="5" t="s">
        <v>318</v>
      </c>
    </row>
    <row r="205" customFormat="false" ht="15" hidden="false" customHeight="true" outlineLevel="0" collapsed="false">
      <c r="A205" s="5" t="n">
        <v>35</v>
      </c>
      <c r="B205" s="5" t="s">
        <v>340</v>
      </c>
      <c r="C205" s="5" t="s">
        <v>51</v>
      </c>
      <c r="D205" s="5" t="s">
        <v>172</v>
      </c>
      <c r="E205" s="5" t="s">
        <v>342</v>
      </c>
    </row>
    <row r="206" customFormat="false" ht="15" hidden="false" customHeight="true" outlineLevel="0" collapsed="false">
      <c r="A206" s="5" t="n">
        <v>35</v>
      </c>
      <c r="B206" s="5" t="s">
        <v>340</v>
      </c>
      <c r="C206" s="5" t="s">
        <v>51</v>
      </c>
      <c r="D206" s="5" t="s">
        <v>343</v>
      </c>
      <c r="E206" s="5" t="s">
        <v>344</v>
      </c>
    </row>
    <row r="207" customFormat="false" ht="15" hidden="false" customHeight="true" outlineLevel="0" collapsed="false">
      <c r="A207" s="5" t="n">
        <v>35</v>
      </c>
      <c r="B207" s="5" t="s">
        <v>340</v>
      </c>
      <c r="C207" s="5" t="s">
        <v>51</v>
      </c>
      <c r="D207" s="5" t="s">
        <v>345</v>
      </c>
      <c r="E207" s="5" t="s">
        <v>346</v>
      </c>
    </row>
    <row r="208" customFormat="false" ht="15" hidden="false" customHeight="true" outlineLevel="0" collapsed="false">
      <c r="A208" s="5" t="n">
        <v>36</v>
      </c>
      <c r="B208" s="5" t="s">
        <v>347</v>
      </c>
      <c r="C208" s="5" t="s">
        <v>348</v>
      </c>
      <c r="D208" s="5" t="s">
        <v>310</v>
      </c>
      <c r="E208" s="5" t="s">
        <v>310</v>
      </c>
    </row>
    <row r="209" customFormat="false" ht="15" hidden="false" customHeight="true" outlineLevel="0" collapsed="false">
      <c r="A209" s="5" t="n">
        <v>36</v>
      </c>
      <c r="B209" s="5" t="s">
        <v>347</v>
      </c>
      <c r="C209" s="5" t="s">
        <v>348</v>
      </c>
      <c r="D209" s="5" t="s">
        <v>349</v>
      </c>
      <c r="E209" s="5" t="s">
        <v>350</v>
      </c>
    </row>
    <row r="210" customFormat="false" ht="15" hidden="false" customHeight="true" outlineLevel="0" collapsed="false">
      <c r="A210" s="5" t="n">
        <v>36</v>
      </c>
      <c r="B210" s="5" t="s">
        <v>347</v>
      </c>
      <c r="C210" s="5" t="s">
        <v>348</v>
      </c>
      <c r="D210" s="5" t="s">
        <v>315</v>
      </c>
      <c r="E210" s="5" t="s">
        <v>316</v>
      </c>
    </row>
    <row r="211" customFormat="false" ht="15" hidden="false" customHeight="true" outlineLevel="0" collapsed="false">
      <c r="A211" s="5" t="n">
        <v>36</v>
      </c>
      <c r="B211" s="5" t="s">
        <v>347</v>
      </c>
      <c r="C211" s="5" t="s">
        <v>348</v>
      </c>
      <c r="D211" s="5" t="s">
        <v>351</v>
      </c>
      <c r="E211" s="5" t="s">
        <v>352</v>
      </c>
    </row>
    <row r="212" customFormat="false" ht="15" hidden="false" customHeight="true" outlineLevel="0" collapsed="false">
      <c r="A212" s="5" t="n">
        <v>36</v>
      </c>
      <c r="B212" s="5" t="s">
        <v>347</v>
      </c>
      <c r="C212" s="5" t="s">
        <v>348</v>
      </c>
      <c r="D212" s="5" t="s">
        <v>353</v>
      </c>
      <c r="E212" s="5" t="s">
        <v>354</v>
      </c>
    </row>
    <row r="213" customFormat="false" ht="15" hidden="false" customHeight="true" outlineLevel="0" collapsed="false">
      <c r="A213" s="5" t="n">
        <v>37</v>
      </c>
      <c r="B213" s="5" t="s">
        <v>355</v>
      </c>
      <c r="C213" s="5" t="s">
        <v>106</v>
      </c>
      <c r="D213" s="5" t="s">
        <v>356</v>
      </c>
      <c r="E213" s="5" t="s">
        <v>356</v>
      </c>
    </row>
    <row r="214" customFormat="false" ht="15" hidden="false" customHeight="true" outlineLevel="0" collapsed="false">
      <c r="A214" s="5" t="n">
        <v>37</v>
      </c>
      <c r="B214" s="5" t="s">
        <v>355</v>
      </c>
      <c r="C214" s="5" t="s">
        <v>106</v>
      </c>
      <c r="D214" s="5" t="s">
        <v>357</v>
      </c>
      <c r="E214" s="5" t="s">
        <v>358</v>
      </c>
    </row>
    <row r="215" customFormat="false" ht="15" hidden="false" customHeight="true" outlineLevel="0" collapsed="false">
      <c r="A215" s="5" t="n">
        <v>37</v>
      </c>
      <c r="B215" s="5" t="s">
        <v>355</v>
      </c>
      <c r="C215" s="5" t="s">
        <v>106</v>
      </c>
      <c r="D215" s="5" t="s">
        <v>68</v>
      </c>
      <c r="E215" s="5" t="s">
        <v>69</v>
      </c>
    </row>
    <row r="216" customFormat="false" ht="15" hidden="false" customHeight="true" outlineLevel="0" collapsed="false">
      <c r="A216" s="5" t="n">
        <v>37</v>
      </c>
      <c r="B216" s="5" t="s">
        <v>355</v>
      </c>
      <c r="C216" s="5" t="s">
        <v>106</v>
      </c>
      <c r="D216" s="5" t="s">
        <v>321</v>
      </c>
      <c r="E216" s="5" t="s">
        <v>322</v>
      </c>
    </row>
    <row r="217" customFormat="false" ht="15" hidden="false" customHeight="true" outlineLevel="0" collapsed="false">
      <c r="A217" s="5" t="n">
        <v>37</v>
      </c>
      <c r="B217" s="5" t="s">
        <v>355</v>
      </c>
      <c r="C217" s="5" t="s">
        <v>106</v>
      </c>
      <c r="D217" s="5" t="s">
        <v>359</v>
      </c>
      <c r="E217" s="5" t="s">
        <v>360</v>
      </c>
    </row>
    <row r="218" customFormat="false" ht="15" hidden="false" customHeight="true" outlineLevel="0" collapsed="false">
      <c r="A218" s="5" t="n">
        <v>38</v>
      </c>
      <c r="B218" s="5" t="s">
        <v>361</v>
      </c>
      <c r="C218" s="5" t="s">
        <v>135</v>
      </c>
      <c r="D218" s="5" t="s">
        <v>141</v>
      </c>
      <c r="E218" s="5" t="s">
        <v>141</v>
      </c>
    </row>
    <row r="219" customFormat="false" ht="15" hidden="false" customHeight="true" outlineLevel="0" collapsed="false">
      <c r="A219" s="5" t="n">
        <v>38</v>
      </c>
      <c r="B219" s="5" t="s">
        <v>361</v>
      </c>
      <c r="C219" s="5" t="s">
        <v>135</v>
      </c>
      <c r="D219" s="5" t="s">
        <v>137</v>
      </c>
      <c r="E219" s="5" t="s">
        <v>138</v>
      </c>
    </row>
    <row r="220" customFormat="false" ht="15" hidden="false" customHeight="true" outlineLevel="0" collapsed="false">
      <c r="A220" s="5" t="n">
        <v>38</v>
      </c>
      <c r="B220" s="5" t="s">
        <v>361</v>
      </c>
      <c r="C220" s="5" t="s">
        <v>135</v>
      </c>
      <c r="D220" s="5" t="s">
        <v>362</v>
      </c>
      <c r="E220" s="5" t="s">
        <v>363</v>
      </c>
    </row>
    <row r="221" customFormat="false" ht="15" hidden="false" customHeight="true" outlineLevel="0" collapsed="false">
      <c r="A221" s="5" t="n">
        <v>38</v>
      </c>
      <c r="B221" s="5" t="s">
        <v>361</v>
      </c>
      <c r="C221" s="5" t="s">
        <v>135</v>
      </c>
      <c r="D221" s="5" t="s">
        <v>364</v>
      </c>
      <c r="E221" s="5" t="s">
        <v>365</v>
      </c>
    </row>
    <row r="222" customFormat="false" ht="15" hidden="false" customHeight="true" outlineLevel="0" collapsed="false">
      <c r="A222" s="5" t="n">
        <v>38</v>
      </c>
      <c r="B222" s="5" t="s">
        <v>361</v>
      </c>
      <c r="C222" s="5" t="s">
        <v>135</v>
      </c>
      <c r="D222" s="5" t="s">
        <v>366</v>
      </c>
      <c r="E222" s="5" t="s">
        <v>367</v>
      </c>
    </row>
    <row r="223" customFormat="false" ht="15" hidden="false" customHeight="true" outlineLevel="0" collapsed="false">
      <c r="A223" s="5" t="n">
        <v>38</v>
      </c>
      <c r="B223" s="5" t="s">
        <v>361</v>
      </c>
      <c r="C223" s="5" t="s">
        <v>135</v>
      </c>
      <c r="D223" s="5" t="s">
        <v>345</v>
      </c>
      <c r="E223" s="5" t="s">
        <v>346</v>
      </c>
    </row>
    <row r="224" customFormat="false" ht="15" hidden="false" customHeight="true" outlineLevel="0" collapsed="false">
      <c r="A224" s="5" t="n">
        <v>39</v>
      </c>
      <c r="B224" s="5" t="s">
        <v>368</v>
      </c>
      <c r="C224" s="5" t="s">
        <v>210</v>
      </c>
      <c r="D224" s="5" t="s">
        <v>369</v>
      </c>
      <c r="E224" s="5" t="s">
        <v>369</v>
      </c>
    </row>
    <row r="225" customFormat="false" ht="15" hidden="false" customHeight="true" outlineLevel="0" collapsed="false">
      <c r="A225" s="5" t="n">
        <v>39</v>
      </c>
      <c r="B225" s="5" t="s">
        <v>368</v>
      </c>
      <c r="C225" s="5" t="s">
        <v>210</v>
      </c>
      <c r="D225" s="5" t="s">
        <v>331</v>
      </c>
      <c r="E225" s="5" t="s">
        <v>332</v>
      </c>
    </row>
    <row r="226" customFormat="false" ht="15" hidden="false" customHeight="true" outlineLevel="0" collapsed="false">
      <c r="A226" s="5" t="n">
        <v>39</v>
      </c>
      <c r="B226" s="5" t="s">
        <v>368</v>
      </c>
      <c r="C226" s="5" t="s">
        <v>210</v>
      </c>
      <c r="D226" s="5" t="s">
        <v>370</v>
      </c>
      <c r="E226" s="5" t="s">
        <v>371</v>
      </c>
    </row>
    <row r="227" customFormat="false" ht="15" hidden="false" customHeight="true" outlineLevel="0" collapsed="false">
      <c r="A227" s="5" t="n">
        <v>39</v>
      </c>
      <c r="B227" s="5" t="s">
        <v>368</v>
      </c>
      <c r="C227" s="5" t="s">
        <v>210</v>
      </c>
      <c r="D227" s="5" t="s">
        <v>333</v>
      </c>
      <c r="E227" s="5" t="s">
        <v>371</v>
      </c>
    </row>
    <row r="228" customFormat="false" ht="15" hidden="false" customHeight="true" outlineLevel="0" collapsed="false">
      <c r="A228" s="5" t="n">
        <v>39</v>
      </c>
      <c r="B228" s="5" t="s">
        <v>368</v>
      </c>
      <c r="C228" s="5" t="s">
        <v>210</v>
      </c>
      <c r="D228" s="5" t="s">
        <v>68</v>
      </c>
      <c r="E228" s="5" t="s">
        <v>372</v>
      </c>
    </row>
    <row r="229" customFormat="false" ht="15" hidden="false" customHeight="true" outlineLevel="0" collapsed="false">
      <c r="A229" s="5" t="n">
        <v>39</v>
      </c>
      <c r="B229" s="5" t="s">
        <v>368</v>
      </c>
      <c r="C229" s="5" t="s">
        <v>210</v>
      </c>
      <c r="D229" s="5" t="s">
        <v>373</v>
      </c>
      <c r="E229" s="5" t="s">
        <v>374</v>
      </c>
    </row>
    <row r="230" customFormat="false" ht="15" hidden="false" customHeight="true" outlineLevel="0" collapsed="false">
      <c r="A230" s="5" t="n">
        <v>39</v>
      </c>
      <c r="B230" s="5" t="s">
        <v>368</v>
      </c>
      <c r="C230" s="5" t="s">
        <v>210</v>
      </c>
      <c r="D230" s="5" t="s">
        <v>375</v>
      </c>
      <c r="E230" s="5" t="s">
        <v>376</v>
      </c>
    </row>
    <row r="231" customFormat="false" ht="15" hidden="false" customHeight="true" outlineLevel="0" collapsed="false">
      <c r="A231" s="5" t="n">
        <v>40</v>
      </c>
      <c r="B231" s="5" t="s">
        <v>377</v>
      </c>
      <c r="C231" s="5" t="s">
        <v>38</v>
      </c>
      <c r="D231" s="5" t="s">
        <v>343</v>
      </c>
      <c r="E231" s="5" t="s">
        <v>343</v>
      </c>
    </row>
    <row r="232" customFormat="false" ht="15" hidden="false" customHeight="true" outlineLevel="0" collapsed="false">
      <c r="A232" s="5" t="n">
        <v>40</v>
      </c>
      <c r="B232" s="5" t="s">
        <v>377</v>
      </c>
      <c r="C232" s="5" t="s">
        <v>38</v>
      </c>
      <c r="D232" s="5" t="s">
        <v>378</v>
      </c>
      <c r="E232" s="5" t="s">
        <v>379</v>
      </c>
    </row>
    <row r="233" customFormat="false" ht="15" hidden="false" customHeight="true" outlineLevel="0" collapsed="false">
      <c r="A233" s="5" t="n">
        <v>40</v>
      </c>
      <c r="B233" s="5" t="s">
        <v>377</v>
      </c>
      <c r="C233" s="5" t="s">
        <v>38</v>
      </c>
      <c r="D233" s="5" t="s">
        <v>33</v>
      </c>
      <c r="E233" s="5" t="s">
        <v>380</v>
      </c>
    </row>
    <row r="234" customFormat="false" ht="15" hidden="false" customHeight="true" outlineLevel="0" collapsed="false">
      <c r="A234" s="5" t="n">
        <v>40</v>
      </c>
      <c r="B234" s="5" t="s">
        <v>377</v>
      </c>
      <c r="C234" s="5" t="s">
        <v>38</v>
      </c>
      <c r="D234" s="5" t="s">
        <v>166</v>
      </c>
      <c r="E234" s="5" t="s">
        <v>167</v>
      </c>
    </row>
    <row r="235" customFormat="false" ht="15" hidden="false" customHeight="true" outlineLevel="0" collapsed="false">
      <c r="A235" s="5" t="n">
        <v>40</v>
      </c>
      <c r="B235" s="5" t="s">
        <v>377</v>
      </c>
      <c r="C235" s="5" t="s">
        <v>38</v>
      </c>
      <c r="D235" s="5" t="s">
        <v>370</v>
      </c>
      <c r="E235" s="5" t="s">
        <v>381</v>
      </c>
    </row>
    <row r="236" customFormat="false" ht="15" hidden="false" customHeight="true" outlineLevel="0" collapsed="false">
      <c r="A236" s="5" t="n">
        <v>41</v>
      </c>
      <c r="B236" s="5" t="s">
        <v>382</v>
      </c>
      <c r="C236" s="5" t="s">
        <v>84</v>
      </c>
      <c r="D236" s="5" t="s">
        <v>383</v>
      </c>
      <c r="E236" s="5" t="s">
        <v>383</v>
      </c>
    </row>
    <row r="237" customFormat="false" ht="15" hidden="false" customHeight="true" outlineLevel="0" collapsed="false">
      <c r="A237" s="5" t="n">
        <v>41</v>
      </c>
      <c r="B237" s="5" t="s">
        <v>382</v>
      </c>
      <c r="C237" s="5" t="s">
        <v>84</v>
      </c>
      <c r="D237" s="5" t="s">
        <v>384</v>
      </c>
      <c r="E237" s="5" t="s">
        <v>385</v>
      </c>
    </row>
    <row r="238" customFormat="false" ht="15" hidden="false" customHeight="true" outlineLevel="0" collapsed="false">
      <c r="A238" s="5" t="n">
        <v>41</v>
      </c>
      <c r="B238" s="5" t="s">
        <v>382</v>
      </c>
      <c r="C238" s="5" t="s">
        <v>84</v>
      </c>
      <c r="D238" s="5" t="s">
        <v>386</v>
      </c>
      <c r="E238" s="5" t="s">
        <v>387</v>
      </c>
    </row>
    <row r="239" customFormat="false" ht="15" hidden="false" customHeight="true" outlineLevel="0" collapsed="false">
      <c r="A239" s="5" t="n">
        <v>41</v>
      </c>
      <c r="B239" s="5" t="s">
        <v>382</v>
      </c>
      <c r="C239" s="5" t="s">
        <v>84</v>
      </c>
      <c r="D239" s="5" t="s">
        <v>351</v>
      </c>
      <c r="E239" s="5" t="s">
        <v>352</v>
      </c>
    </row>
    <row r="240" customFormat="false" ht="15" hidden="false" customHeight="true" outlineLevel="0" collapsed="false">
      <c r="A240" s="5" t="n">
        <v>41</v>
      </c>
      <c r="B240" s="5" t="s">
        <v>382</v>
      </c>
      <c r="C240" s="5" t="s">
        <v>84</v>
      </c>
      <c r="D240" s="5" t="s">
        <v>331</v>
      </c>
      <c r="E240" s="5" t="s">
        <v>332</v>
      </c>
    </row>
    <row r="241" customFormat="false" ht="15" hidden="false" customHeight="true" outlineLevel="0" collapsed="false">
      <c r="A241" s="5" t="n">
        <v>42</v>
      </c>
      <c r="B241" s="5" t="s">
        <v>388</v>
      </c>
      <c r="C241" s="5" t="s">
        <v>191</v>
      </c>
      <c r="D241" s="5" t="s">
        <v>192</v>
      </c>
      <c r="E241" s="5" t="s">
        <v>192</v>
      </c>
    </row>
    <row r="242" customFormat="false" ht="15" hidden="false" customHeight="true" outlineLevel="0" collapsed="false">
      <c r="A242" s="5" t="n">
        <v>42</v>
      </c>
      <c r="B242" s="5" t="s">
        <v>388</v>
      </c>
      <c r="C242" s="5" t="s">
        <v>191</v>
      </c>
      <c r="D242" s="5" t="s">
        <v>68</v>
      </c>
      <c r="E242" s="5" t="s">
        <v>69</v>
      </c>
    </row>
    <row r="243" customFormat="false" ht="15" hidden="false" customHeight="true" outlineLevel="0" collapsed="false">
      <c r="A243" s="5" t="n">
        <v>42</v>
      </c>
      <c r="B243" s="5" t="s">
        <v>388</v>
      </c>
      <c r="C243" s="5" t="s">
        <v>191</v>
      </c>
      <c r="D243" s="5" t="s">
        <v>323</v>
      </c>
      <c r="E243" s="5" t="s">
        <v>389</v>
      </c>
    </row>
    <row r="244" customFormat="false" ht="15" hidden="false" customHeight="true" outlineLevel="0" collapsed="false">
      <c r="A244" s="5" t="n">
        <v>42</v>
      </c>
      <c r="B244" s="5" t="s">
        <v>388</v>
      </c>
      <c r="C244" s="5" t="s">
        <v>191</v>
      </c>
      <c r="D244" s="5" t="s">
        <v>327</v>
      </c>
      <c r="E244" s="5" t="s">
        <v>328</v>
      </c>
    </row>
    <row r="245" customFormat="false" ht="15" hidden="false" customHeight="true" outlineLevel="0" collapsed="false">
      <c r="A245" s="5" t="n">
        <v>42</v>
      </c>
      <c r="B245" s="5" t="s">
        <v>388</v>
      </c>
      <c r="C245" s="5" t="s">
        <v>191</v>
      </c>
      <c r="D245" s="5" t="s">
        <v>390</v>
      </c>
      <c r="E245" s="5" t="s">
        <v>391</v>
      </c>
    </row>
    <row r="246" customFormat="false" ht="15" hidden="false" customHeight="true" outlineLevel="0" collapsed="false">
      <c r="A246" s="5" t="n">
        <v>43</v>
      </c>
      <c r="B246" s="5" t="s">
        <v>392</v>
      </c>
      <c r="C246" s="5" t="s">
        <v>148</v>
      </c>
      <c r="D246" s="5" t="s">
        <v>149</v>
      </c>
      <c r="E246" s="5" t="s">
        <v>149</v>
      </c>
    </row>
    <row r="247" customFormat="false" ht="15" hidden="false" customHeight="true" outlineLevel="0" collapsed="false">
      <c r="A247" s="5" t="n">
        <v>43</v>
      </c>
      <c r="B247" s="5" t="s">
        <v>392</v>
      </c>
      <c r="C247" s="5" t="s">
        <v>148</v>
      </c>
      <c r="D247" s="5" t="s">
        <v>393</v>
      </c>
      <c r="E247" s="5" t="s">
        <v>393</v>
      </c>
    </row>
    <row r="248" customFormat="false" ht="15" hidden="false" customHeight="true" outlineLevel="0" collapsed="false">
      <c r="A248" s="5" t="n">
        <v>43</v>
      </c>
      <c r="B248" s="5" t="s">
        <v>392</v>
      </c>
      <c r="C248" s="5" t="s">
        <v>148</v>
      </c>
      <c r="D248" s="5" t="s">
        <v>331</v>
      </c>
      <c r="E248" s="5" t="s">
        <v>332</v>
      </c>
    </row>
    <row r="249" customFormat="false" ht="15" hidden="false" customHeight="true" outlineLevel="0" collapsed="false">
      <c r="A249" s="5" t="n">
        <v>43</v>
      </c>
      <c r="B249" s="5" t="s">
        <v>392</v>
      </c>
      <c r="C249" s="5" t="s">
        <v>148</v>
      </c>
      <c r="D249" s="5" t="s">
        <v>394</v>
      </c>
      <c r="E249" s="5" t="s">
        <v>395</v>
      </c>
    </row>
    <row r="250" customFormat="false" ht="15" hidden="false" customHeight="true" outlineLevel="0" collapsed="false">
      <c r="A250" s="5" t="n">
        <v>43</v>
      </c>
      <c r="B250" s="5" t="s">
        <v>392</v>
      </c>
      <c r="C250" s="5" t="s">
        <v>148</v>
      </c>
      <c r="D250" s="5" t="s">
        <v>375</v>
      </c>
      <c r="E250" s="5" t="s">
        <v>376</v>
      </c>
    </row>
    <row r="251" customFormat="false" ht="15" hidden="false" customHeight="true" outlineLevel="0" collapsed="false">
      <c r="A251" s="5" t="n">
        <v>43</v>
      </c>
      <c r="B251" s="5" t="s">
        <v>392</v>
      </c>
      <c r="C251" s="5" t="s">
        <v>148</v>
      </c>
      <c r="D251" s="5" t="s">
        <v>333</v>
      </c>
      <c r="E251" s="5" t="s">
        <v>334</v>
      </c>
    </row>
    <row r="252" customFormat="false" ht="15" hidden="false" customHeight="true" outlineLevel="0" collapsed="false">
      <c r="A252" s="5" t="n">
        <v>44</v>
      </c>
      <c r="B252" s="5" t="s">
        <v>396</v>
      </c>
      <c r="C252" s="5" t="s">
        <v>77</v>
      </c>
      <c r="D252" s="5" t="s">
        <v>78</v>
      </c>
      <c r="E252" s="5" t="s">
        <v>78</v>
      </c>
    </row>
    <row r="253" customFormat="false" ht="15" hidden="false" customHeight="true" outlineLevel="0" collapsed="false">
      <c r="A253" s="5" t="n">
        <v>44</v>
      </c>
      <c r="B253" s="5" t="s">
        <v>396</v>
      </c>
      <c r="C253" s="5" t="s">
        <v>77</v>
      </c>
      <c r="D253" s="5" t="s">
        <v>397</v>
      </c>
      <c r="E253" s="5" t="s">
        <v>398</v>
      </c>
    </row>
    <row r="254" customFormat="false" ht="15" hidden="false" customHeight="true" outlineLevel="0" collapsed="false">
      <c r="A254" s="5" t="n">
        <v>44</v>
      </c>
      <c r="B254" s="5" t="s">
        <v>396</v>
      </c>
      <c r="C254" s="5" t="s">
        <v>77</v>
      </c>
      <c r="D254" s="5" t="s">
        <v>384</v>
      </c>
      <c r="E254" s="5" t="s">
        <v>385</v>
      </c>
    </row>
    <row r="255" customFormat="false" ht="15" hidden="false" customHeight="true" outlineLevel="0" collapsed="false">
      <c r="A255" s="5" t="n">
        <v>44</v>
      </c>
      <c r="B255" s="5" t="s">
        <v>396</v>
      </c>
      <c r="C255" s="5" t="s">
        <v>77</v>
      </c>
      <c r="D255" s="5" t="s">
        <v>315</v>
      </c>
      <c r="E255" s="5" t="s">
        <v>399</v>
      </c>
    </row>
    <row r="256" customFormat="false" ht="15" hidden="false" customHeight="true" outlineLevel="0" collapsed="false">
      <c r="A256" s="5" t="n">
        <v>44</v>
      </c>
      <c r="B256" s="5" t="s">
        <v>396</v>
      </c>
      <c r="C256" s="5" t="s">
        <v>77</v>
      </c>
      <c r="D256" s="5" t="s">
        <v>400</v>
      </c>
      <c r="E256" s="5" t="s">
        <v>401</v>
      </c>
    </row>
    <row r="257" customFormat="false" ht="15" hidden="false" customHeight="true" outlineLevel="0" collapsed="false">
      <c r="A257" s="5" t="n">
        <v>44</v>
      </c>
      <c r="B257" s="5" t="s">
        <v>396</v>
      </c>
      <c r="C257" s="5" t="s">
        <v>77</v>
      </c>
      <c r="D257" s="5" t="s">
        <v>402</v>
      </c>
      <c r="E257" s="5" t="s">
        <v>403</v>
      </c>
    </row>
    <row r="258" customFormat="false" ht="15" hidden="false" customHeight="true" outlineLevel="0" collapsed="false">
      <c r="A258" s="5" t="n">
        <v>45</v>
      </c>
      <c r="B258" s="5" t="s">
        <v>404</v>
      </c>
      <c r="C258" s="5" t="s">
        <v>96</v>
      </c>
      <c r="D258" s="5" t="s">
        <v>405</v>
      </c>
      <c r="E258" s="5" t="s">
        <v>406</v>
      </c>
    </row>
    <row r="259" customFormat="false" ht="15" hidden="false" customHeight="true" outlineLevel="0" collapsed="false">
      <c r="A259" s="5" t="n">
        <v>45</v>
      </c>
      <c r="B259" s="5" t="s">
        <v>404</v>
      </c>
      <c r="C259" s="5" t="s">
        <v>96</v>
      </c>
      <c r="D259" s="5" t="s">
        <v>68</v>
      </c>
      <c r="E259" s="5" t="s">
        <v>69</v>
      </c>
    </row>
    <row r="260" customFormat="false" ht="15" hidden="false" customHeight="true" outlineLevel="0" collapsed="false">
      <c r="A260" s="5" t="n">
        <v>45</v>
      </c>
      <c r="B260" s="5" t="s">
        <v>404</v>
      </c>
      <c r="C260" s="5" t="s">
        <v>96</v>
      </c>
      <c r="D260" s="5" t="s">
        <v>248</v>
      </c>
      <c r="E260" s="5" t="s">
        <v>407</v>
      </c>
    </row>
    <row r="261" customFormat="false" ht="15" hidden="false" customHeight="true" outlineLevel="0" collapsed="false">
      <c r="A261" s="5" t="n">
        <v>45</v>
      </c>
      <c r="B261" s="5" t="s">
        <v>404</v>
      </c>
      <c r="C261" s="5" t="s">
        <v>96</v>
      </c>
      <c r="D261" s="5" t="s">
        <v>356</v>
      </c>
      <c r="E261" s="5" t="s">
        <v>408</v>
      </c>
    </row>
    <row r="262" customFormat="false" ht="15" hidden="false" customHeight="true" outlineLevel="0" collapsed="false">
      <c r="A262" s="5" t="n">
        <v>45</v>
      </c>
      <c r="B262" s="5" t="s">
        <v>404</v>
      </c>
      <c r="C262" s="5" t="s">
        <v>96</v>
      </c>
      <c r="D262" s="5" t="s">
        <v>409</v>
      </c>
      <c r="E262" s="5" t="s">
        <v>410</v>
      </c>
    </row>
    <row r="263" customFormat="false" ht="15" hidden="false" customHeight="true" outlineLevel="0" collapsed="false">
      <c r="A263" s="5" t="n">
        <v>45</v>
      </c>
      <c r="B263" s="5" t="s">
        <v>404</v>
      </c>
      <c r="C263" s="5" t="s">
        <v>96</v>
      </c>
      <c r="D263" s="5" t="s">
        <v>317</v>
      </c>
      <c r="E263" s="5" t="s">
        <v>318</v>
      </c>
    </row>
    <row r="264" customFormat="false" ht="15" hidden="false" customHeight="true" outlineLevel="0" collapsed="false">
      <c r="A264" s="5" t="n">
        <v>45</v>
      </c>
      <c r="B264" s="5" t="s">
        <v>404</v>
      </c>
      <c r="C264" s="5" t="s">
        <v>96</v>
      </c>
      <c r="D264" s="5" t="s">
        <v>333</v>
      </c>
      <c r="E264" s="5" t="s">
        <v>334</v>
      </c>
    </row>
    <row r="265" customFormat="false" ht="15" hidden="false" customHeight="true" outlineLevel="0" collapsed="false">
      <c r="A265" s="5" t="n">
        <v>46</v>
      </c>
      <c r="B265" s="5" t="s">
        <v>411</v>
      </c>
      <c r="C265" s="5" t="s">
        <v>125</v>
      </c>
      <c r="D265" s="5" t="s">
        <v>126</v>
      </c>
      <c r="E265" s="5" t="s">
        <v>126</v>
      </c>
    </row>
    <row r="266" customFormat="false" ht="15" hidden="false" customHeight="true" outlineLevel="0" collapsed="false">
      <c r="A266" s="5" t="n">
        <v>46</v>
      </c>
      <c r="B266" s="5" t="s">
        <v>411</v>
      </c>
      <c r="C266" s="5" t="s">
        <v>125</v>
      </c>
      <c r="D266" s="5" t="s">
        <v>127</v>
      </c>
      <c r="E266" s="5" t="s">
        <v>128</v>
      </c>
    </row>
    <row r="267" customFormat="false" ht="15" hidden="false" customHeight="true" outlineLevel="0" collapsed="false">
      <c r="A267" s="5" t="n">
        <v>46</v>
      </c>
      <c r="B267" s="5" t="s">
        <v>411</v>
      </c>
      <c r="C267" s="5" t="s">
        <v>125</v>
      </c>
      <c r="D267" s="5" t="s">
        <v>321</v>
      </c>
      <c r="E267" s="5" t="s">
        <v>322</v>
      </c>
    </row>
    <row r="268" customFormat="false" ht="15" hidden="false" customHeight="true" outlineLevel="0" collapsed="false">
      <c r="A268" s="5" t="n">
        <v>46</v>
      </c>
      <c r="B268" s="5" t="s">
        <v>411</v>
      </c>
      <c r="C268" s="5" t="s">
        <v>125</v>
      </c>
      <c r="D268" s="5" t="s">
        <v>349</v>
      </c>
      <c r="E268" s="5" t="s">
        <v>412</v>
      </c>
    </row>
    <row r="269" customFormat="false" ht="15" hidden="false" customHeight="true" outlineLevel="0" collapsed="false">
      <c r="A269" s="5" t="n">
        <v>46</v>
      </c>
      <c r="B269" s="5" t="s">
        <v>411</v>
      </c>
      <c r="C269" s="5" t="s">
        <v>125</v>
      </c>
      <c r="D269" s="5" t="s">
        <v>130</v>
      </c>
      <c r="E269" s="5" t="s">
        <v>131</v>
      </c>
    </row>
    <row r="270" customFormat="false" ht="15" hidden="false" customHeight="true" outlineLevel="0" collapsed="false">
      <c r="A270" s="5" t="n">
        <v>46</v>
      </c>
      <c r="B270" s="5" t="s">
        <v>411</v>
      </c>
      <c r="C270" s="5" t="s">
        <v>125</v>
      </c>
      <c r="D270" s="5" t="s">
        <v>74</v>
      </c>
      <c r="E270" s="5" t="s">
        <v>75</v>
      </c>
    </row>
    <row r="271" customFormat="false" ht="15" hidden="false" customHeight="true" outlineLevel="0" collapsed="false">
      <c r="A271" s="5" t="n">
        <v>47</v>
      </c>
      <c r="B271" s="5" t="s">
        <v>413</v>
      </c>
      <c r="C271" s="5" t="s">
        <v>148</v>
      </c>
      <c r="D271" s="5" t="s">
        <v>149</v>
      </c>
      <c r="E271" s="5" t="s">
        <v>149</v>
      </c>
    </row>
    <row r="272" customFormat="false" ht="15" hidden="false" customHeight="true" outlineLevel="0" collapsed="false">
      <c r="A272" s="5" t="n">
        <v>47</v>
      </c>
      <c r="B272" s="5" t="s">
        <v>413</v>
      </c>
      <c r="C272" s="5" t="s">
        <v>148</v>
      </c>
      <c r="D272" s="5" t="s">
        <v>26</v>
      </c>
      <c r="E272" s="5" t="s">
        <v>26</v>
      </c>
    </row>
    <row r="273" customFormat="false" ht="15" hidden="false" customHeight="true" outlineLevel="0" collapsed="false">
      <c r="A273" s="5" t="n">
        <v>47</v>
      </c>
      <c r="B273" s="5" t="s">
        <v>413</v>
      </c>
      <c r="C273" s="5" t="s">
        <v>148</v>
      </c>
      <c r="D273" s="5" t="s">
        <v>414</v>
      </c>
      <c r="E273" s="5" t="s">
        <v>415</v>
      </c>
    </row>
    <row r="274" customFormat="false" ht="15" hidden="false" customHeight="true" outlineLevel="0" collapsed="false">
      <c r="A274" s="5" t="n">
        <v>47</v>
      </c>
      <c r="B274" s="5" t="s">
        <v>413</v>
      </c>
      <c r="C274" s="5" t="s">
        <v>148</v>
      </c>
      <c r="D274" s="5" t="s">
        <v>89</v>
      </c>
      <c r="E274" s="5" t="s">
        <v>90</v>
      </c>
    </row>
    <row r="275" customFormat="false" ht="15" hidden="false" customHeight="true" outlineLevel="0" collapsed="false">
      <c r="A275" s="5" t="n">
        <v>47</v>
      </c>
      <c r="B275" s="5" t="s">
        <v>413</v>
      </c>
      <c r="C275" s="5" t="s">
        <v>148</v>
      </c>
      <c r="D275" s="5" t="s">
        <v>27</v>
      </c>
      <c r="E275" s="5" t="s">
        <v>28</v>
      </c>
    </row>
    <row r="276" customFormat="false" ht="15" hidden="false" customHeight="true" outlineLevel="0" collapsed="false">
      <c r="A276" s="5" t="n">
        <v>47</v>
      </c>
      <c r="B276" s="5" t="s">
        <v>413</v>
      </c>
      <c r="C276" s="5" t="s">
        <v>148</v>
      </c>
      <c r="D276" s="5" t="s">
        <v>151</v>
      </c>
      <c r="E276" s="5" t="s">
        <v>152</v>
      </c>
    </row>
    <row r="277" customFormat="false" ht="15" hidden="false" customHeight="true" outlineLevel="0" collapsed="false">
      <c r="A277" s="5" t="n">
        <v>48</v>
      </c>
      <c r="B277" s="5" t="s">
        <v>416</v>
      </c>
      <c r="C277" s="5" t="s">
        <v>84</v>
      </c>
      <c r="D277" s="5" t="s">
        <v>26</v>
      </c>
      <c r="E277" s="5" t="s">
        <v>26</v>
      </c>
    </row>
    <row r="278" customFormat="false" ht="15" hidden="false" customHeight="true" outlineLevel="0" collapsed="false">
      <c r="A278" s="5" t="n">
        <v>48</v>
      </c>
      <c r="B278" s="5" t="s">
        <v>416</v>
      </c>
      <c r="C278" s="5" t="s">
        <v>84</v>
      </c>
      <c r="D278" s="5" t="s">
        <v>79</v>
      </c>
      <c r="E278" s="5" t="s">
        <v>80</v>
      </c>
    </row>
    <row r="279" customFormat="false" ht="15" hidden="false" customHeight="true" outlineLevel="0" collapsed="false">
      <c r="A279" s="5" t="n">
        <v>48</v>
      </c>
      <c r="B279" s="5" t="s">
        <v>416</v>
      </c>
      <c r="C279" s="5" t="s">
        <v>84</v>
      </c>
      <c r="D279" s="5" t="s">
        <v>81</v>
      </c>
      <c r="E279" s="5" t="s">
        <v>82</v>
      </c>
    </row>
    <row r="280" customFormat="false" ht="15" hidden="false" customHeight="true" outlineLevel="0" collapsed="false">
      <c r="A280" s="5" t="n">
        <v>48</v>
      </c>
      <c r="B280" s="5" t="s">
        <v>416</v>
      </c>
      <c r="C280" s="5" t="s">
        <v>84</v>
      </c>
      <c r="D280" s="5" t="s">
        <v>327</v>
      </c>
      <c r="E280" s="5" t="s">
        <v>328</v>
      </c>
    </row>
    <row r="281" customFormat="false" ht="15" hidden="false" customHeight="true" outlineLevel="0" collapsed="false">
      <c r="A281" s="5" t="n">
        <v>48</v>
      </c>
      <c r="B281" s="5" t="s">
        <v>416</v>
      </c>
      <c r="C281" s="5" t="s">
        <v>84</v>
      </c>
      <c r="D281" s="5" t="s">
        <v>414</v>
      </c>
      <c r="E281" s="5" t="s">
        <v>417</v>
      </c>
    </row>
    <row r="282" customFormat="false" ht="15" hidden="false" customHeight="true" outlineLevel="0" collapsed="false">
      <c r="A282" s="5" t="n">
        <v>49</v>
      </c>
      <c r="B282" s="5" t="s">
        <v>418</v>
      </c>
      <c r="C282" s="5" t="s">
        <v>171</v>
      </c>
      <c r="D282" s="5" t="s">
        <v>172</v>
      </c>
      <c r="E282" s="5" t="s">
        <v>172</v>
      </c>
    </row>
    <row r="283" customFormat="false" ht="15" hidden="false" customHeight="true" outlineLevel="0" collapsed="false">
      <c r="A283" s="5" t="n">
        <v>49</v>
      </c>
      <c r="B283" s="5" t="s">
        <v>418</v>
      </c>
      <c r="C283" s="5" t="s">
        <v>171</v>
      </c>
      <c r="D283" s="5" t="s">
        <v>300</v>
      </c>
      <c r="E283" s="5" t="s">
        <v>419</v>
      </c>
    </row>
    <row r="284" customFormat="false" ht="15" hidden="false" customHeight="true" outlineLevel="0" collapsed="false">
      <c r="A284" s="5" t="n">
        <v>49</v>
      </c>
      <c r="B284" s="5" t="s">
        <v>418</v>
      </c>
      <c r="C284" s="5" t="s">
        <v>171</v>
      </c>
      <c r="D284" s="5" t="s">
        <v>132</v>
      </c>
      <c r="E284" s="5" t="s">
        <v>133</v>
      </c>
    </row>
    <row r="285" customFormat="false" ht="15" hidden="false" customHeight="true" outlineLevel="0" collapsed="false">
      <c r="A285" s="5" t="n">
        <v>49</v>
      </c>
      <c r="B285" s="5" t="s">
        <v>418</v>
      </c>
      <c r="C285" s="5" t="s">
        <v>171</v>
      </c>
      <c r="D285" s="5" t="s">
        <v>420</v>
      </c>
      <c r="E285" s="5" t="s">
        <v>421</v>
      </c>
    </row>
    <row r="286" customFormat="false" ht="15" hidden="false" customHeight="true" outlineLevel="0" collapsed="false">
      <c r="A286" s="5" t="n">
        <v>50</v>
      </c>
      <c r="B286" s="5" t="s">
        <v>422</v>
      </c>
      <c r="C286" s="5" t="s">
        <v>64</v>
      </c>
      <c r="D286" s="5" t="s">
        <v>423</v>
      </c>
      <c r="E286" s="5" t="s">
        <v>423</v>
      </c>
    </row>
    <row r="287" customFormat="false" ht="15" hidden="false" customHeight="true" outlineLevel="0" collapsed="false">
      <c r="A287" s="5" t="n">
        <v>50</v>
      </c>
      <c r="B287" s="5" t="s">
        <v>422</v>
      </c>
      <c r="C287" s="5" t="s">
        <v>64</v>
      </c>
      <c r="D287" s="5" t="s">
        <v>420</v>
      </c>
      <c r="E287" s="5" t="s">
        <v>421</v>
      </c>
    </row>
    <row r="288" customFormat="false" ht="15" hidden="false" customHeight="true" outlineLevel="0" collapsed="false">
      <c r="A288" s="5" t="n">
        <v>50</v>
      </c>
      <c r="B288" s="5" t="s">
        <v>422</v>
      </c>
      <c r="C288" s="5" t="s">
        <v>64</v>
      </c>
      <c r="D288" s="5" t="s">
        <v>424</v>
      </c>
      <c r="E288" s="5" t="s">
        <v>425</v>
      </c>
    </row>
    <row r="289" customFormat="false" ht="15" hidden="false" customHeight="true" outlineLevel="0" collapsed="false">
      <c r="A289" s="5" t="n">
        <v>50</v>
      </c>
      <c r="B289" s="5" t="s">
        <v>422</v>
      </c>
      <c r="C289" s="5" t="s">
        <v>64</v>
      </c>
      <c r="D289" s="5" t="s">
        <v>68</v>
      </c>
      <c r="E289" s="5" t="s">
        <v>69</v>
      </c>
    </row>
    <row r="290" customFormat="false" ht="15" hidden="false" customHeight="true" outlineLevel="0" collapsed="false">
      <c r="A290" s="5" t="n">
        <v>50</v>
      </c>
      <c r="B290" s="5" t="s">
        <v>422</v>
      </c>
      <c r="C290" s="5" t="s">
        <v>64</v>
      </c>
      <c r="D290" s="5" t="s">
        <v>59</v>
      </c>
      <c r="E290" s="5" t="s">
        <v>60</v>
      </c>
    </row>
    <row r="291" customFormat="false" ht="15" hidden="false" customHeight="true" outlineLevel="0" collapsed="false">
      <c r="A291" s="5" t="n">
        <v>51</v>
      </c>
      <c r="B291" s="5" t="s">
        <v>426</v>
      </c>
      <c r="C291" s="5" t="s">
        <v>260</v>
      </c>
      <c r="D291" s="5" t="s">
        <v>427</v>
      </c>
      <c r="E291" s="5" t="s">
        <v>427</v>
      </c>
    </row>
    <row r="292" customFormat="false" ht="15" hidden="false" customHeight="true" outlineLevel="0" collapsed="false">
      <c r="A292" s="5" t="n">
        <v>51</v>
      </c>
      <c r="B292" s="5" t="s">
        <v>426</v>
      </c>
      <c r="C292" s="5" t="s">
        <v>260</v>
      </c>
      <c r="D292" s="5" t="s">
        <v>428</v>
      </c>
      <c r="E292" s="5" t="s">
        <v>429</v>
      </c>
    </row>
    <row r="293" customFormat="false" ht="15" hidden="false" customHeight="true" outlineLevel="0" collapsed="false">
      <c r="A293" s="5" t="n">
        <v>51</v>
      </c>
      <c r="B293" s="5" t="s">
        <v>426</v>
      </c>
      <c r="C293" s="5" t="s">
        <v>260</v>
      </c>
      <c r="D293" s="5" t="s">
        <v>430</v>
      </c>
      <c r="E293" s="5" t="s">
        <v>431</v>
      </c>
    </row>
    <row r="294" customFormat="false" ht="15" hidden="false" customHeight="true" outlineLevel="0" collapsed="false">
      <c r="A294" s="5" t="n">
        <v>51</v>
      </c>
      <c r="B294" s="5" t="s">
        <v>426</v>
      </c>
      <c r="C294" s="5" t="s">
        <v>260</v>
      </c>
      <c r="D294" s="5" t="s">
        <v>432</v>
      </c>
      <c r="E294" s="5" t="s">
        <v>433</v>
      </c>
    </row>
    <row r="295" customFormat="false" ht="15" hidden="false" customHeight="true" outlineLevel="0" collapsed="false">
      <c r="A295" s="5" t="n">
        <v>51</v>
      </c>
      <c r="B295" s="5" t="s">
        <v>426</v>
      </c>
      <c r="C295" s="5" t="s">
        <v>260</v>
      </c>
      <c r="D295" s="5" t="s">
        <v>434</v>
      </c>
      <c r="E295" s="5" t="s">
        <v>435</v>
      </c>
    </row>
    <row r="296" customFormat="false" ht="15" hidden="false" customHeight="true" outlineLevel="0" collapsed="false">
      <c r="A296" s="5" t="n">
        <v>52</v>
      </c>
      <c r="B296" s="5" t="s">
        <v>436</v>
      </c>
      <c r="C296" s="5" t="s">
        <v>286</v>
      </c>
      <c r="D296" s="5" t="s">
        <v>437</v>
      </c>
      <c r="E296" s="5" t="s">
        <v>437</v>
      </c>
    </row>
    <row r="297" customFormat="false" ht="15" hidden="false" customHeight="true" outlineLevel="0" collapsed="false">
      <c r="A297" s="5" t="n">
        <v>52</v>
      </c>
      <c r="B297" s="5" t="s">
        <v>436</v>
      </c>
      <c r="C297" s="5" t="s">
        <v>286</v>
      </c>
      <c r="D297" s="5" t="s">
        <v>287</v>
      </c>
      <c r="E297" s="5" t="s">
        <v>438</v>
      </c>
    </row>
    <row r="298" customFormat="false" ht="15" hidden="false" customHeight="true" outlineLevel="0" collapsed="false">
      <c r="A298" s="5" t="n">
        <v>52</v>
      </c>
      <c r="B298" s="5" t="s">
        <v>436</v>
      </c>
      <c r="C298" s="5" t="s">
        <v>286</v>
      </c>
      <c r="D298" s="5" t="s">
        <v>439</v>
      </c>
      <c r="E298" s="5" t="s">
        <v>440</v>
      </c>
    </row>
    <row r="299" customFormat="false" ht="15" hidden="false" customHeight="true" outlineLevel="0" collapsed="false">
      <c r="A299" s="5" t="n">
        <v>52</v>
      </c>
      <c r="B299" s="5" t="s">
        <v>436</v>
      </c>
      <c r="C299" s="5" t="s">
        <v>286</v>
      </c>
      <c r="D299" s="5" t="s">
        <v>441</v>
      </c>
      <c r="E299" s="5" t="s">
        <v>442</v>
      </c>
    </row>
    <row r="300" customFormat="false" ht="15" hidden="false" customHeight="true" outlineLevel="0" collapsed="false">
      <c r="A300" s="5" t="n">
        <v>52</v>
      </c>
      <c r="B300" s="5" t="s">
        <v>436</v>
      </c>
      <c r="C300" s="5" t="s">
        <v>286</v>
      </c>
      <c r="D300" s="5" t="s">
        <v>26</v>
      </c>
      <c r="E300" s="5" t="s">
        <v>26</v>
      </c>
    </row>
    <row r="301" customFormat="false" ht="15" hidden="false" customHeight="true" outlineLevel="0" collapsed="false">
      <c r="A301" s="5" t="n">
        <v>52</v>
      </c>
      <c r="B301" s="5" t="s">
        <v>436</v>
      </c>
      <c r="C301" s="5" t="s">
        <v>286</v>
      </c>
      <c r="D301" s="5" t="s">
        <v>89</v>
      </c>
      <c r="E301" s="5" t="s">
        <v>90</v>
      </c>
    </row>
    <row r="302" customFormat="false" ht="15" hidden="false" customHeight="true" outlineLevel="0" collapsed="false">
      <c r="A302" s="5" t="n">
        <v>52</v>
      </c>
      <c r="B302" s="5" t="s">
        <v>436</v>
      </c>
      <c r="C302" s="5" t="s">
        <v>286</v>
      </c>
      <c r="D302" s="5" t="s">
        <v>291</v>
      </c>
      <c r="E302" s="5" t="s">
        <v>292</v>
      </c>
    </row>
    <row r="303" customFormat="false" ht="15" hidden="false" customHeight="true" outlineLevel="0" collapsed="false">
      <c r="A303" s="5" t="n">
        <v>53</v>
      </c>
      <c r="B303" s="5" t="s">
        <v>443</v>
      </c>
      <c r="C303" s="5" t="s">
        <v>38</v>
      </c>
      <c r="D303" s="5" t="s">
        <v>444</v>
      </c>
      <c r="E303" s="5" t="s">
        <v>444</v>
      </c>
    </row>
    <row r="304" customFormat="false" ht="15" hidden="false" customHeight="true" outlineLevel="0" collapsed="false">
      <c r="A304" s="5" t="n">
        <v>53</v>
      </c>
      <c r="B304" s="5" t="s">
        <v>443</v>
      </c>
      <c r="C304" s="5" t="s">
        <v>38</v>
      </c>
      <c r="D304" s="5" t="s">
        <v>441</v>
      </c>
      <c r="E304" s="5" t="s">
        <v>442</v>
      </c>
    </row>
    <row r="305" customFormat="false" ht="15" hidden="false" customHeight="true" outlineLevel="0" collapsed="false">
      <c r="A305" s="5" t="n">
        <v>53</v>
      </c>
      <c r="B305" s="5" t="s">
        <v>443</v>
      </c>
      <c r="C305" s="5" t="s">
        <v>38</v>
      </c>
      <c r="D305" s="5" t="s">
        <v>445</v>
      </c>
      <c r="E305" s="5" t="s">
        <v>446</v>
      </c>
    </row>
    <row r="306" customFormat="false" ht="15" hidden="false" customHeight="true" outlineLevel="0" collapsed="false">
      <c r="A306" s="5" t="n">
        <v>53</v>
      </c>
      <c r="B306" s="5" t="s">
        <v>443</v>
      </c>
      <c r="C306" s="5" t="s">
        <v>38</v>
      </c>
      <c r="D306" s="5" t="s">
        <v>447</v>
      </c>
      <c r="E306" s="5" t="s">
        <v>448</v>
      </c>
    </row>
    <row r="307" customFormat="false" ht="15" hidden="false" customHeight="true" outlineLevel="0" collapsed="false">
      <c r="A307" s="5" t="n">
        <v>53</v>
      </c>
      <c r="B307" s="5" t="s">
        <v>443</v>
      </c>
      <c r="C307" s="5" t="s">
        <v>38</v>
      </c>
      <c r="D307" s="5" t="s">
        <v>449</v>
      </c>
      <c r="E307" s="5" t="s">
        <v>450</v>
      </c>
    </row>
    <row r="308" customFormat="false" ht="15" hidden="false" customHeight="true" outlineLevel="0" collapsed="false">
      <c r="A308" s="5" t="n">
        <v>54</v>
      </c>
      <c r="B308" s="5" t="s">
        <v>451</v>
      </c>
      <c r="C308" s="5" t="s">
        <v>110</v>
      </c>
      <c r="D308" s="5" t="s">
        <v>187</v>
      </c>
      <c r="E308" s="5" t="s">
        <v>452</v>
      </c>
    </row>
    <row r="309" customFormat="false" ht="15" hidden="false" customHeight="true" outlineLevel="0" collapsed="false">
      <c r="A309" s="5" t="n">
        <v>54</v>
      </c>
      <c r="B309" s="5" t="s">
        <v>451</v>
      </c>
      <c r="C309" s="5" t="s">
        <v>110</v>
      </c>
      <c r="D309" s="5" t="s">
        <v>257</v>
      </c>
      <c r="E309" s="5" t="s">
        <v>452</v>
      </c>
    </row>
    <row r="310" customFormat="false" ht="15" hidden="false" customHeight="true" outlineLevel="0" collapsed="false">
      <c r="A310" s="5" t="n">
        <v>54</v>
      </c>
      <c r="B310" s="5" t="s">
        <v>451</v>
      </c>
      <c r="C310" s="5" t="s">
        <v>110</v>
      </c>
      <c r="D310" s="5" t="s">
        <v>225</v>
      </c>
      <c r="E310" s="5" t="s">
        <v>452</v>
      </c>
    </row>
    <row r="311" customFormat="false" ht="15" hidden="false" customHeight="true" outlineLevel="0" collapsed="false">
      <c r="A311" s="5" t="n">
        <v>54</v>
      </c>
      <c r="B311" s="5" t="s">
        <v>451</v>
      </c>
      <c r="C311" s="5" t="s">
        <v>110</v>
      </c>
      <c r="D311" s="5" t="s">
        <v>178</v>
      </c>
      <c r="E311" s="5" t="s">
        <v>453</v>
      </c>
    </row>
    <row r="312" customFormat="false" ht="15" hidden="false" customHeight="true" outlineLevel="0" collapsed="false">
      <c r="A312" s="5" t="n">
        <v>54</v>
      </c>
      <c r="B312" s="5" t="s">
        <v>451</v>
      </c>
      <c r="C312" s="5" t="s">
        <v>110</v>
      </c>
      <c r="D312" s="5" t="s">
        <v>454</v>
      </c>
      <c r="E312" s="5" t="s">
        <v>455</v>
      </c>
    </row>
    <row r="313" customFormat="false" ht="15" hidden="false" customHeight="true" outlineLevel="0" collapsed="false">
      <c r="A313" s="5" t="n">
        <v>54</v>
      </c>
      <c r="B313" s="5" t="s">
        <v>451</v>
      </c>
      <c r="C313" s="5" t="s">
        <v>110</v>
      </c>
      <c r="D313" s="5" t="s">
        <v>432</v>
      </c>
      <c r="E313" s="5" t="s">
        <v>433</v>
      </c>
    </row>
    <row r="314" customFormat="false" ht="15" hidden="false" customHeight="true" outlineLevel="0" collapsed="false">
      <c r="A314" s="5" t="n">
        <v>55</v>
      </c>
      <c r="B314" s="5" t="s">
        <v>456</v>
      </c>
      <c r="C314" s="5" t="s">
        <v>154</v>
      </c>
      <c r="D314" s="5" t="s">
        <v>384</v>
      </c>
      <c r="E314" s="5" t="s">
        <v>384</v>
      </c>
    </row>
    <row r="315" customFormat="false" ht="15" hidden="false" customHeight="true" outlineLevel="0" collapsed="false">
      <c r="A315" s="5" t="n">
        <v>55</v>
      </c>
      <c r="B315" s="5" t="s">
        <v>456</v>
      </c>
      <c r="C315" s="5" t="s">
        <v>154</v>
      </c>
      <c r="D315" s="5" t="s">
        <v>351</v>
      </c>
      <c r="E315" s="5" t="s">
        <v>352</v>
      </c>
    </row>
    <row r="316" customFormat="false" ht="15" hidden="false" customHeight="true" outlineLevel="0" collapsed="false">
      <c r="A316" s="5" t="n">
        <v>55</v>
      </c>
      <c r="B316" s="5" t="s">
        <v>456</v>
      </c>
      <c r="C316" s="5" t="s">
        <v>154</v>
      </c>
      <c r="D316" s="5" t="s">
        <v>457</v>
      </c>
      <c r="E316" s="5" t="s">
        <v>458</v>
      </c>
    </row>
    <row r="317" customFormat="false" ht="15" hidden="false" customHeight="true" outlineLevel="0" collapsed="false">
      <c r="A317" s="5" t="n">
        <v>55</v>
      </c>
      <c r="B317" s="5" t="s">
        <v>456</v>
      </c>
      <c r="C317" s="5" t="s">
        <v>154</v>
      </c>
      <c r="D317" s="5" t="s">
        <v>402</v>
      </c>
      <c r="E317" s="5" t="s">
        <v>403</v>
      </c>
    </row>
    <row r="318" customFormat="false" ht="15" hidden="false" customHeight="true" outlineLevel="0" collapsed="false">
      <c r="A318" s="5" t="n">
        <v>56</v>
      </c>
      <c r="B318" s="5" t="s">
        <v>459</v>
      </c>
      <c r="C318" s="5" t="s">
        <v>25</v>
      </c>
      <c r="D318" s="5" t="s">
        <v>310</v>
      </c>
      <c r="E318" s="5" t="s">
        <v>310</v>
      </c>
    </row>
    <row r="319" customFormat="false" ht="15" hidden="false" customHeight="true" outlineLevel="0" collapsed="false">
      <c r="A319" s="5" t="n">
        <v>56</v>
      </c>
      <c r="B319" s="5" t="s">
        <v>459</v>
      </c>
      <c r="C319" s="5" t="s">
        <v>25</v>
      </c>
      <c r="D319" s="5" t="s">
        <v>460</v>
      </c>
      <c r="E319" s="5" t="s">
        <v>461</v>
      </c>
    </row>
    <row r="320" customFormat="false" ht="15" hidden="false" customHeight="true" outlineLevel="0" collapsed="false">
      <c r="A320" s="5" t="n">
        <v>56</v>
      </c>
      <c r="B320" s="5" t="s">
        <v>459</v>
      </c>
      <c r="C320" s="5" t="s">
        <v>25</v>
      </c>
      <c r="D320" s="5" t="s">
        <v>130</v>
      </c>
      <c r="E320" s="5" t="s">
        <v>131</v>
      </c>
    </row>
    <row r="321" customFormat="false" ht="15" hidden="false" customHeight="true" outlineLevel="0" collapsed="false">
      <c r="A321" s="5" t="n">
        <v>56</v>
      </c>
      <c r="B321" s="5" t="s">
        <v>459</v>
      </c>
      <c r="C321" s="5" t="s">
        <v>25</v>
      </c>
      <c r="D321" s="5" t="s">
        <v>269</v>
      </c>
      <c r="E321" s="5" t="s">
        <v>462</v>
      </c>
    </row>
    <row r="322" customFormat="false" ht="15" hidden="false" customHeight="true" outlineLevel="0" collapsed="false">
      <c r="A322" s="5" t="n">
        <v>56</v>
      </c>
      <c r="B322" s="5" t="s">
        <v>459</v>
      </c>
      <c r="C322" s="5" t="s">
        <v>25</v>
      </c>
      <c r="D322" s="5" t="s">
        <v>74</v>
      </c>
      <c r="E322" s="5" t="s">
        <v>75</v>
      </c>
    </row>
    <row r="323" customFormat="false" ht="15" hidden="false" customHeight="true" outlineLevel="0" collapsed="false">
      <c r="A323" s="5" t="n">
        <v>57</v>
      </c>
      <c r="B323" s="5" t="s">
        <v>463</v>
      </c>
      <c r="C323" s="5" t="s">
        <v>163</v>
      </c>
      <c r="D323" s="5" t="s">
        <v>464</v>
      </c>
      <c r="E323" s="5" t="s">
        <v>464</v>
      </c>
    </row>
    <row r="324" customFormat="false" ht="15" hidden="false" customHeight="true" outlineLevel="0" collapsed="false">
      <c r="A324" s="5" t="n">
        <v>57</v>
      </c>
      <c r="B324" s="5" t="s">
        <v>463</v>
      </c>
      <c r="C324" s="5" t="s">
        <v>163</v>
      </c>
      <c r="D324" s="5" t="s">
        <v>430</v>
      </c>
      <c r="E324" s="5" t="s">
        <v>431</v>
      </c>
    </row>
    <row r="325" customFormat="false" ht="15" hidden="false" customHeight="true" outlineLevel="0" collapsed="false">
      <c r="A325" s="5" t="n">
        <v>57</v>
      </c>
      <c r="B325" s="5" t="s">
        <v>463</v>
      </c>
      <c r="C325" s="5" t="s">
        <v>163</v>
      </c>
      <c r="D325" s="5" t="s">
        <v>465</v>
      </c>
      <c r="E325" s="5" t="s">
        <v>466</v>
      </c>
    </row>
    <row r="326" customFormat="false" ht="15" hidden="false" customHeight="true" outlineLevel="0" collapsed="false">
      <c r="A326" s="5" t="n">
        <v>57</v>
      </c>
      <c r="B326" s="5" t="s">
        <v>463</v>
      </c>
      <c r="C326" s="5" t="s">
        <v>163</v>
      </c>
      <c r="D326" s="5" t="s">
        <v>447</v>
      </c>
      <c r="E326" s="5" t="s">
        <v>448</v>
      </c>
    </row>
    <row r="327" customFormat="false" ht="15" hidden="false" customHeight="true" outlineLevel="0" collapsed="false">
      <c r="A327" s="5" t="n">
        <v>57</v>
      </c>
      <c r="B327" s="5" t="s">
        <v>463</v>
      </c>
      <c r="C327" s="5" t="s">
        <v>163</v>
      </c>
      <c r="D327" s="5" t="s">
        <v>93</v>
      </c>
      <c r="E327" s="5" t="s">
        <v>94</v>
      </c>
    </row>
    <row r="328" customFormat="false" ht="15" hidden="false" customHeight="true" outlineLevel="0" collapsed="false">
      <c r="A328" s="5" t="n">
        <v>58</v>
      </c>
      <c r="B328" s="5" t="s">
        <v>467</v>
      </c>
      <c r="C328" s="5" t="s">
        <v>106</v>
      </c>
      <c r="D328" s="5" t="s">
        <v>468</v>
      </c>
      <c r="E328" s="5" t="s">
        <v>468</v>
      </c>
    </row>
    <row r="329" customFormat="false" ht="15" hidden="false" customHeight="true" outlineLevel="0" collapsed="false">
      <c r="A329" s="5" t="n">
        <v>58</v>
      </c>
      <c r="B329" s="5" t="s">
        <v>467</v>
      </c>
      <c r="C329" s="5" t="s">
        <v>106</v>
      </c>
      <c r="D329" s="5" t="s">
        <v>420</v>
      </c>
      <c r="E329" s="5" t="s">
        <v>421</v>
      </c>
    </row>
    <row r="330" customFormat="false" ht="15" hidden="false" customHeight="true" outlineLevel="0" collapsed="false">
      <c r="A330" s="5" t="n">
        <v>58</v>
      </c>
      <c r="B330" s="5" t="s">
        <v>467</v>
      </c>
      <c r="C330" s="5" t="s">
        <v>106</v>
      </c>
      <c r="D330" s="5" t="s">
        <v>469</v>
      </c>
      <c r="E330" s="5" t="s">
        <v>470</v>
      </c>
    </row>
    <row r="331" customFormat="false" ht="15" hidden="false" customHeight="true" outlineLevel="0" collapsed="false">
      <c r="A331" s="5" t="n">
        <v>58</v>
      </c>
      <c r="B331" s="5" t="s">
        <v>467</v>
      </c>
      <c r="C331" s="5" t="s">
        <v>106</v>
      </c>
      <c r="D331" s="5" t="s">
        <v>33</v>
      </c>
      <c r="E331" s="5" t="s">
        <v>34</v>
      </c>
    </row>
    <row r="332" customFormat="false" ht="15" hidden="false" customHeight="true" outlineLevel="0" collapsed="false">
      <c r="A332" s="5" t="n">
        <v>59</v>
      </c>
      <c r="B332" s="5" t="s">
        <v>471</v>
      </c>
      <c r="C332" s="5" t="s">
        <v>96</v>
      </c>
      <c r="D332" s="5" t="s">
        <v>472</v>
      </c>
      <c r="E332" s="5" t="s">
        <v>473</v>
      </c>
    </row>
    <row r="333" customFormat="false" ht="15" hidden="false" customHeight="true" outlineLevel="0" collapsed="false">
      <c r="A333" s="5" t="n">
        <v>59</v>
      </c>
      <c r="B333" s="5" t="s">
        <v>471</v>
      </c>
      <c r="C333" s="5" t="s">
        <v>96</v>
      </c>
      <c r="D333" s="5" t="s">
        <v>79</v>
      </c>
      <c r="E333" s="5" t="s">
        <v>80</v>
      </c>
    </row>
    <row r="334" customFormat="false" ht="15" hidden="false" customHeight="true" outlineLevel="0" collapsed="false">
      <c r="A334" s="5" t="n">
        <v>59</v>
      </c>
      <c r="B334" s="5" t="s">
        <v>471</v>
      </c>
      <c r="C334" s="5" t="s">
        <v>96</v>
      </c>
      <c r="D334" s="5" t="s">
        <v>265</v>
      </c>
      <c r="E334" s="5" t="s">
        <v>266</v>
      </c>
    </row>
    <row r="335" customFormat="false" ht="15" hidden="false" customHeight="true" outlineLevel="0" collapsed="false">
      <c r="A335" s="5" t="n">
        <v>59</v>
      </c>
      <c r="B335" s="5" t="s">
        <v>471</v>
      </c>
      <c r="C335" s="5" t="s">
        <v>96</v>
      </c>
      <c r="D335" s="5" t="s">
        <v>394</v>
      </c>
      <c r="E335" s="5" t="s">
        <v>395</v>
      </c>
    </row>
    <row r="336" customFormat="false" ht="15" hidden="false" customHeight="true" outlineLevel="0" collapsed="false">
      <c r="A336" s="5" t="n">
        <v>59</v>
      </c>
      <c r="B336" s="5" t="s">
        <v>471</v>
      </c>
      <c r="C336" s="5" t="s">
        <v>96</v>
      </c>
      <c r="D336" s="5" t="s">
        <v>253</v>
      </c>
      <c r="E336" s="5" t="s">
        <v>254</v>
      </c>
    </row>
    <row r="337" customFormat="false" ht="15" hidden="false" customHeight="true" outlineLevel="0" collapsed="false">
      <c r="A337" s="5" t="n">
        <v>59</v>
      </c>
      <c r="B337" s="5" t="s">
        <v>471</v>
      </c>
      <c r="C337" s="5" t="s">
        <v>96</v>
      </c>
      <c r="D337" s="5" t="s">
        <v>298</v>
      </c>
      <c r="E337" s="5" t="s">
        <v>474</v>
      </c>
    </row>
    <row r="338" customFormat="false" ht="15" hidden="false" customHeight="true" outlineLevel="0" collapsed="false">
      <c r="A338" s="5" t="n">
        <v>59</v>
      </c>
      <c r="B338" s="5" t="s">
        <v>471</v>
      </c>
      <c r="C338" s="5" t="s">
        <v>96</v>
      </c>
      <c r="D338" s="5" t="s">
        <v>475</v>
      </c>
      <c r="E338" s="5" t="s">
        <v>476</v>
      </c>
    </row>
    <row r="339" customFormat="false" ht="15" hidden="false" customHeight="true" outlineLevel="0" collapsed="false">
      <c r="A339" s="5" t="n">
        <v>60</v>
      </c>
      <c r="B339" s="5" t="s">
        <v>477</v>
      </c>
      <c r="C339" s="5" t="s">
        <v>77</v>
      </c>
      <c r="D339" s="5" t="s">
        <v>81</v>
      </c>
      <c r="E339" s="5" t="s">
        <v>81</v>
      </c>
    </row>
    <row r="340" customFormat="false" ht="15" hidden="false" customHeight="true" outlineLevel="0" collapsed="false">
      <c r="A340" s="5" t="n">
        <v>60</v>
      </c>
      <c r="B340" s="5" t="s">
        <v>477</v>
      </c>
      <c r="C340" s="5" t="s">
        <v>77</v>
      </c>
      <c r="D340" s="5" t="s">
        <v>78</v>
      </c>
      <c r="E340" s="5" t="s">
        <v>78</v>
      </c>
    </row>
    <row r="341" customFormat="false" ht="15" hidden="false" customHeight="true" outlineLevel="0" collapsed="false">
      <c r="A341" s="5" t="n">
        <v>60</v>
      </c>
      <c r="B341" s="5" t="s">
        <v>477</v>
      </c>
      <c r="C341" s="5" t="s">
        <v>77</v>
      </c>
      <c r="D341" s="5" t="s">
        <v>176</v>
      </c>
      <c r="E341" s="5" t="s">
        <v>177</v>
      </c>
    </row>
    <row r="342" customFormat="false" ht="15" hidden="false" customHeight="true" outlineLevel="0" collapsed="false">
      <c r="A342" s="5" t="n">
        <v>60</v>
      </c>
      <c r="B342" s="5" t="s">
        <v>477</v>
      </c>
      <c r="C342" s="5" t="s">
        <v>77</v>
      </c>
      <c r="D342" s="5" t="s">
        <v>478</v>
      </c>
      <c r="E342" s="5" t="s">
        <v>479</v>
      </c>
    </row>
    <row r="343" customFormat="false" ht="15" hidden="false" customHeight="true" outlineLevel="0" collapsed="false">
      <c r="A343" s="5" t="n">
        <v>60</v>
      </c>
      <c r="B343" s="5" t="s">
        <v>477</v>
      </c>
      <c r="C343" s="5" t="s">
        <v>77</v>
      </c>
      <c r="D343" s="5" t="s">
        <v>400</v>
      </c>
      <c r="E343" s="5" t="s">
        <v>401</v>
      </c>
    </row>
    <row r="344" customFormat="false" ht="15" hidden="false" customHeight="true" outlineLevel="0" collapsed="false">
      <c r="A344" s="5" t="n">
        <v>60</v>
      </c>
      <c r="B344" s="5" t="s">
        <v>477</v>
      </c>
      <c r="C344" s="5" t="s">
        <v>77</v>
      </c>
      <c r="D344" s="5" t="s">
        <v>178</v>
      </c>
      <c r="E344" s="5" t="s">
        <v>179</v>
      </c>
    </row>
    <row r="345" customFormat="false" ht="15" hidden="false" customHeight="true" outlineLevel="0" collapsed="false">
      <c r="A345" s="5" t="n">
        <v>61</v>
      </c>
      <c r="B345" s="5" t="s">
        <v>480</v>
      </c>
      <c r="C345" s="5" t="s">
        <v>96</v>
      </c>
      <c r="D345" s="5" t="s">
        <v>478</v>
      </c>
      <c r="E345" s="5" t="s">
        <v>478</v>
      </c>
    </row>
    <row r="346" customFormat="false" ht="15" hidden="false" customHeight="true" outlineLevel="0" collapsed="false">
      <c r="A346" s="5" t="n">
        <v>61</v>
      </c>
      <c r="B346" s="5" t="s">
        <v>480</v>
      </c>
      <c r="C346" s="5" t="s">
        <v>96</v>
      </c>
      <c r="D346" s="5" t="s">
        <v>481</v>
      </c>
      <c r="E346" s="5" t="s">
        <v>482</v>
      </c>
    </row>
    <row r="347" customFormat="false" ht="15" hidden="false" customHeight="true" outlineLevel="0" collapsed="false">
      <c r="A347" s="5" t="n">
        <v>61</v>
      </c>
      <c r="B347" s="5" t="s">
        <v>480</v>
      </c>
      <c r="C347" s="5" t="s">
        <v>96</v>
      </c>
      <c r="D347" s="5" t="s">
        <v>313</v>
      </c>
      <c r="E347" s="5" t="s">
        <v>314</v>
      </c>
    </row>
    <row r="348" customFormat="false" ht="15" hidden="false" customHeight="true" outlineLevel="0" collapsed="false">
      <c r="A348" s="5" t="n">
        <v>61</v>
      </c>
      <c r="B348" s="5" t="s">
        <v>480</v>
      </c>
      <c r="C348" s="5" t="s">
        <v>96</v>
      </c>
      <c r="D348" s="5" t="s">
        <v>483</v>
      </c>
      <c r="E348" s="5" t="s">
        <v>484</v>
      </c>
    </row>
    <row r="349" customFormat="false" ht="15" hidden="false" customHeight="true" outlineLevel="0" collapsed="false">
      <c r="A349" s="5" t="n">
        <v>61</v>
      </c>
      <c r="B349" s="5" t="s">
        <v>480</v>
      </c>
      <c r="C349" s="5" t="s">
        <v>96</v>
      </c>
      <c r="D349" s="5" t="s">
        <v>232</v>
      </c>
      <c r="E349" s="5" t="s">
        <v>233</v>
      </c>
    </row>
    <row r="350" customFormat="false" ht="15" hidden="false" customHeight="true" outlineLevel="0" collapsed="false">
      <c r="A350" s="5" t="n">
        <v>61</v>
      </c>
      <c r="B350" s="5" t="s">
        <v>480</v>
      </c>
      <c r="C350" s="5" t="s">
        <v>96</v>
      </c>
      <c r="D350" s="5" t="s">
        <v>485</v>
      </c>
      <c r="E350" s="5" t="s">
        <v>486</v>
      </c>
    </row>
    <row r="351" customFormat="false" ht="15" hidden="false" customHeight="true" outlineLevel="0" collapsed="false">
      <c r="A351" s="5" t="n">
        <v>61</v>
      </c>
      <c r="B351" s="5" t="s">
        <v>480</v>
      </c>
      <c r="C351" s="5" t="s">
        <v>96</v>
      </c>
      <c r="D351" s="5" t="s">
        <v>61</v>
      </c>
      <c r="E351" s="5" t="s">
        <v>104</v>
      </c>
    </row>
    <row r="352" customFormat="false" ht="15" hidden="false" customHeight="true" outlineLevel="0" collapsed="false">
      <c r="A352" s="5" t="n">
        <v>62</v>
      </c>
      <c r="B352" s="5" t="s">
        <v>487</v>
      </c>
      <c r="C352" s="5" t="s">
        <v>110</v>
      </c>
      <c r="D352" s="5" t="s">
        <v>61</v>
      </c>
      <c r="E352" s="5" t="s">
        <v>61</v>
      </c>
    </row>
    <row r="353" customFormat="false" ht="15" hidden="false" customHeight="true" outlineLevel="0" collapsed="false">
      <c r="A353" s="5" t="n">
        <v>62</v>
      </c>
      <c r="B353" s="5" t="s">
        <v>487</v>
      </c>
      <c r="C353" s="5" t="s">
        <v>110</v>
      </c>
      <c r="D353" s="5" t="s">
        <v>449</v>
      </c>
      <c r="E353" s="5" t="s">
        <v>488</v>
      </c>
    </row>
    <row r="354" customFormat="false" ht="15" hidden="false" customHeight="true" outlineLevel="0" collapsed="false">
      <c r="A354" s="5" t="n">
        <v>62</v>
      </c>
      <c r="B354" s="5" t="s">
        <v>487</v>
      </c>
      <c r="C354" s="5" t="s">
        <v>110</v>
      </c>
      <c r="D354" s="5" t="s">
        <v>40</v>
      </c>
      <c r="E354" s="5" t="s">
        <v>165</v>
      </c>
    </row>
    <row r="355" customFormat="false" ht="15" hidden="false" customHeight="true" outlineLevel="0" collapsed="false">
      <c r="A355" s="5" t="n">
        <v>62</v>
      </c>
      <c r="B355" s="5" t="s">
        <v>487</v>
      </c>
      <c r="C355" s="5" t="s">
        <v>110</v>
      </c>
      <c r="D355" s="5" t="s">
        <v>489</v>
      </c>
      <c r="E355" s="5" t="s">
        <v>490</v>
      </c>
    </row>
    <row r="356" customFormat="false" ht="15" hidden="false" customHeight="true" outlineLevel="0" collapsed="false">
      <c r="A356" s="5" t="n">
        <v>62</v>
      </c>
      <c r="B356" s="5" t="s">
        <v>487</v>
      </c>
      <c r="C356" s="5" t="s">
        <v>110</v>
      </c>
      <c r="D356" s="5" t="s">
        <v>232</v>
      </c>
      <c r="E356" s="5" t="s">
        <v>491</v>
      </c>
    </row>
    <row r="357" customFormat="false" ht="15" hidden="false" customHeight="true" outlineLevel="0" collapsed="false">
      <c r="A357" s="5" t="n">
        <v>62</v>
      </c>
      <c r="B357" s="5" t="s">
        <v>487</v>
      </c>
      <c r="C357" s="5" t="s">
        <v>110</v>
      </c>
      <c r="D357" s="5" t="s">
        <v>48</v>
      </c>
      <c r="E357" s="5" t="s">
        <v>49</v>
      </c>
    </row>
    <row r="358" customFormat="false" ht="15" hidden="false" customHeight="true" outlineLevel="0" collapsed="false">
      <c r="A358" s="5" t="n">
        <v>63</v>
      </c>
      <c r="B358" s="5" t="s">
        <v>492</v>
      </c>
      <c r="C358" s="5" t="s">
        <v>51</v>
      </c>
      <c r="D358" s="5" t="s">
        <v>39</v>
      </c>
      <c r="E358" s="5" t="s">
        <v>39</v>
      </c>
    </row>
    <row r="359" customFormat="false" ht="15" hidden="false" customHeight="true" outlineLevel="0" collapsed="false">
      <c r="A359" s="5" t="n">
        <v>63</v>
      </c>
      <c r="B359" s="5" t="s">
        <v>492</v>
      </c>
      <c r="C359" s="5" t="s">
        <v>51</v>
      </c>
      <c r="D359" s="5" t="s">
        <v>394</v>
      </c>
      <c r="E359" s="5" t="s">
        <v>395</v>
      </c>
    </row>
    <row r="360" customFormat="false" ht="15" hidden="false" customHeight="true" outlineLevel="0" collapsed="false">
      <c r="A360" s="5" t="n">
        <v>63</v>
      </c>
      <c r="B360" s="5" t="s">
        <v>492</v>
      </c>
      <c r="C360" s="5" t="s">
        <v>51</v>
      </c>
      <c r="D360" s="5" t="s">
        <v>481</v>
      </c>
      <c r="E360" s="5" t="s">
        <v>482</v>
      </c>
    </row>
    <row r="361" customFormat="false" ht="15" hidden="false" customHeight="true" outlineLevel="0" collapsed="false">
      <c r="A361" s="5" t="n">
        <v>63</v>
      </c>
      <c r="B361" s="5" t="s">
        <v>492</v>
      </c>
      <c r="C361" s="5" t="s">
        <v>51</v>
      </c>
      <c r="D361" s="5" t="s">
        <v>493</v>
      </c>
      <c r="E361" s="5" t="s">
        <v>494</v>
      </c>
    </row>
    <row r="362" customFormat="false" ht="15" hidden="false" customHeight="true" outlineLevel="0" collapsed="false">
      <c r="A362" s="5" t="n">
        <v>63</v>
      </c>
      <c r="B362" s="5" t="s">
        <v>492</v>
      </c>
      <c r="C362" s="5" t="s">
        <v>51</v>
      </c>
      <c r="D362" s="5" t="s">
        <v>232</v>
      </c>
      <c r="E362" s="5" t="s">
        <v>233</v>
      </c>
    </row>
    <row r="363" customFormat="false" ht="15" hidden="false" customHeight="true" outlineLevel="0" collapsed="false">
      <c r="A363" s="5" t="n">
        <v>63</v>
      </c>
      <c r="B363" s="5" t="s">
        <v>492</v>
      </c>
      <c r="C363" s="5" t="s">
        <v>51</v>
      </c>
      <c r="D363" s="5" t="s">
        <v>172</v>
      </c>
      <c r="E363" s="5" t="s">
        <v>495</v>
      </c>
    </row>
    <row r="364" customFormat="false" ht="15" hidden="false" customHeight="true" outlineLevel="0" collapsed="false">
      <c r="A364" s="5" t="n">
        <v>64</v>
      </c>
      <c r="B364" s="5" t="s">
        <v>496</v>
      </c>
      <c r="C364" s="5" t="s">
        <v>348</v>
      </c>
      <c r="D364" s="5" t="s">
        <v>310</v>
      </c>
      <c r="E364" s="5" t="s">
        <v>310</v>
      </c>
    </row>
    <row r="365" customFormat="false" ht="15" hidden="false" customHeight="true" outlineLevel="0" collapsed="false">
      <c r="A365" s="5" t="n">
        <v>64</v>
      </c>
      <c r="B365" s="5" t="s">
        <v>496</v>
      </c>
      <c r="C365" s="5" t="s">
        <v>348</v>
      </c>
      <c r="D365" s="5" t="s">
        <v>251</v>
      </c>
      <c r="E365" s="5" t="s">
        <v>252</v>
      </c>
    </row>
    <row r="366" customFormat="false" ht="15" hidden="false" customHeight="true" outlineLevel="0" collapsed="false">
      <c r="A366" s="5" t="n">
        <v>64</v>
      </c>
      <c r="B366" s="5" t="s">
        <v>496</v>
      </c>
      <c r="C366" s="5" t="s">
        <v>348</v>
      </c>
      <c r="D366" s="5" t="s">
        <v>33</v>
      </c>
      <c r="E366" s="5" t="s">
        <v>34</v>
      </c>
    </row>
    <row r="367" customFormat="false" ht="15" hidden="false" customHeight="true" outlineLevel="0" collapsed="false">
      <c r="A367" s="5" t="n">
        <v>64</v>
      </c>
      <c r="B367" s="5" t="s">
        <v>496</v>
      </c>
      <c r="C367" s="5" t="s">
        <v>348</v>
      </c>
      <c r="D367" s="5" t="s">
        <v>349</v>
      </c>
      <c r="E367" s="5" t="s">
        <v>497</v>
      </c>
    </row>
    <row r="368" customFormat="false" ht="15" hidden="false" customHeight="true" outlineLevel="0" collapsed="false">
      <c r="A368" s="5" t="n">
        <v>65</v>
      </c>
      <c r="B368" s="5" t="s">
        <v>498</v>
      </c>
      <c r="C368" s="5" t="s">
        <v>106</v>
      </c>
      <c r="D368" s="5" t="s">
        <v>469</v>
      </c>
      <c r="E368" s="5" t="s">
        <v>469</v>
      </c>
    </row>
    <row r="369" customFormat="false" ht="15" hidden="false" customHeight="true" outlineLevel="0" collapsed="false">
      <c r="A369" s="5" t="n">
        <v>65</v>
      </c>
      <c r="B369" s="5" t="s">
        <v>498</v>
      </c>
      <c r="C369" s="5" t="s">
        <v>106</v>
      </c>
      <c r="D369" s="5" t="s">
        <v>468</v>
      </c>
      <c r="E369" s="5" t="s">
        <v>499</v>
      </c>
    </row>
    <row r="370" customFormat="false" ht="15" hidden="false" customHeight="true" outlineLevel="0" collapsed="false">
      <c r="A370" s="5" t="n">
        <v>65</v>
      </c>
      <c r="B370" s="5" t="s">
        <v>498</v>
      </c>
      <c r="C370" s="5" t="s">
        <v>106</v>
      </c>
      <c r="D370" s="5" t="s">
        <v>483</v>
      </c>
      <c r="E370" s="5" t="s">
        <v>484</v>
      </c>
    </row>
    <row r="371" customFormat="false" ht="15" hidden="false" customHeight="true" outlineLevel="0" collapsed="false">
      <c r="A371" s="5" t="n">
        <v>65</v>
      </c>
      <c r="B371" s="5" t="s">
        <v>498</v>
      </c>
      <c r="C371" s="5" t="s">
        <v>106</v>
      </c>
      <c r="D371" s="5" t="s">
        <v>33</v>
      </c>
      <c r="E371" s="5" t="s">
        <v>34</v>
      </c>
    </row>
    <row r="372" customFormat="false" ht="15" hidden="false" customHeight="true" outlineLevel="0" collapsed="false">
      <c r="A372" s="5" t="n">
        <v>66</v>
      </c>
      <c r="B372" s="5" t="s">
        <v>500</v>
      </c>
      <c r="C372" s="5" t="s">
        <v>279</v>
      </c>
      <c r="D372" s="5" t="s">
        <v>129</v>
      </c>
      <c r="E372" s="5" t="s">
        <v>129</v>
      </c>
    </row>
    <row r="373" customFormat="false" ht="15" hidden="false" customHeight="true" outlineLevel="0" collapsed="false">
      <c r="A373" s="5" t="n">
        <v>66</v>
      </c>
      <c r="B373" s="5" t="s">
        <v>500</v>
      </c>
      <c r="C373" s="5" t="s">
        <v>279</v>
      </c>
      <c r="D373" s="5" t="s">
        <v>469</v>
      </c>
      <c r="E373" s="5" t="s">
        <v>470</v>
      </c>
    </row>
    <row r="374" customFormat="false" ht="15" hidden="false" customHeight="true" outlineLevel="0" collapsed="false">
      <c r="A374" s="5" t="n">
        <v>66</v>
      </c>
      <c r="B374" s="5" t="s">
        <v>500</v>
      </c>
      <c r="C374" s="5" t="s">
        <v>279</v>
      </c>
      <c r="D374" s="5" t="s">
        <v>501</v>
      </c>
      <c r="E374" s="5" t="s">
        <v>502</v>
      </c>
    </row>
    <row r="375" customFormat="false" ht="15" hidden="false" customHeight="true" outlineLevel="0" collapsed="false">
      <c r="A375" s="5" t="n">
        <v>66</v>
      </c>
      <c r="B375" s="5" t="s">
        <v>500</v>
      </c>
      <c r="C375" s="5" t="s">
        <v>279</v>
      </c>
      <c r="D375" s="5" t="s">
        <v>280</v>
      </c>
      <c r="E375" s="5" t="s">
        <v>281</v>
      </c>
    </row>
    <row r="376" customFormat="false" ht="15" hidden="false" customHeight="true" outlineLevel="0" collapsed="false">
      <c r="A376" s="5" t="n">
        <v>66</v>
      </c>
      <c r="B376" s="5" t="s">
        <v>500</v>
      </c>
      <c r="C376" s="5" t="s">
        <v>279</v>
      </c>
      <c r="D376" s="5" t="s">
        <v>503</v>
      </c>
      <c r="E376" s="5" t="s">
        <v>504</v>
      </c>
    </row>
    <row r="377" customFormat="false" ht="15" hidden="false" customHeight="true" outlineLevel="0" collapsed="false">
      <c r="A377" s="5" t="n">
        <v>67</v>
      </c>
      <c r="B377" s="5" t="s">
        <v>505</v>
      </c>
      <c r="C377" s="5" t="s">
        <v>38</v>
      </c>
      <c r="D377" s="5" t="s">
        <v>351</v>
      </c>
      <c r="E377" s="5" t="s">
        <v>351</v>
      </c>
    </row>
    <row r="378" customFormat="false" ht="15" hidden="false" customHeight="true" outlineLevel="0" collapsed="false">
      <c r="A378" s="5" t="n">
        <v>67</v>
      </c>
      <c r="B378" s="5" t="s">
        <v>505</v>
      </c>
      <c r="C378" s="5" t="s">
        <v>38</v>
      </c>
      <c r="D378" s="5" t="s">
        <v>74</v>
      </c>
      <c r="E378" s="5" t="s">
        <v>75</v>
      </c>
    </row>
    <row r="379" customFormat="false" ht="15" hidden="false" customHeight="true" outlineLevel="0" collapsed="false">
      <c r="A379" s="5" t="n">
        <v>67</v>
      </c>
      <c r="B379" s="5" t="s">
        <v>505</v>
      </c>
      <c r="C379" s="5" t="s">
        <v>38</v>
      </c>
      <c r="D379" s="5" t="s">
        <v>506</v>
      </c>
      <c r="E379" s="5" t="s">
        <v>507</v>
      </c>
    </row>
    <row r="380" customFormat="false" ht="15" hidden="false" customHeight="true" outlineLevel="0" collapsed="false">
      <c r="A380" s="5" t="n">
        <v>67</v>
      </c>
      <c r="B380" s="5" t="s">
        <v>505</v>
      </c>
      <c r="C380" s="5" t="s">
        <v>38</v>
      </c>
      <c r="D380" s="5" t="s">
        <v>508</v>
      </c>
      <c r="E380" s="5" t="s">
        <v>509</v>
      </c>
    </row>
    <row r="381" customFormat="false" ht="15" hidden="false" customHeight="true" outlineLevel="0" collapsed="false">
      <c r="A381" s="5" t="n">
        <v>68</v>
      </c>
      <c r="B381" s="5" t="s">
        <v>510</v>
      </c>
      <c r="C381" s="5" t="s">
        <v>239</v>
      </c>
      <c r="D381" s="5" t="s">
        <v>511</v>
      </c>
      <c r="E381" s="5" t="s">
        <v>511</v>
      </c>
    </row>
    <row r="382" customFormat="false" ht="15" hidden="false" customHeight="true" outlineLevel="0" collapsed="false">
      <c r="A382" s="5" t="n">
        <v>68</v>
      </c>
      <c r="B382" s="5" t="s">
        <v>510</v>
      </c>
      <c r="C382" s="5" t="s">
        <v>239</v>
      </c>
      <c r="D382" s="5" t="s">
        <v>321</v>
      </c>
      <c r="E382" s="5" t="s">
        <v>322</v>
      </c>
    </row>
    <row r="383" customFormat="false" ht="15" hidden="false" customHeight="true" outlineLevel="0" collapsed="false">
      <c r="A383" s="5" t="n">
        <v>68</v>
      </c>
      <c r="B383" s="5" t="s">
        <v>510</v>
      </c>
      <c r="C383" s="5" t="s">
        <v>239</v>
      </c>
      <c r="D383" s="5" t="s">
        <v>31</v>
      </c>
      <c r="E383" s="5" t="s">
        <v>143</v>
      </c>
    </row>
    <row r="384" customFormat="false" ht="15" hidden="false" customHeight="true" outlineLevel="0" collapsed="false">
      <c r="A384" s="5" t="n">
        <v>68</v>
      </c>
      <c r="B384" s="5" t="s">
        <v>510</v>
      </c>
      <c r="C384" s="5" t="s">
        <v>239</v>
      </c>
      <c r="D384" s="5" t="s">
        <v>481</v>
      </c>
      <c r="E384" s="5" t="s">
        <v>482</v>
      </c>
    </row>
    <row r="385" customFormat="false" ht="15" hidden="false" customHeight="true" outlineLevel="0" collapsed="false">
      <c r="A385" s="5" t="n">
        <v>68</v>
      </c>
      <c r="B385" s="5" t="s">
        <v>510</v>
      </c>
      <c r="C385" s="5" t="s">
        <v>239</v>
      </c>
      <c r="D385" s="5" t="s">
        <v>512</v>
      </c>
      <c r="E385" s="5" t="s">
        <v>513</v>
      </c>
    </row>
    <row r="386" customFormat="false" ht="15" hidden="false" customHeight="true" outlineLevel="0" collapsed="false">
      <c r="A386" s="5" t="n">
        <v>69</v>
      </c>
      <c r="B386" s="5" t="s">
        <v>514</v>
      </c>
      <c r="C386" s="5" t="s">
        <v>25</v>
      </c>
      <c r="D386" s="5" t="s">
        <v>515</v>
      </c>
      <c r="E386" s="5" t="s">
        <v>515</v>
      </c>
    </row>
    <row r="387" customFormat="false" ht="15" hidden="false" customHeight="true" outlineLevel="0" collapsed="false">
      <c r="A387" s="5" t="n">
        <v>69</v>
      </c>
      <c r="B387" s="5" t="s">
        <v>514</v>
      </c>
      <c r="C387" s="5" t="s">
        <v>25</v>
      </c>
      <c r="D387" s="5" t="s">
        <v>251</v>
      </c>
      <c r="E387" s="5" t="s">
        <v>252</v>
      </c>
    </row>
    <row r="388" customFormat="false" ht="15" hidden="false" customHeight="true" outlineLevel="0" collapsed="false">
      <c r="A388" s="5" t="n">
        <v>69</v>
      </c>
      <c r="B388" s="5" t="s">
        <v>514</v>
      </c>
      <c r="C388" s="5" t="s">
        <v>25</v>
      </c>
      <c r="D388" s="5" t="s">
        <v>107</v>
      </c>
      <c r="E388" s="5" t="s">
        <v>108</v>
      </c>
    </row>
    <row r="389" customFormat="false" ht="15" hidden="false" customHeight="true" outlineLevel="0" collapsed="false">
      <c r="A389" s="5" t="n">
        <v>69</v>
      </c>
      <c r="B389" s="5" t="s">
        <v>514</v>
      </c>
      <c r="C389" s="5" t="s">
        <v>25</v>
      </c>
      <c r="D389" s="5" t="s">
        <v>68</v>
      </c>
      <c r="E389" s="5" t="s">
        <v>69</v>
      </c>
    </row>
    <row r="390" customFormat="false" ht="15" hidden="false" customHeight="true" outlineLevel="0" collapsed="false">
      <c r="A390" s="5" t="n">
        <v>69</v>
      </c>
      <c r="B390" s="5" t="s">
        <v>514</v>
      </c>
      <c r="C390" s="5" t="s">
        <v>25</v>
      </c>
      <c r="D390" s="5" t="s">
        <v>33</v>
      </c>
      <c r="E390" s="5" t="s">
        <v>34</v>
      </c>
    </row>
    <row r="391" customFormat="false" ht="15" hidden="false" customHeight="true" outlineLevel="0" collapsed="false">
      <c r="A391" s="5" t="n">
        <v>69</v>
      </c>
      <c r="B391" s="5" t="s">
        <v>514</v>
      </c>
      <c r="C391" s="5" t="s">
        <v>25</v>
      </c>
      <c r="D391" s="5" t="s">
        <v>516</v>
      </c>
      <c r="E391" s="5" t="s">
        <v>517</v>
      </c>
    </row>
    <row r="392" customFormat="false" ht="15" hidden="false" customHeight="true" outlineLevel="0" collapsed="false">
      <c r="A392" s="5" t="n">
        <v>70</v>
      </c>
      <c r="B392" s="5" t="s">
        <v>518</v>
      </c>
      <c r="C392" s="5" t="s">
        <v>519</v>
      </c>
      <c r="D392" s="5" t="s">
        <v>520</v>
      </c>
      <c r="E392" s="5" t="s">
        <v>520</v>
      </c>
    </row>
    <row r="393" customFormat="false" ht="15" hidden="false" customHeight="true" outlineLevel="0" collapsed="false">
      <c r="A393" s="5" t="n">
        <v>70</v>
      </c>
      <c r="B393" s="5" t="s">
        <v>518</v>
      </c>
      <c r="C393" s="5" t="s">
        <v>519</v>
      </c>
      <c r="D393" s="5" t="s">
        <v>112</v>
      </c>
      <c r="E393" s="5" t="s">
        <v>113</v>
      </c>
    </row>
    <row r="394" customFormat="false" ht="15" hidden="false" customHeight="true" outlineLevel="0" collapsed="false">
      <c r="A394" s="5" t="n">
        <v>70</v>
      </c>
      <c r="B394" s="5" t="s">
        <v>518</v>
      </c>
      <c r="C394" s="5" t="s">
        <v>519</v>
      </c>
      <c r="D394" s="5" t="s">
        <v>114</v>
      </c>
      <c r="E394" s="5" t="s">
        <v>115</v>
      </c>
    </row>
    <row r="395" customFormat="false" ht="15" hidden="false" customHeight="true" outlineLevel="0" collapsed="false">
      <c r="A395" s="5" t="n">
        <v>70</v>
      </c>
      <c r="B395" s="5" t="s">
        <v>518</v>
      </c>
      <c r="C395" s="5" t="s">
        <v>519</v>
      </c>
      <c r="D395" s="5" t="s">
        <v>221</v>
      </c>
      <c r="E395" s="5" t="s">
        <v>222</v>
      </c>
    </row>
    <row r="396" customFormat="false" ht="15" hidden="false" customHeight="true" outlineLevel="0" collapsed="false">
      <c r="A396" s="5" t="n">
        <v>70</v>
      </c>
      <c r="B396" s="5" t="s">
        <v>518</v>
      </c>
      <c r="C396" s="5" t="s">
        <v>519</v>
      </c>
      <c r="D396" s="5" t="s">
        <v>118</v>
      </c>
      <c r="E396" s="5" t="s">
        <v>206</v>
      </c>
    </row>
    <row r="397" customFormat="false" ht="15" hidden="false" customHeight="true" outlineLevel="0" collapsed="false">
      <c r="A397" s="5" t="n">
        <v>71</v>
      </c>
      <c r="B397" s="5" t="s">
        <v>521</v>
      </c>
      <c r="C397" s="5" t="s">
        <v>163</v>
      </c>
      <c r="D397" s="5" t="s">
        <v>164</v>
      </c>
      <c r="E397" s="5" t="s">
        <v>164</v>
      </c>
    </row>
    <row r="398" customFormat="false" ht="15" hidden="false" customHeight="true" outlineLevel="0" collapsed="false">
      <c r="A398" s="5" t="n">
        <v>71</v>
      </c>
      <c r="B398" s="5" t="s">
        <v>521</v>
      </c>
      <c r="C398" s="5" t="s">
        <v>163</v>
      </c>
      <c r="D398" s="5" t="s">
        <v>356</v>
      </c>
      <c r="E398" s="5" t="s">
        <v>522</v>
      </c>
    </row>
    <row r="399" customFormat="false" ht="15" hidden="false" customHeight="true" outlineLevel="0" collapsed="false">
      <c r="A399" s="5" t="n">
        <v>71</v>
      </c>
      <c r="B399" s="5" t="s">
        <v>521</v>
      </c>
      <c r="C399" s="5" t="s">
        <v>163</v>
      </c>
      <c r="D399" s="5" t="s">
        <v>485</v>
      </c>
      <c r="E399" s="5" t="s">
        <v>523</v>
      </c>
    </row>
    <row r="400" customFormat="false" ht="15" hidden="false" customHeight="true" outlineLevel="0" collapsed="false">
      <c r="A400" s="5" t="n">
        <v>71</v>
      </c>
      <c r="B400" s="5" t="s">
        <v>521</v>
      </c>
      <c r="C400" s="5" t="s">
        <v>163</v>
      </c>
      <c r="D400" s="5" t="s">
        <v>405</v>
      </c>
      <c r="E400" s="5" t="s">
        <v>524</v>
      </c>
    </row>
    <row r="401" customFormat="false" ht="15" hidden="false" customHeight="true" outlineLevel="0" collapsed="false">
      <c r="A401" s="5" t="n">
        <v>71</v>
      </c>
      <c r="B401" s="5" t="s">
        <v>521</v>
      </c>
      <c r="C401" s="5" t="s">
        <v>163</v>
      </c>
      <c r="D401" s="5" t="s">
        <v>166</v>
      </c>
      <c r="E401" s="5" t="s">
        <v>167</v>
      </c>
    </row>
    <row r="402" customFormat="false" ht="15" hidden="false" customHeight="true" outlineLevel="0" collapsed="false">
      <c r="A402" s="5" t="n">
        <v>72</v>
      </c>
      <c r="B402" s="5" t="s">
        <v>525</v>
      </c>
      <c r="C402" s="5" t="s">
        <v>135</v>
      </c>
      <c r="D402" s="5" t="s">
        <v>141</v>
      </c>
      <c r="E402" s="5" t="s">
        <v>141</v>
      </c>
    </row>
    <row r="403" customFormat="false" ht="15" hidden="false" customHeight="true" outlineLevel="0" collapsed="false">
      <c r="A403" s="5" t="n">
        <v>72</v>
      </c>
      <c r="B403" s="5" t="s">
        <v>525</v>
      </c>
      <c r="C403" s="5" t="s">
        <v>135</v>
      </c>
      <c r="D403" s="5" t="s">
        <v>137</v>
      </c>
      <c r="E403" s="5" t="s">
        <v>138</v>
      </c>
    </row>
    <row r="404" customFormat="false" ht="15" hidden="false" customHeight="true" outlineLevel="0" collapsed="false">
      <c r="A404" s="5" t="n">
        <v>72</v>
      </c>
      <c r="B404" s="5" t="s">
        <v>525</v>
      </c>
      <c r="C404" s="5" t="s">
        <v>135</v>
      </c>
      <c r="D404" s="5" t="s">
        <v>33</v>
      </c>
      <c r="E404" s="5" t="s">
        <v>34</v>
      </c>
    </row>
    <row r="405" customFormat="false" ht="15" hidden="false" customHeight="true" outlineLevel="0" collapsed="false">
      <c r="A405" s="5" t="n">
        <v>72</v>
      </c>
      <c r="B405" s="5" t="s">
        <v>525</v>
      </c>
      <c r="C405" s="5" t="s">
        <v>135</v>
      </c>
      <c r="D405" s="5" t="s">
        <v>70</v>
      </c>
      <c r="E405" s="5" t="s">
        <v>71</v>
      </c>
    </row>
    <row r="406" customFormat="false" ht="15" hidden="false" customHeight="true" outlineLevel="0" collapsed="false">
      <c r="A406" s="5" t="n">
        <v>72</v>
      </c>
      <c r="B406" s="5" t="s">
        <v>525</v>
      </c>
      <c r="C406" s="5" t="s">
        <v>135</v>
      </c>
      <c r="D406" s="5" t="s">
        <v>351</v>
      </c>
      <c r="E406" s="5" t="s">
        <v>352</v>
      </c>
    </row>
    <row r="407" customFormat="false" ht="15" hidden="false" customHeight="true" outlineLevel="0" collapsed="false">
      <c r="A407" s="5" t="n">
        <v>72</v>
      </c>
      <c r="B407" s="5" t="s">
        <v>525</v>
      </c>
      <c r="C407" s="5" t="s">
        <v>135</v>
      </c>
      <c r="D407" s="5" t="s">
        <v>321</v>
      </c>
      <c r="E407" s="5" t="s">
        <v>526</v>
      </c>
    </row>
    <row r="408" customFormat="false" ht="15" hidden="false" customHeight="true" outlineLevel="0" collapsed="false">
      <c r="A408" s="5" t="n">
        <v>73</v>
      </c>
      <c r="B408" s="5" t="s">
        <v>527</v>
      </c>
      <c r="C408" s="5" t="s">
        <v>286</v>
      </c>
      <c r="D408" s="5" t="s">
        <v>287</v>
      </c>
      <c r="E408" s="5" t="s">
        <v>287</v>
      </c>
    </row>
    <row r="409" customFormat="false" ht="15" hidden="false" customHeight="true" outlineLevel="0" collapsed="false">
      <c r="A409" s="5" t="n">
        <v>73</v>
      </c>
      <c r="B409" s="5" t="s">
        <v>527</v>
      </c>
      <c r="C409" s="5" t="s">
        <v>286</v>
      </c>
      <c r="D409" s="5" t="s">
        <v>185</v>
      </c>
      <c r="E409" s="5" t="s">
        <v>186</v>
      </c>
    </row>
    <row r="410" customFormat="false" ht="15" hidden="false" customHeight="true" outlineLevel="0" collapsed="false">
      <c r="A410" s="5" t="n">
        <v>73</v>
      </c>
      <c r="B410" s="5" t="s">
        <v>527</v>
      </c>
      <c r="C410" s="5" t="s">
        <v>286</v>
      </c>
      <c r="D410" s="5" t="s">
        <v>528</v>
      </c>
      <c r="E410" s="5" t="s">
        <v>529</v>
      </c>
    </row>
    <row r="411" customFormat="false" ht="15" hidden="false" customHeight="true" outlineLevel="0" collapsed="false">
      <c r="A411" s="5" t="n">
        <v>73</v>
      </c>
      <c r="B411" s="5" t="s">
        <v>527</v>
      </c>
      <c r="C411" s="5" t="s">
        <v>286</v>
      </c>
      <c r="D411" s="5" t="s">
        <v>241</v>
      </c>
      <c r="E411" s="5" t="s">
        <v>242</v>
      </c>
    </row>
    <row r="412" customFormat="false" ht="15" hidden="false" customHeight="true" outlineLevel="0" collapsed="false">
      <c r="A412" s="5" t="n">
        <v>73</v>
      </c>
      <c r="B412" s="5" t="s">
        <v>527</v>
      </c>
      <c r="C412" s="5" t="s">
        <v>286</v>
      </c>
      <c r="D412" s="5" t="s">
        <v>232</v>
      </c>
      <c r="E412" s="5" t="s">
        <v>233</v>
      </c>
    </row>
    <row r="413" customFormat="false" ht="15" hidden="false" customHeight="true" outlineLevel="0" collapsed="false">
      <c r="A413" s="5" t="n">
        <v>74</v>
      </c>
      <c r="B413" s="5" t="s">
        <v>530</v>
      </c>
      <c r="C413" s="5" t="s">
        <v>181</v>
      </c>
      <c r="D413" s="5" t="s">
        <v>414</v>
      </c>
      <c r="E413" s="5" t="s">
        <v>531</v>
      </c>
    </row>
    <row r="414" customFormat="false" ht="15" hidden="false" customHeight="true" outlineLevel="0" collapsed="false">
      <c r="A414" s="5" t="n">
        <v>74</v>
      </c>
      <c r="B414" s="5" t="s">
        <v>530</v>
      </c>
      <c r="C414" s="5" t="s">
        <v>181</v>
      </c>
      <c r="D414" s="5" t="s">
        <v>532</v>
      </c>
      <c r="E414" s="5" t="s">
        <v>533</v>
      </c>
    </row>
    <row r="415" customFormat="false" ht="15" hidden="false" customHeight="true" outlineLevel="0" collapsed="false">
      <c r="A415" s="5" t="n">
        <v>74</v>
      </c>
      <c r="B415" s="5" t="s">
        <v>530</v>
      </c>
      <c r="C415" s="5" t="s">
        <v>181</v>
      </c>
      <c r="D415" s="5" t="s">
        <v>534</v>
      </c>
      <c r="E415" s="5" t="s">
        <v>535</v>
      </c>
    </row>
    <row r="416" customFormat="false" ht="15" hidden="false" customHeight="true" outlineLevel="0" collapsed="false">
      <c r="A416" s="5" t="n">
        <v>74</v>
      </c>
      <c r="B416" s="5" t="s">
        <v>530</v>
      </c>
      <c r="C416" s="5" t="s">
        <v>181</v>
      </c>
      <c r="D416" s="5" t="s">
        <v>225</v>
      </c>
      <c r="E416" s="5" t="s">
        <v>226</v>
      </c>
    </row>
    <row r="417" customFormat="false" ht="15" hidden="false" customHeight="true" outlineLevel="0" collapsed="false">
      <c r="A417" s="5" t="n">
        <v>75</v>
      </c>
      <c r="B417" s="5" t="s">
        <v>536</v>
      </c>
      <c r="C417" s="5" t="s">
        <v>137</v>
      </c>
      <c r="D417" s="5" t="s">
        <v>137</v>
      </c>
      <c r="E417" s="5" t="s">
        <v>137</v>
      </c>
    </row>
    <row r="418" customFormat="false" ht="15" hidden="false" customHeight="true" outlineLevel="0" collapsed="false">
      <c r="A418" s="5" t="n">
        <v>75</v>
      </c>
      <c r="B418" s="5" t="s">
        <v>536</v>
      </c>
      <c r="C418" s="5" t="s">
        <v>137</v>
      </c>
      <c r="D418" s="5" t="s">
        <v>33</v>
      </c>
      <c r="E418" s="5" t="s">
        <v>34</v>
      </c>
    </row>
    <row r="419" customFormat="false" ht="15" hidden="false" customHeight="true" outlineLevel="0" collapsed="false">
      <c r="A419" s="5" t="n">
        <v>75</v>
      </c>
      <c r="B419" s="5" t="s">
        <v>536</v>
      </c>
      <c r="C419" s="5" t="s">
        <v>137</v>
      </c>
      <c r="D419" s="5" t="s">
        <v>44</v>
      </c>
      <c r="E419" s="5" t="s">
        <v>99</v>
      </c>
    </row>
    <row r="420" customFormat="false" ht="15" hidden="false" customHeight="true" outlineLevel="0" collapsed="false">
      <c r="A420" s="5" t="n">
        <v>75</v>
      </c>
      <c r="B420" s="5" t="s">
        <v>536</v>
      </c>
      <c r="C420" s="5" t="s">
        <v>137</v>
      </c>
      <c r="D420" s="5" t="s">
        <v>537</v>
      </c>
      <c r="E420" s="5" t="s">
        <v>538</v>
      </c>
    </row>
    <row r="421" customFormat="false" ht="15" hidden="false" customHeight="true" outlineLevel="0" collapsed="false">
      <c r="A421" s="5" t="n">
        <v>75</v>
      </c>
      <c r="B421" s="5" t="s">
        <v>536</v>
      </c>
      <c r="C421" s="5" t="s">
        <v>137</v>
      </c>
      <c r="D421" s="5" t="s">
        <v>539</v>
      </c>
      <c r="E421" s="5" t="s">
        <v>540</v>
      </c>
    </row>
    <row r="422" customFormat="false" ht="15" hidden="false" customHeight="true" outlineLevel="0" collapsed="false">
      <c r="A422" s="5" t="n">
        <v>76</v>
      </c>
      <c r="B422" s="5" t="s">
        <v>541</v>
      </c>
      <c r="C422" s="5" t="s">
        <v>239</v>
      </c>
      <c r="D422" s="5" t="s">
        <v>68</v>
      </c>
      <c r="E422" s="5" t="s">
        <v>68</v>
      </c>
    </row>
    <row r="423" customFormat="false" ht="15" hidden="false" customHeight="true" outlineLevel="0" collapsed="false">
      <c r="A423" s="5" t="n">
        <v>76</v>
      </c>
      <c r="B423" s="5" t="s">
        <v>541</v>
      </c>
      <c r="C423" s="5" t="s">
        <v>239</v>
      </c>
      <c r="D423" s="5" t="s">
        <v>542</v>
      </c>
      <c r="E423" s="5" t="s">
        <v>543</v>
      </c>
    </row>
    <row r="424" customFormat="false" ht="15" hidden="false" customHeight="true" outlineLevel="0" collapsed="false">
      <c r="A424" s="5" t="n">
        <v>76</v>
      </c>
      <c r="B424" s="5" t="s">
        <v>541</v>
      </c>
      <c r="C424" s="5" t="s">
        <v>239</v>
      </c>
      <c r="D424" s="5" t="s">
        <v>321</v>
      </c>
      <c r="E424" s="5" t="s">
        <v>322</v>
      </c>
    </row>
    <row r="425" customFormat="false" ht="15" hidden="false" customHeight="true" outlineLevel="0" collapsed="false">
      <c r="A425" s="5" t="n">
        <v>76</v>
      </c>
      <c r="B425" s="5" t="s">
        <v>541</v>
      </c>
      <c r="C425" s="5" t="s">
        <v>239</v>
      </c>
      <c r="D425" s="5" t="s">
        <v>240</v>
      </c>
      <c r="E425" s="5" t="s">
        <v>544</v>
      </c>
    </row>
    <row r="426" customFormat="false" ht="15" hidden="false" customHeight="true" outlineLevel="0" collapsed="false">
      <c r="A426" s="5" t="n">
        <v>76</v>
      </c>
      <c r="B426" s="5" t="s">
        <v>541</v>
      </c>
      <c r="C426" s="5" t="s">
        <v>239</v>
      </c>
      <c r="D426" s="5" t="s">
        <v>545</v>
      </c>
      <c r="E426" s="5" t="s">
        <v>546</v>
      </c>
    </row>
    <row r="427" customFormat="false" ht="15" hidden="false" customHeight="true" outlineLevel="0" collapsed="false">
      <c r="A427" s="5" t="n">
        <v>77</v>
      </c>
      <c r="B427" s="5" t="s">
        <v>547</v>
      </c>
      <c r="C427" s="5" t="s">
        <v>154</v>
      </c>
      <c r="D427" s="5" t="s">
        <v>548</v>
      </c>
      <c r="E427" s="5" t="s">
        <v>549</v>
      </c>
    </row>
    <row r="428" customFormat="false" ht="15" hidden="false" customHeight="true" outlineLevel="0" collapsed="false">
      <c r="A428" s="5" t="n">
        <v>77</v>
      </c>
      <c r="B428" s="5" t="s">
        <v>547</v>
      </c>
      <c r="C428" s="5" t="s">
        <v>154</v>
      </c>
      <c r="D428" s="5" t="s">
        <v>468</v>
      </c>
      <c r="E428" s="5" t="s">
        <v>550</v>
      </c>
    </row>
    <row r="429" customFormat="false" ht="15" hidden="false" customHeight="true" outlineLevel="0" collapsed="false">
      <c r="A429" s="5" t="n">
        <v>77</v>
      </c>
      <c r="B429" s="5" t="s">
        <v>547</v>
      </c>
      <c r="C429" s="5" t="s">
        <v>154</v>
      </c>
      <c r="D429" s="5" t="s">
        <v>246</v>
      </c>
      <c r="E429" s="5" t="s">
        <v>551</v>
      </c>
    </row>
    <row r="430" customFormat="false" ht="15" hidden="false" customHeight="true" outlineLevel="0" collapsed="false">
      <c r="A430" s="5" t="n">
        <v>77</v>
      </c>
      <c r="B430" s="5" t="s">
        <v>547</v>
      </c>
      <c r="C430" s="5" t="s">
        <v>154</v>
      </c>
      <c r="D430" s="5" t="s">
        <v>325</v>
      </c>
      <c r="E430" s="5" t="s">
        <v>326</v>
      </c>
    </row>
    <row r="431" customFormat="false" ht="15" hidden="false" customHeight="true" outlineLevel="0" collapsed="false">
      <c r="A431" s="5" t="n">
        <v>77</v>
      </c>
      <c r="B431" s="5" t="s">
        <v>547</v>
      </c>
      <c r="C431" s="5" t="s">
        <v>154</v>
      </c>
      <c r="D431" s="5" t="s">
        <v>552</v>
      </c>
      <c r="E431" s="5" t="s">
        <v>553</v>
      </c>
    </row>
    <row r="432" customFormat="false" ht="15" hidden="false" customHeight="true" outlineLevel="0" collapsed="false">
      <c r="A432" s="5" t="n">
        <v>77</v>
      </c>
      <c r="B432" s="5" t="s">
        <v>547</v>
      </c>
      <c r="C432" s="5" t="s">
        <v>154</v>
      </c>
      <c r="D432" s="5" t="s">
        <v>447</v>
      </c>
      <c r="E432" s="5" t="s">
        <v>448</v>
      </c>
    </row>
    <row r="433" customFormat="false" ht="15" hidden="false" customHeight="true" outlineLevel="0" collapsed="false">
      <c r="A433" s="5" t="n">
        <v>78</v>
      </c>
      <c r="B433" s="5" t="s">
        <v>554</v>
      </c>
      <c r="C433" s="5" t="s">
        <v>110</v>
      </c>
      <c r="D433" s="5" t="s">
        <v>333</v>
      </c>
      <c r="E433" s="5" t="s">
        <v>333</v>
      </c>
    </row>
    <row r="434" customFormat="false" ht="15" hidden="false" customHeight="true" outlineLevel="0" collapsed="false">
      <c r="A434" s="5" t="n">
        <v>78</v>
      </c>
      <c r="B434" s="5" t="s">
        <v>554</v>
      </c>
      <c r="C434" s="5" t="s">
        <v>110</v>
      </c>
      <c r="D434" s="5" t="s">
        <v>276</v>
      </c>
      <c r="E434" s="5" t="s">
        <v>555</v>
      </c>
    </row>
    <row r="435" customFormat="false" ht="15" hidden="false" customHeight="true" outlineLevel="0" collapsed="false">
      <c r="A435" s="5" t="n">
        <v>78</v>
      </c>
      <c r="B435" s="5" t="s">
        <v>554</v>
      </c>
      <c r="C435" s="5" t="s">
        <v>110</v>
      </c>
      <c r="D435" s="5" t="s">
        <v>195</v>
      </c>
      <c r="E435" s="5" t="s">
        <v>556</v>
      </c>
    </row>
    <row r="436" customFormat="false" ht="15" hidden="false" customHeight="true" outlineLevel="0" collapsed="false">
      <c r="A436" s="5" t="n">
        <v>78</v>
      </c>
      <c r="B436" s="5" t="s">
        <v>554</v>
      </c>
      <c r="C436" s="5" t="s">
        <v>110</v>
      </c>
      <c r="D436" s="5" t="s">
        <v>338</v>
      </c>
      <c r="E436" s="5" t="s">
        <v>557</v>
      </c>
    </row>
    <row r="437" customFormat="false" ht="15" hidden="false" customHeight="true" outlineLevel="0" collapsed="false">
      <c r="A437" s="5" t="n">
        <v>79</v>
      </c>
      <c r="B437" s="5" t="s">
        <v>558</v>
      </c>
      <c r="C437" s="5" t="s">
        <v>210</v>
      </c>
      <c r="D437" s="5" t="s">
        <v>559</v>
      </c>
      <c r="E437" s="5" t="s">
        <v>560</v>
      </c>
    </row>
    <row r="438" customFormat="false" ht="15" hidden="false" customHeight="true" outlineLevel="0" collapsed="false">
      <c r="A438" s="5" t="n">
        <v>79</v>
      </c>
      <c r="B438" s="5" t="s">
        <v>558</v>
      </c>
      <c r="C438" s="5" t="s">
        <v>210</v>
      </c>
      <c r="D438" s="5" t="s">
        <v>428</v>
      </c>
      <c r="E438" s="5" t="s">
        <v>429</v>
      </c>
    </row>
    <row r="439" customFormat="false" ht="15" hidden="false" customHeight="true" outlineLevel="0" collapsed="false">
      <c r="A439" s="5" t="n">
        <v>79</v>
      </c>
      <c r="B439" s="5" t="s">
        <v>558</v>
      </c>
      <c r="C439" s="5" t="s">
        <v>210</v>
      </c>
      <c r="D439" s="5" t="s">
        <v>561</v>
      </c>
      <c r="E439" s="5" t="s">
        <v>562</v>
      </c>
    </row>
    <row r="440" customFormat="false" ht="15" hidden="false" customHeight="true" outlineLevel="0" collapsed="false">
      <c r="A440" s="5" t="n">
        <v>79</v>
      </c>
      <c r="B440" s="5" t="s">
        <v>558</v>
      </c>
      <c r="C440" s="5" t="s">
        <v>210</v>
      </c>
      <c r="D440" s="5" t="s">
        <v>187</v>
      </c>
      <c r="E440" s="5" t="s">
        <v>562</v>
      </c>
    </row>
    <row r="441" customFormat="false" ht="15" hidden="false" customHeight="true" outlineLevel="0" collapsed="false">
      <c r="A441" s="5" t="n">
        <v>79</v>
      </c>
      <c r="B441" s="5" t="s">
        <v>558</v>
      </c>
      <c r="C441" s="5" t="s">
        <v>210</v>
      </c>
      <c r="D441" s="5" t="s">
        <v>255</v>
      </c>
      <c r="E441" s="5" t="s">
        <v>256</v>
      </c>
    </row>
    <row r="442" customFormat="false" ht="15" hidden="false" customHeight="true" outlineLevel="0" collapsed="false">
      <c r="A442" s="5" t="n">
        <v>80</v>
      </c>
      <c r="B442" s="5" t="s">
        <v>563</v>
      </c>
      <c r="C442" s="5" t="s">
        <v>51</v>
      </c>
      <c r="D442" s="5" t="s">
        <v>341</v>
      </c>
      <c r="E442" s="5" t="s">
        <v>341</v>
      </c>
    </row>
    <row r="443" customFormat="false" ht="15" hidden="false" customHeight="true" outlineLevel="0" collapsed="false">
      <c r="A443" s="5" t="n">
        <v>80</v>
      </c>
      <c r="B443" s="5" t="s">
        <v>563</v>
      </c>
      <c r="C443" s="5" t="s">
        <v>51</v>
      </c>
      <c r="D443" s="5" t="s">
        <v>323</v>
      </c>
      <c r="E443" s="5" t="s">
        <v>324</v>
      </c>
    </row>
    <row r="444" customFormat="false" ht="15" hidden="false" customHeight="true" outlineLevel="0" collapsed="false">
      <c r="A444" s="5" t="n">
        <v>80</v>
      </c>
      <c r="B444" s="5" t="s">
        <v>563</v>
      </c>
      <c r="C444" s="5" t="s">
        <v>51</v>
      </c>
      <c r="D444" s="5" t="s">
        <v>68</v>
      </c>
      <c r="E444" s="5" t="s">
        <v>69</v>
      </c>
    </row>
    <row r="445" customFormat="false" ht="15" hidden="false" customHeight="true" outlineLevel="0" collapsed="false">
      <c r="A445" s="5" t="n">
        <v>80</v>
      </c>
      <c r="B445" s="5" t="s">
        <v>563</v>
      </c>
      <c r="C445" s="5" t="s">
        <v>51</v>
      </c>
      <c r="D445" s="5" t="s">
        <v>331</v>
      </c>
      <c r="E445" s="5" t="s">
        <v>332</v>
      </c>
    </row>
    <row r="446" customFormat="false" ht="15" hidden="false" customHeight="true" outlineLevel="0" collapsed="false">
      <c r="A446" s="5" t="n">
        <v>80</v>
      </c>
      <c r="B446" s="5" t="s">
        <v>563</v>
      </c>
      <c r="C446" s="5" t="s">
        <v>51</v>
      </c>
      <c r="D446" s="5" t="s">
        <v>464</v>
      </c>
      <c r="E446" s="5" t="s">
        <v>564</v>
      </c>
    </row>
    <row r="447" customFormat="false" ht="15" hidden="false" customHeight="true" outlineLevel="0" collapsed="false">
      <c r="A447" s="5" t="n">
        <v>80</v>
      </c>
      <c r="B447" s="5" t="s">
        <v>563</v>
      </c>
      <c r="C447" s="5" t="s">
        <v>51</v>
      </c>
      <c r="D447" s="5" t="s">
        <v>565</v>
      </c>
      <c r="E447" s="5" t="s">
        <v>566</v>
      </c>
    </row>
    <row r="448" customFormat="false" ht="15" hidden="false" customHeight="true" outlineLevel="0" collapsed="false">
      <c r="A448" s="5" t="n">
        <v>81</v>
      </c>
      <c r="B448" s="5" t="s">
        <v>567</v>
      </c>
      <c r="C448" s="5" t="s">
        <v>163</v>
      </c>
      <c r="D448" s="5" t="s">
        <v>164</v>
      </c>
      <c r="E448" s="5" t="s">
        <v>164</v>
      </c>
    </row>
    <row r="449" customFormat="false" ht="15" hidden="false" customHeight="true" outlineLevel="0" collapsed="false">
      <c r="A449" s="5" t="n">
        <v>81</v>
      </c>
      <c r="B449" s="5" t="s">
        <v>567</v>
      </c>
      <c r="C449" s="5" t="s">
        <v>163</v>
      </c>
      <c r="D449" s="5" t="s">
        <v>214</v>
      </c>
      <c r="E449" s="5" t="s">
        <v>215</v>
      </c>
    </row>
    <row r="450" customFormat="false" ht="15" hidden="false" customHeight="true" outlineLevel="0" collapsed="false">
      <c r="A450" s="5" t="n">
        <v>81</v>
      </c>
      <c r="B450" s="5" t="s">
        <v>567</v>
      </c>
      <c r="C450" s="5" t="s">
        <v>163</v>
      </c>
      <c r="D450" s="5" t="s">
        <v>185</v>
      </c>
      <c r="E450" s="5" t="s">
        <v>186</v>
      </c>
    </row>
    <row r="451" customFormat="false" ht="15" hidden="false" customHeight="true" outlineLevel="0" collapsed="false">
      <c r="A451" s="5" t="n">
        <v>81</v>
      </c>
      <c r="B451" s="5" t="s">
        <v>567</v>
      </c>
      <c r="C451" s="5" t="s">
        <v>163</v>
      </c>
      <c r="D451" s="5" t="s">
        <v>276</v>
      </c>
      <c r="E451" s="5" t="s">
        <v>277</v>
      </c>
    </row>
    <row r="452" customFormat="false" ht="15" hidden="false" customHeight="true" outlineLevel="0" collapsed="false">
      <c r="A452" s="5" t="n">
        <v>81</v>
      </c>
      <c r="B452" s="5" t="s">
        <v>567</v>
      </c>
      <c r="C452" s="5" t="s">
        <v>163</v>
      </c>
      <c r="D452" s="5" t="s">
        <v>449</v>
      </c>
      <c r="E452" s="5" t="s">
        <v>488</v>
      </c>
    </row>
    <row r="453" customFormat="false" ht="15" hidden="false" customHeight="true" outlineLevel="0" collapsed="false">
      <c r="A453" s="5" t="n">
        <v>82</v>
      </c>
      <c r="B453" s="5" t="s">
        <v>568</v>
      </c>
      <c r="C453" s="5" t="s">
        <v>25</v>
      </c>
      <c r="D453" s="5" t="s">
        <v>569</v>
      </c>
      <c r="E453" s="5" t="s">
        <v>570</v>
      </c>
    </row>
    <row r="454" customFormat="false" ht="15" hidden="false" customHeight="true" outlineLevel="0" collapsed="false">
      <c r="A454" s="5" t="n">
        <v>82</v>
      </c>
      <c r="B454" s="5" t="s">
        <v>568</v>
      </c>
      <c r="C454" s="5" t="s">
        <v>25</v>
      </c>
      <c r="D454" s="5" t="s">
        <v>468</v>
      </c>
      <c r="E454" s="5" t="s">
        <v>499</v>
      </c>
    </row>
    <row r="455" customFormat="false" ht="15" hidden="false" customHeight="true" outlineLevel="0" collapsed="false">
      <c r="A455" s="5" t="n">
        <v>82</v>
      </c>
      <c r="B455" s="5" t="s">
        <v>568</v>
      </c>
      <c r="C455" s="5" t="s">
        <v>25</v>
      </c>
      <c r="D455" s="5" t="s">
        <v>185</v>
      </c>
      <c r="E455" s="5" t="s">
        <v>186</v>
      </c>
    </row>
    <row r="456" customFormat="false" ht="15" hidden="false" customHeight="true" outlineLevel="0" collapsed="false">
      <c r="A456" s="5" t="n">
        <v>82</v>
      </c>
      <c r="B456" s="5" t="s">
        <v>568</v>
      </c>
      <c r="C456" s="5" t="s">
        <v>25</v>
      </c>
      <c r="D456" s="5" t="s">
        <v>528</v>
      </c>
      <c r="E456" s="5" t="s">
        <v>529</v>
      </c>
    </row>
    <row r="457" customFormat="false" ht="15" hidden="false" customHeight="true" outlineLevel="0" collapsed="false">
      <c r="A457" s="5" t="n">
        <v>82</v>
      </c>
      <c r="B457" s="5" t="s">
        <v>568</v>
      </c>
      <c r="C457" s="5" t="s">
        <v>25</v>
      </c>
      <c r="D457" s="5" t="s">
        <v>219</v>
      </c>
      <c r="E457" s="5" t="s">
        <v>220</v>
      </c>
    </row>
    <row r="458" customFormat="false" ht="15" hidden="false" customHeight="true" outlineLevel="0" collapsed="false">
      <c r="A458" s="5" t="n">
        <v>83</v>
      </c>
      <c r="B458" s="5" t="s">
        <v>571</v>
      </c>
      <c r="C458" s="5" t="s">
        <v>171</v>
      </c>
      <c r="D458" s="5" t="s">
        <v>172</v>
      </c>
      <c r="E458" s="5" t="s">
        <v>172</v>
      </c>
    </row>
    <row r="459" customFormat="false" ht="15" hidden="false" customHeight="true" outlineLevel="0" collapsed="false">
      <c r="A459" s="5" t="n">
        <v>83</v>
      </c>
      <c r="B459" s="5" t="s">
        <v>571</v>
      </c>
      <c r="C459" s="5" t="s">
        <v>171</v>
      </c>
      <c r="D459" s="5" t="s">
        <v>572</v>
      </c>
      <c r="E459" s="5" t="s">
        <v>573</v>
      </c>
    </row>
    <row r="460" customFormat="false" ht="15" hidden="false" customHeight="true" outlineLevel="0" collapsed="false">
      <c r="A460" s="5" t="n">
        <v>83</v>
      </c>
      <c r="B460" s="5" t="s">
        <v>571</v>
      </c>
      <c r="C460" s="5" t="s">
        <v>171</v>
      </c>
      <c r="D460" s="5" t="s">
        <v>240</v>
      </c>
      <c r="E460" s="5" t="s">
        <v>574</v>
      </c>
    </row>
    <row r="461" customFormat="false" ht="15" hidden="false" customHeight="true" outlineLevel="0" collapsed="false">
      <c r="A461" s="5" t="n">
        <v>83</v>
      </c>
      <c r="B461" s="5" t="s">
        <v>571</v>
      </c>
      <c r="C461" s="5" t="s">
        <v>171</v>
      </c>
      <c r="D461" s="5" t="s">
        <v>331</v>
      </c>
      <c r="E461" s="5" t="s">
        <v>332</v>
      </c>
    </row>
    <row r="462" customFormat="false" ht="15" hidden="false" customHeight="true" outlineLevel="0" collapsed="false">
      <c r="A462" s="5" t="n">
        <v>84</v>
      </c>
      <c r="B462" s="5" t="s">
        <v>575</v>
      </c>
      <c r="C462" s="5" t="s">
        <v>84</v>
      </c>
      <c r="D462" s="5" t="s">
        <v>26</v>
      </c>
      <c r="E462" s="5" t="s">
        <v>26</v>
      </c>
    </row>
    <row r="463" customFormat="false" ht="15" hidden="false" customHeight="true" outlineLevel="0" collapsed="false">
      <c r="A463" s="5" t="n">
        <v>84</v>
      </c>
      <c r="B463" s="5" t="s">
        <v>575</v>
      </c>
      <c r="C463" s="5" t="s">
        <v>84</v>
      </c>
      <c r="D463" s="5" t="s">
        <v>460</v>
      </c>
      <c r="E463" s="5" t="s">
        <v>576</v>
      </c>
    </row>
    <row r="464" customFormat="false" ht="15" hidden="false" customHeight="true" outlineLevel="0" collapsed="false">
      <c r="A464" s="5" t="n">
        <v>84</v>
      </c>
      <c r="B464" s="5" t="s">
        <v>575</v>
      </c>
      <c r="C464" s="5" t="s">
        <v>84</v>
      </c>
      <c r="D464" s="5" t="s">
        <v>384</v>
      </c>
      <c r="E464" s="5" t="s">
        <v>385</v>
      </c>
    </row>
    <row r="465" customFormat="false" ht="15" hidden="false" customHeight="true" outlineLevel="0" collapsed="false">
      <c r="A465" s="5" t="n">
        <v>84</v>
      </c>
      <c r="B465" s="5" t="s">
        <v>575</v>
      </c>
      <c r="C465" s="5" t="s">
        <v>84</v>
      </c>
      <c r="D465" s="5" t="s">
        <v>74</v>
      </c>
      <c r="E465" s="5" t="s">
        <v>75</v>
      </c>
    </row>
    <row r="466" customFormat="false" ht="15" hidden="false" customHeight="true" outlineLevel="0" collapsed="false">
      <c r="A466" s="5" t="n">
        <v>85</v>
      </c>
      <c r="B466" s="5" t="s">
        <v>577</v>
      </c>
      <c r="C466" s="5" t="s">
        <v>260</v>
      </c>
      <c r="D466" s="5" t="s">
        <v>578</v>
      </c>
      <c r="E466" s="5" t="s">
        <v>578</v>
      </c>
    </row>
    <row r="467" customFormat="false" ht="15" hidden="false" customHeight="true" outlineLevel="0" collapsed="false">
      <c r="A467" s="5" t="n">
        <v>85</v>
      </c>
      <c r="B467" s="5" t="s">
        <v>577</v>
      </c>
      <c r="C467" s="5" t="s">
        <v>260</v>
      </c>
      <c r="D467" s="5" t="s">
        <v>579</v>
      </c>
      <c r="E467" s="5" t="s">
        <v>580</v>
      </c>
    </row>
    <row r="468" customFormat="false" ht="15" hidden="false" customHeight="true" outlineLevel="0" collapsed="false">
      <c r="A468" s="5" t="n">
        <v>85</v>
      </c>
      <c r="B468" s="5" t="s">
        <v>577</v>
      </c>
      <c r="C468" s="5" t="s">
        <v>260</v>
      </c>
      <c r="D468" s="5" t="s">
        <v>424</v>
      </c>
      <c r="E468" s="5" t="s">
        <v>425</v>
      </c>
    </row>
    <row r="469" customFormat="false" ht="15" hidden="false" customHeight="true" outlineLevel="0" collapsed="false">
      <c r="A469" s="5" t="n">
        <v>85</v>
      </c>
      <c r="B469" s="5" t="s">
        <v>577</v>
      </c>
      <c r="C469" s="5" t="s">
        <v>260</v>
      </c>
      <c r="D469" s="5" t="s">
        <v>74</v>
      </c>
      <c r="E469" s="5" t="s">
        <v>75</v>
      </c>
    </row>
    <row r="470" customFormat="false" ht="15" hidden="false" customHeight="true" outlineLevel="0" collapsed="false">
      <c r="A470" s="5" t="n">
        <v>86</v>
      </c>
      <c r="B470" s="5" t="s">
        <v>581</v>
      </c>
      <c r="C470" s="5" t="s">
        <v>106</v>
      </c>
      <c r="D470" s="5" t="s">
        <v>185</v>
      </c>
      <c r="E470" s="5" t="s">
        <v>185</v>
      </c>
    </row>
    <row r="471" customFormat="false" ht="15" hidden="false" customHeight="true" outlineLevel="0" collapsed="false">
      <c r="A471" s="5" t="n">
        <v>86</v>
      </c>
      <c r="B471" s="5" t="s">
        <v>581</v>
      </c>
      <c r="C471" s="5" t="s">
        <v>106</v>
      </c>
      <c r="D471" s="5" t="s">
        <v>468</v>
      </c>
      <c r="E471" s="5" t="s">
        <v>499</v>
      </c>
    </row>
    <row r="472" customFormat="false" ht="15" hidden="false" customHeight="true" outlineLevel="0" collapsed="false">
      <c r="A472" s="5" t="n">
        <v>86</v>
      </c>
      <c r="B472" s="5" t="s">
        <v>581</v>
      </c>
      <c r="C472" s="5" t="s">
        <v>106</v>
      </c>
      <c r="D472" s="5" t="s">
        <v>160</v>
      </c>
      <c r="E472" s="5" t="s">
        <v>161</v>
      </c>
    </row>
    <row r="473" customFormat="false" ht="15" hidden="false" customHeight="true" outlineLevel="0" collapsed="false">
      <c r="A473" s="5" t="n">
        <v>86</v>
      </c>
      <c r="B473" s="5" t="s">
        <v>581</v>
      </c>
      <c r="C473" s="5" t="s">
        <v>106</v>
      </c>
      <c r="D473" s="5" t="s">
        <v>469</v>
      </c>
      <c r="E473" s="5" t="s">
        <v>470</v>
      </c>
    </row>
    <row r="474" customFormat="false" ht="15" hidden="false" customHeight="true" outlineLevel="0" collapsed="false">
      <c r="A474" s="5" t="n">
        <v>86</v>
      </c>
      <c r="B474" s="5" t="s">
        <v>581</v>
      </c>
      <c r="C474" s="5" t="s">
        <v>106</v>
      </c>
      <c r="D474" s="5" t="s">
        <v>33</v>
      </c>
      <c r="E474" s="5" t="s">
        <v>34</v>
      </c>
    </row>
    <row r="475" customFormat="false" ht="15" hidden="false" customHeight="true" outlineLevel="0" collapsed="false">
      <c r="A475" s="5" t="n">
        <v>87</v>
      </c>
      <c r="B475" s="5" t="s">
        <v>582</v>
      </c>
      <c r="C475" s="5" t="s">
        <v>181</v>
      </c>
      <c r="D475" s="5" t="s">
        <v>59</v>
      </c>
      <c r="E475" s="5" t="s">
        <v>59</v>
      </c>
    </row>
    <row r="476" customFormat="false" ht="15" hidden="false" customHeight="true" outlineLevel="0" collapsed="false">
      <c r="A476" s="5" t="n">
        <v>87</v>
      </c>
      <c r="B476" s="5" t="s">
        <v>582</v>
      </c>
      <c r="C476" s="5" t="s">
        <v>181</v>
      </c>
      <c r="D476" s="5" t="s">
        <v>102</v>
      </c>
      <c r="E476" s="5" t="s">
        <v>103</v>
      </c>
    </row>
    <row r="477" customFormat="false" ht="15" hidden="false" customHeight="true" outlineLevel="0" collapsed="false">
      <c r="A477" s="5" t="n">
        <v>87</v>
      </c>
      <c r="B477" s="5" t="s">
        <v>582</v>
      </c>
      <c r="C477" s="5" t="s">
        <v>181</v>
      </c>
      <c r="D477" s="5" t="s">
        <v>432</v>
      </c>
      <c r="E477" s="5" t="s">
        <v>433</v>
      </c>
    </row>
    <row r="478" customFormat="false" ht="15" hidden="false" customHeight="true" outlineLevel="0" collapsed="false">
      <c r="A478" s="5" t="n">
        <v>87</v>
      </c>
      <c r="B478" s="5" t="s">
        <v>582</v>
      </c>
      <c r="C478" s="5" t="s">
        <v>181</v>
      </c>
      <c r="D478" s="5" t="s">
        <v>561</v>
      </c>
      <c r="E478" s="5" t="s">
        <v>583</v>
      </c>
    </row>
    <row r="479" customFormat="false" ht="15" hidden="false" customHeight="true" outlineLevel="0" collapsed="false">
      <c r="A479" s="5" t="n">
        <v>87</v>
      </c>
      <c r="B479" s="5" t="s">
        <v>582</v>
      </c>
      <c r="C479" s="5" t="s">
        <v>181</v>
      </c>
      <c r="D479" s="5" t="s">
        <v>584</v>
      </c>
      <c r="E479" s="5" t="s">
        <v>585</v>
      </c>
    </row>
    <row r="480" customFormat="false" ht="15" hidden="false" customHeight="true" outlineLevel="0" collapsed="false">
      <c r="A480" s="5" t="n">
        <v>88</v>
      </c>
      <c r="B480" s="5" t="s">
        <v>586</v>
      </c>
      <c r="C480" s="5" t="s">
        <v>38</v>
      </c>
      <c r="D480" s="5" t="s">
        <v>587</v>
      </c>
      <c r="E480" s="5" t="s">
        <v>587</v>
      </c>
    </row>
    <row r="481" customFormat="false" ht="15" hidden="false" customHeight="true" outlineLevel="0" collapsed="false">
      <c r="A481" s="5" t="n">
        <v>88</v>
      </c>
      <c r="B481" s="5" t="s">
        <v>586</v>
      </c>
      <c r="C481" s="5" t="s">
        <v>38</v>
      </c>
      <c r="D481" s="5" t="s">
        <v>241</v>
      </c>
      <c r="E481" s="5" t="s">
        <v>242</v>
      </c>
    </row>
    <row r="482" customFormat="false" ht="15" hidden="false" customHeight="true" outlineLevel="0" collapsed="false">
      <c r="A482" s="5" t="n">
        <v>88</v>
      </c>
      <c r="B482" s="5" t="s">
        <v>586</v>
      </c>
      <c r="C482" s="5" t="s">
        <v>38</v>
      </c>
      <c r="D482" s="5" t="s">
        <v>534</v>
      </c>
      <c r="E482" s="5" t="s">
        <v>535</v>
      </c>
    </row>
    <row r="483" customFormat="false" ht="15" hidden="false" customHeight="true" outlineLevel="0" collapsed="false">
      <c r="A483" s="5" t="n">
        <v>88</v>
      </c>
      <c r="B483" s="5" t="s">
        <v>586</v>
      </c>
      <c r="C483" s="5" t="s">
        <v>38</v>
      </c>
      <c r="D483" s="5" t="s">
        <v>255</v>
      </c>
      <c r="E483" s="5" t="s">
        <v>256</v>
      </c>
    </row>
    <row r="484" customFormat="false" ht="15" hidden="false" customHeight="true" outlineLevel="0" collapsed="false">
      <c r="A484" s="5" t="n">
        <v>88</v>
      </c>
      <c r="B484" s="5" t="s">
        <v>586</v>
      </c>
      <c r="C484" s="5" t="s">
        <v>38</v>
      </c>
      <c r="D484" s="5" t="s">
        <v>225</v>
      </c>
      <c r="E484" s="5" t="s">
        <v>226</v>
      </c>
    </row>
    <row r="485" customFormat="false" ht="15" hidden="false" customHeight="true" outlineLevel="0" collapsed="false">
      <c r="A485" s="5" t="n">
        <v>89</v>
      </c>
      <c r="B485" s="5" t="s">
        <v>588</v>
      </c>
      <c r="C485" s="5" t="s">
        <v>125</v>
      </c>
      <c r="D485" s="5" t="s">
        <v>126</v>
      </c>
      <c r="E485" s="5" t="s">
        <v>126</v>
      </c>
    </row>
    <row r="486" customFormat="false" ht="15" hidden="false" customHeight="true" outlineLevel="0" collapsed="false">
      <c r="A486" s="5" t="n">
        <v>89</v>
      </c>
      <c r="B486" s="5" t="s">
        <v>588</v>
      </c>
      <c r="C486" s="5" t="s">
        <v>125</v>
      </c>
      <c r="D486" s="5" t="s">
        <v>44</v>
      </c>
      <c r="E486" s="5" t="s">
        <v>99</v>
      </c>
    </row>
    <row r="487" customFormat="false" ht="15" hidden="false" customHeight="true" outlineLevel="0" collapsed="false">
      <c r="A487" s="5" t="n">
        <v>89</v>
      </c>
      <c r="B487" s="5" t="s">
        <v>588</v>
      </c>
      <c r="C487" s="5" t="s">
        <v>125</v>
      </c>
      <c r="D487" s="5" t="s">
        <v>251</v>
      </c>
      <c r="E487" s="5" t="s">
        <v>252</v>
      </c>
    </row>
    <row r="488" customFormat="false" ht="15" hidden="false" customHeight="true" outlineLevel="0" collapsed="false">
      <c r="A488" s="5" t="n">
        <v>89</v>
      </c>
      <c r="B488" s="5" t="s">
        <v>588</v>
      </c>
      <c r="C488" s="5" t="s">
        <v>125</v>
      </c>
      <c r="D488" s="5" t="s">
        <v>589</v>
      </c>
      <c r="E488" s="5" t="s">
        <v>590</v>
      </c>
    </row>
    <row r="489" customFormat="false" ht="15" hidden="false" customHeight="true" outlineLevel="0" collapsed="false">
      <c r="A489" s="5" t="n">
        <v>90</v>
      </c>
      <c r="B489" s="5" t="s">
        <v>591</v>
      </c>
      <c r="C489" s="5" t="s">
        <v>135</v>
      </c>
      <c r="D489" s="5" t="s">
        <v>592</v>
      </c>
      <c r="E489" s="5" t="s">
        <v>592</v>
      </c>
    </row>
    <row r="490" customFormat="false" ht="15" hidden="false" customHeight="true" outlineLevel="0" collapsed="false">
      <c r="A490" s="5" t="n">
        <v>90</v>
      </c>
      <c r="B490" s="5" t="s">
        <v>591</v>
      </c>
      <c r="C490" s="5" t="s">
        <v>135</v>
      </c>
      <c r="D490" s="5" t="s">
        <v>137</v>
      </c>
      <c r="E490" s="5" t="s">
        <v>138</v>
      </c>
    </row>
    <row r="491" customFormat="false" ht="15" hidden="false" customHeight="true" outlineLevel="0" collapsed="false">
      <c r="A491" s="5" t="n">
        <v>90</v>
      </c>
      <c r="B491" s="5" t="s">
        <v>591</v>
      </c>
      <c r="C491" s="5" t="s">
        <v>135</v>
      </c>
      <c r="D491" s="5" t="s">
        <v>362</v>
      </c>
      <c r="E491" s="5" t="s">
        <v>363</v>
      </c>
    </row>
    <row r="492" customFormat="false" ht="15" hidden="false" customHeight="true" outlineLevel="0" collapsed="false">
      <c r="A492" s="5" t="n">
        <v>90</v>
      </c>
      <c r="B492" s="5" t="s">
        <v>591</v>
      </c>
      <c r="C492" s="5" t="s">
        <v>135</v>
      </c>
      <c r="D492" s="5" t="s">
        <v>68</v>
      </c>
      <c r="E492" s="5" t="s">
        <v>69</v>
      </c>
    </row>
    <row r="493" customFormat="false" ht="15" hidden="false" customHeight="true" outlineLevel="0" collapsed="false">
      <c r="A493" s="5" t="n">
        <v>90</v>
      </c>
      <c r="B493" s="5" t="s">
        <v>591</v>
      </c>
      <c r="C493" s="5" t="s">
        <v>135</v>
      </c>
      <c r="D493" s="5" t="s">
        <v>593</v>
      </c>
      <c r="E493" s="5" t="s">
        <v>594</v>
      </c>
    </row>
    <row r="494" customFormat="false" ht="15" hidden="false" customHeight="true" outlineLevel="0" collapsed="false">
      <c r="A494" s="5" t="n">
        <v>90</v>
      </c>
      <c r="B494" s="5" t="s">
        <v>591</v>
      </c>
      <c r="C494" s="5" t="s">
        <v>135</v>
      </c>
      <c r="D494" s="5" t="s">
        <v>397</v>
      </c>
      <c r="E494" s="5" t="s">
        <v>398</v>
      </c>
    </row>
    <row r="495" customFormat="false" ht="15" hidden="false" customHeight="true" outlineLevel="0" collapsed="false">
      <c r="A495" s="5" t="n">
        <v>91</v>
      </c>
      <c r="B495" s="5" t="s">
        <v>595</v>
      </c>
      <c r="C495" s="5" t="s">
        <v>279</v>
      </c>
      <c r="D495" s="5" t="s">
        <v>189</v>
      </c>
      <c r="E495" s="5" t="s">
        <v>189</v>
      </c>
    </row>
    <row r="496" customFormat="false" ht="15" hidden="false" customHeight="true" outlineLevel="0" collapsed="false">
      <c r="A496" s="5" t="n">
        <v>91</v>
      </c>
      <c r="B496" s="5" t="s">
        <v>595</v>
      </c>
      <c r="C496" s="5" t="s">
        <v>279</v>
      </c>
      <c r="D496" s="5" t="s">
        <v>44</v>
      </c>
      <c r="E496" s="5" t="s">
        <v>99</v>
      </c>
    </row>
    <row r="497" customFormat="false" ht="15" hidden="false" customHeight="true" outlineLevel="0" collapsed="false">
      <c r="A497" s="5" t="n">
        <v>91</v>
      </c>
      <c r="B497" s="5" t="s">
        <v>595</v>
      </c>
      <c r="C497" s="5" t="s">
        <v>279</v>
      </c>
      <c r="D497" s="5" t="s">
        <v>251</v>
      </c>
      <c r="E497" s="5" t="s">
        <v>252</v>
      </c>
    </row>
    <row r="498" customFormat="false" ht="15" hidden="false" customHeight="true" outlineLevel="0" collapsed="false">
      <c r="A498" s="5" t="n">
        <v>91</v>
      </c>
      <c r="B498" s="5" t="s">
        <v>595</v>
      </c>
      <c r="C498" s="5" t="s">
        <v>279</v>
      </c>
      <c r="D498" s="5" t="s">
        <v>280</v>
      </c>
      <c r="E498" s="5" t="s">
        <v>281</v>
      </c>
    </row>
    <row r="499" customFormat="false" ht="15" hidden="false" customHeight="true" outlineLevel="0" collapsed="false">
      <c r="A499" s="5" t="n">
        <v>92</v>
      </c>
      <c r="B499" s="5" t="s">
        <v>596</v>
      </c>
      <c r="C499" s="5" t="s">
        <v>77</v>
      </c>
      <c r="D499" s="5" t="s">
        <v>78</v>
      </c>
      <c r="E499" s="5" t="s">
        <v>78</v>
      </c>
    </row>
    <row r="500" customFormat="false" ht="15" hidden="false" customHeight="true" outlineLevel="0" collapsed="false">
      <c r="A500" s="5" t="n">
        <v>92</v>
      </c>
      <c r="B500" s="5" t="s">
        <v>596</v>
      </c>
      <c r="C500" s="5" t="s">
        <v>77</v>
      </c>
      <c r="D500" s="5" t="s">
        <v>129</v>
      </c>
      <c r="E500" s="5" t="s">
        <v>129</v>
      </c>
    </row>
    <row r="501" customFormat="false" ht="15" hidden="false" customHeight="true" outlineLevel="0" collapsed="false">
      <c r="A501" s="5" t="n">
        <v>92</v>
      </c>
      <c r="B501" s="5" t="s">
        <v>596</v>
      </c>
      <c r="C501" s="5" t="s">
        <v>77</v>
      </c>
      <c r="D501" s="5" t="s">
        <v>597</v>
      </c>
      <c r="E501" s="5" t="s">
        <v>598</v>
      </c>
    </row>
    <row r="502" customFormat="false" ht="15" hidden="false" customHeight="true" outlineLevel="0" collapsed="false">
      <c r="A502" s="5" t="n">
        <v>92</v>
      </c>
      <c r="B502" s="5" t="s">
        <v>596</v>
      </c>
      <c r="C502" s="5" t="s">
        <v>77</v>
      </c>
      <c r="D502" s="5" t="s">
        <v>185</v>
      </c>
      <c r="E502" s="5" t="s">
        <v>186</v>
      </c>
    </row>
    <row r="503" customFormat="false" ht="15" hidden="false" customHeight="true" outlineLevel="0" collapsed="false">
      <c r="A503" s="5" t="n">
        <v>92</v>
      </c>
      <c r="B503" s="5" t="s">
        <v>596</v>
      </c>
      <c r="C503" s="5" t="s">
        <v>77</v>
      </c>
      <c r="D503" s="5" t="s">
        <v>118</v>
      </c>
      <c r="E503" s="5" t="s">
        <v>599</v>
      </c>
    </row>
    <row r="504" customFormat="false" ht="15" hidden="false" customHeight="true" outlineLevel="0" collapsed="false">
      <c r="A504" s="5" t="n">
        <v>93</v>
      </c>
      <c r="B504" s="5" t="s">
        <v>600</v>
      </c>
      <c r="C504" s="5" t="s">
        <v>64</v>
      </c>
      <c r="D504" s="5" t="s">
        <v>320</v>
      </c>
      <c r="E504" s="5" t="s">
        <v>320</v>
      </c>
    </row>
    <row r="505" customFormat="false" ht="15" hidden="false" customHeight="true" outlineLevel="0" collapsed="false">
      <c r="A505" s="5" t="n">
        <v>93</v>
      </c>
      <c r="B505" s="5" t="s">
        <v>600</v>
      </c>
      <c r="C505" s="5" t="s">
        <v>64</v>
      </c>
      <c r="D505" s="5" t="s">
        <v>601</v>
      </c>
      <c r="E505" s="5" t="s">
        <v>602</v>
      </c>
    </row>
    <row r="506" customFormat="false" ht="15" hidden="false" customHeight="true" outlineLevel="0" collapsed="false">
      <c r="A506" s="5" t="n">
        <v>93</v>
      </c>
      <c r="B506" s="5" t="s">
        <v>600</v>
      </c>
      <c r="C506" s="5" t="s">
        <v>64</v>
      </c>
      <c r="D506" s="5" t="s">
        <v>223</v>
      </c>
      <c r="E506" s="5" t="s">
        <v>224</v>
      </c>
    </row>
    <row r="507" customFormat="false" ht="15" hidden="false" customHeight="true" outlineLevel="0" collapsed="false">
      <c r="A507" s="5" t="n">
        <v>93</v>
      </c>
      <c r="B507" s="5" t="s">
        <v>600</v>
      </c>
      <c r="C507" s="5" t="s">
        <v>64</v>
      </c>
      <c r="D507" s="5" t="s">
        <v>501</v>
      </c>
      <c r="E507" s="5" t="s">
        <v>502</v>
      </c>
    </row>
    <row r="508" customFormat="false" ht="15" hidden="false" customHeight="true" outlineLevel="0" collapsed="false">
      <c r="A508" s="5" t="n">
        <v>93</v>
      </c>
      <c r="B508" s="5" t="s">
        <v>600</v>
      </c>
      <c r="C508" s="5" t="s">
        <v>64</v>
      </c>
      <c r="D508" s="5" t="s">
        <v>118</v>
      </c>
      <c r="E508" s="5" t="s">
        <v>206</v>
      </c>
    </row>
    <row r="509" customFormat="false" ht="15" hidden="false" customHeight="true" outlineLevel="0" collapsed="false">
      <c r="A509" s="5" t="n">
        <v>94</v>
      </c>
      <c r="B509" s="5" t="s">
        <v>603</v>
      </c>
      <c r="C509" s="5" t="s">
        <v>125</v>
      </c>
      <c r="D509" s="5" t="s">
        <v>126</v>
      </c>
      <c r="E509" s="5" t="s">
        <v>126</v>
      </c>
    </row>
    <row r="510" customFormat="false" ht="15" hidden="false" customHeight="true" outlineLevel="0" collapsed="false">
      <c r="A510" s="5" t="n">
        <v>94</v>
      </c>
      <c r="B510" s="5" t="s">
        <v>603</v>
      </c>
      <c r="C510" s="5" t="s">
        <v>125</v>
      </c>
      <c r="D510" s="5" t="s">
        <v>130</v>
      </c>
      <c r="E510" s="5" t="s">
        <v>131</v>
      </c>
    </row>
    <row r="511" customFormat="false" ht="15" hidden="false" customHeight="true" outlineLevel="0" collapsed="false">
      <c r="A511" s="5" t="n">
        <v>94</v>
      </c>
      <c r="B511" s="5" t="s">
        <v>603</v>
      </c>
      <c r="C511" s="5" t="s">
        <v>125</v>
      </c>
      <c r="D511" s="5" t="s">
        <v>465</v>
      </c>
      <c r="E511" s="5" t="s">
        <v>466</v>
      </c>
    </row>
    <row r="512" customFormat="false" ht="15" hidden="false" customHeight="true" outlineLevel="0" collapsed="false">
      <c r="A512" s="5" t="n">
        <v>94</v>
      </c>
      <c r="B512" s="5" t="s">
        <v>603</v>
      </c>
      <c r="C512" s="5" t="s">
        <v>125</v>
      </c>
      <c r="D512" s="5" t="s">
        <v>251</v>
      </c>
      <c r="E512" s="5" t="s">
        <v>252</v>
      </c>
    </row>
    <row r="513" customFormat="false" ht="15" hidden="false" customHeight="true" outlineLevel="0" collapsed="false">
      <c r="A513" s="5" t="n">
        <v>94</v>
      </c>
      <c r="B513" s="5" t="s">
        <v>603</v>
      </c>
      <c r="C513" s="5" t="s">
        <v>125</v>
      </c>
      <c r="D513" s="5" t="s">
        <v>132</v>
      </c>
      <c r="E513" s="5" t="s">
        <v>133</v>
      </c>
    </row>
    <row r="514" customFormat="false" ht="15" hidden="false" customHeight="true" outlineLevel="0" collapsed="false">
      <c r="A514" s="5" t="n">
        <v>95</v>
      </c>
      <c r="B514" s="5" t="s">
        <v>604</v>
      </c>
      <c r="C514" s="5" t="s">
        <v>106</v>
      </c>
      <c r="D514" s="5" t="s">
        <v>44</v>
      </c>
      <c r="E514" s="5" t="s">
        <v>44</v>
      </c>
    </row>
    <row r="515" customFormat="false" ht="15" hidden="false" customHeight="true" outlineLevel="0" collapsed="false">
      <c r="A515" s="5" t="n">
        <v>95</v>
      </c>
      <c r="B515" s="5" t="s">
        <v>604</v>
      </c>
      <c r="C515" s="5" t="s">
        <v>106</v>
      </c>
      <c r="D515" s="5" t="s">
        <v>251</v>
      </c>
      <c r="E515" s="5" t="s">
        <v>252</v>
      </c>
    </row>
    <row r="516" customFormat="false" ht="15" hidden="false" customHeight="true" outlineLevel="0" collapsed="false">
      <c r="A516" s="5" t="n">
        <v>95</v>
      </c>
      <c r="B516" s="5" t="s">
        <v>604</v>
      </c>
      <c r="C516" s="5" t="s">
        <v>106</v>
      </c>
      <c r="D516" s="5" t="s">
        <v>469</v>
      </c>
      <c r="E516" s="5" t="s">
        <v>470</v>
      </c>
    </row>
    <row r="517" customFormat="false" ht="15" hidden="false" customHeight="true" outlineLevel="0" collapsed="false">
      <c r="A517" s="5" t="n">
        <v>95</v>
      </c>
      <c r="B517" s="5" t="s">
        <v>604</v>
      </c>
      <c r="C517" s="5" t="s">
        <v>106</v>
      </c>
      <c r="D517" s="5" t="s">
        <v>605</v>
      </c>
      <c r="E517" s="5" t="s">
        <v>606</v>
      </c>
    </row>
    <row r="518" customFormat="false" ht="15" hidden="false" customHeight="true" outlineLevel="0" collapsed="false">
      <c r="A518" s="5" t="n">
        <v>95</v>
      </c>
      <c r="B518" s="5" t="s">
        <v>604</v>
      </c>
      <c r="C518" s="5" t="s">
        <v>106</v>
      </c>
      <c r="D518" s="5" t="s">
        <v>305</v>
      </c>
      <c r="E518" s="5" t="s">
        <v>306</v>
      </c>
    </row>
    <row r="519" customFormat="false" ht="15" hidden="false" customHeight="true" outlineLevel="0" collapsed="false">
      <c r="A519" s="5" t="n">
        <v>96</v>
      </c>
      <c r="B519" s="5" t="s">
        <v>607</v>
      </c>
      <c r="C519" s="5" t="s">
        <v>239</v>
      </c>
      <c r="D519" s="5" t="s">
        <v>608</v>
      </c>
      <c r="E519" s="5" t="s">
        <v>608</v>
      </c>
    </row>
    <row r="520" customFormat="false" ht="15" hidden="false" customHeight="true" outlineLevel="0" collapsed="false">
      <c r="A520" s="5" t="n">
        <v>96</v>
      </c>
      <c r="B520" s="5" t="s">
        <v>607</v>
      </c>
      <c r="C520" s="5" t="s">
        <v>239</v>
      </c>
      <c r="D520" s="5" t="s">
        <v>44</v>
      </c>
      <c r="E520" s="5" t="s">
        <v>99</v>
      </c>
    </row>
    <row r="521" customFormat="false" ht="15" hidden="false" customHeight="true" outlineLevel="0" collapsed="false">
      <c r="A521" s="5" t="n">
        <v>96</v>
      </c>
      <c r="B521" s="5" t="s">
        <v>607</v>
      </c>
      <c r="C521" s="5" t="s">
        <v>239</v>
      </c>
      <c r="D521" s="5" t="s">
        <v>31</v>
      </c>
      <c r="E521" s="5" t="s">
        <v>143</v>
      </c>
    </row>
    <row r="522" customFormat="false" ht="15" hidden="false" customHeight="true" outlineLevel="0" collapsed="false">
      <c r="A522" s="5" t="n">
        <v>96</v>
      </c>
      <c r="B522" s="5" t="s">
        <v>607</v>
      </c>
      <c r="C522" s="5" t="s">
        <v>239</v>
      </c>
      <c r="D522" s="5" t="s">
        <v>609</v>
      </c>
      <c r="E522" s="5" t="s">
        <v>610</v>
      </c>
    </row>
    <row r="523" customFormat="false" ht="15" hidden="false" customHeight="true" outlineLevel="0" collapsed="false">
      <c r="A523" s="5" t="n">
        <v>97</v>
      </c>
      <c r="B523" s="5" t="s">
        <v>611</v>
      </c>
      <c r="C523" s="5" t="s">
        <v>191</v>
      </c>
      <c r="D523" s="5" t="s">
        <v>192</v>
      </c>
      <c r="E523" s="5" t="s">
        <v>192</v>
      </c>
    </row>
    <row r="524" customFormat="false" ht="15" hidden="false" customHeight="true" outlineLevel="0" collapsed="false">
      <c r="A524" s="5" t="n">
        <v>97</v>
      </c>
      <c r="B524" s="5" t="s">
        <v>611</v>
      </c>
      <c r="C524" s="5" t="s">
        <v>191</v>
      </c>
      <c r="D524" s="5" t="s">
        <v>269</v>
      </c>
      <c r="E524" s="5" t="s">
        <v>270</v>
      </c>
    </row>
    <row r="525" customFormat="false" ht="15" hidden="false" customHeight="true" outlineLevel="0" collapsed="false">
      <c r="A525" s="5" t="n">
        <v>97</v>
      </c>
      <c r="B525" s="5" t="s">
        <v>611</v>
      </c>
      <c r="C525" s="5" t="s">
        <v>191</v>
      </c>
      <c r="D525" s="5" t="s">
        <v>265</v>
      </c>
      <c r="E525" s="5" t="s">
        <v>266</v>
      </c>
    </row>
    <row r="526" customFormat="false" ht="15" hidden="false" customHeight="true" outlineLevel="0" collapsed="false">
      <c r="A526" s="5" t="n">
        <v>97</v>
      </c>
      <c r="B526" s="5" t="s">
        <v>611</v>
      </c>
      <c r="C526" s="5" t="s">
        <v>191</v>
      </c>
      <c r="D526" s="5" t="s">
        <v>386</v>
      </c>
      <c r="E526" s="5" t="s">
        <v>387</v>
      </c>
    </row>
    <row r="527" customFormat="false" ht="15" hidden="false" customHeight="true" outlineLevel="0" collapsed="false">
      <c r="A527" s="5" t="n">
        <v>97</v>
      </c>
      <c r="B527" s="5" t="s">
        <v>611</v>
      </c>
      <c r="C527" s="5" t="s">
        <v>191</v>
      </c>
      <c r="D527" s="5" t="s">
        <v>263</v>
      </c>
      <c r="E527" s="5" t="s">
        <v>264</v>
      </c>
    </row>
    <row r="528" customFormat="false" ht="15" hidden="false" customHeight="true" outlineLevel="0" collapsed="false">
      <c r="A528" s="5" t="n">
        <v>98</v>
      </c>
      <c r="B528" s="5" t="s">
        <v>612</v>
      </c>
      <c r="C528" s="5" t="s">
        <v>286</v>
      </c>
      <c r="D528" s="5" t="s">
        <v>287</v>
      </c>
      <c r="E528" s="5" t="s">
        <v>613</v>
      </c>
    </row>
    <row r="529" customFormat="false" ht="15" hidden="false" customHeight="true" outlineLevel="0" collapsed="false">
      <c r="A529" s="5" t="n">
        <v>98</v>
      </c>
      <c r="B529" s="5" t="s">
        <v>612</v>
      </c>
      <c r="C529" s="5" t="s">
        <v>286</v>
      </c>
      <c r="D529" s="5" t="s">
        <v>33</v>
      </c>
      <c r="E529" s="5" t="s">
        <v>34</v>
      </c>
    </row>
    <row r="530" customFormat="false" ht="15" hidden="false" customHeight="true" outlineLevel="0" collapsed="false">
      <c r="A530" s="5" t="n">
        <v>98</v>
      </c>
      <c r="B530" s="5" t="s">
        <v>612</v>
      </c>
      <c r="C530" s="5" t="s">
        <v>286</v>
      </c>
      <c r="D530" s="5" t="s">
        <v>465</v>
      </c>
      <c r="E530" s="5" t="s">
        <v>466</v>
      </c>
    </row>
    <row r="531" customFormat="false" ht="15" hidden="false" customHeight="true" outlineLevel="0" collapsed="false">
      <c r="A531" s="5" t="n">
        <v>98</v>
      </c>
      <c r="B531" s="5" t="s">
        <v>612</v>
      </c>
      <c r="C531" s="5" t="s">
        <v>286</v>
      </c>
      <c r="D531" s="5" t="s">
        <v>91</v>
      </c>
      <c r="E531" s="5" t="s">
        <v>92</v>
      </c>
    </row>
    <row r="532" customFormat="false" ht="15" hidden="false" customHeight="true" outlineLevel="0" collapsed="false">
      <c r="A532" s="5" t="n">
        <v>99</v>
      </c>
      <c r="B532" s="5" t="s">
        <v>614</v>
      </c>
      <c r="C532" s="5" t="s">
        <v>260</v>
      </c>
      <c r="D532" s="5" t="s">
        <v>615</v>
      </c>
      <c r="E532" s="5" t="s">
        <v>615</v>
      </c>
    </row>
    <row r="533" customFormat="false" ht="15" hidden="false" customHeight="true" outlineLevel="0" collapsed="false">
      <c r="A533" s="5" t="n">
        <v>99</v>
      </c>
      <c r="B533" s="5" t="s">
        <v>614</v>
      </c>
      <c r="C533" s="5" t="s">
        <v>260</v>
      </c>
      <c r="D533" s="5" t="s">
        <v>616</v>
      </c>
      <c r="E533" s="5" t="s">
        <v>617</v>
      </c>
    </row>
    <row r="534" customFormat="false" ht="15" hidden="false" customHeight="true" outlineLevel="0" collapsed="false">
      <c r="A534" s="5" t="n">
        <v>99</v>
      </c>
      <c r="B534" s="5" t="s">
        <v>614</v>
      </c>
      <c r="C534" s="5" t="s">
        <v>260</v>
      </c>
      <c r="D534" s="5" t="s">
        <v>589</v>
      </c>
      <c r="E534" s="5" t="s">
        <v>590</v>
      </c>
    </row>
    <row r="535" customFormat="false" ht="15" hidden="false" customHeight="true" outlineLevel="0" collapsed="false">
      <c r="A535" s="5" t="n">
        <v>100</v>
      </c>
      <c r="B535" s="5" t="s">
        <v>618</v>
      </c>
      <c r="C535" s="5" t="s">
        <v>519</v>
      </c>
      <c r="D535" s="5" t="s">
        <v>520</v>
      </c>
      <c r="E535" s="5" t="s">
        <v>619</v>
      </c>
    </row>
    <row r="536" customFormat="false" ht="15" hidden="false" customHeight="true" outlineLevel="0" collapsed="false">
      <c r="A536" s="5" t="n">
        <v>100</v>
      </c>
      <c r="B536" s="5" t="s">
        <v>618</v>
      </c>
      <c r="C536" s="5" t="s">
        <v>519</v>
      </c>
      <c r="D536" s="5" t="s">
        <v>112</v>
      </c>
      <c r="E536" s="5" t="s">
        <v>113</v>
      </c>
    </row>
    <row r="537" customFormat="false" ht="15" hidden="false" customHeight="true" outlineLevel="0" collapsed="false">
      <c r="A537" s="5" t="n">
        <v>100</v>
      </c>
      <c r="B537" s="5" t="s">
        <v>618</v>
      </c>
      <c r="C537" s="5" t="s">
        <v>519</v>
      </c>
      <c r="D537" s="5" t="s">
        <v>601</v>
      </c>
      <c r="E537" s="5" t="s">
        <v>602</v>
      </c>
    </row>
    <row r="538" customFormat="false" ht="15" hidden="false" customHeight="true" outlineLevel="0" collapsed="false">
      <c r="A538" s="5" t="n">
        <v>100</v>
      </c>
      <c r="B538" s="5" t="s">
        <v>618</v>
      </c>
      <c r="C538" s="5" t="s">
        <v>519</v>
      </c>
      <c r="D538" s="5" t="s">
        <v>465</v>
      </c>
      <c r="E538" s="5" t="s">
        <v>466</v>
      </c>
    </row>
    <row r="539" customFormat="false" ht="15" hidden="false" customHeight="true" outlineLevel="0" collapsed="false">
      <c r="A539" s="5" t="n">
        <v>100</v>
      </c>
      <c r="B539" s="5" t="s">
        <v>618</v>
      </c>
      <c r="C539" s="5" t="s">
        <v>519</v>
      </c>
      <c r="D539" s="5" t="s">
        <v>302</v>
      </c>
      <c r="E539" s="5" t="s">
        <v>620</v>
      </c>
    </row>
    <row r="540" customFormat="false" ht="15" hidden="false" customHeight="true" outlineLevel="0" collapsed="false">
      <c r="A540" s="5" t="n">
        <v>101</v>
      </c>
      <c r="B540" s="5" t="s">
        <v>621</v>
      </c>
      <c r="C540" s="5" t="s">
        <v>25</v>
      </c>
      <c r="D540" s="5" t="s">
        <v>310</v>
      </c>
      <c r="E540" s="5" t="s">
        <v>310</v>
      </c>
    </row>
    <row r="541" customFormat="false" ht="15" hidden="false" customHeight="true" outlineLevel="0" collapsed="false">
      <c r="A541" s="5" t="n">
        <v>101</v>
      </c>
      <c r="B541" s="5" t="s">
        <v>621</v>
      </c>
      <c r="C541" s="5" t="s">
        <v>25</v>
      </c>
      <c r="D541" s="5" t="s">
        <v>33</v>
      </c>
      <c r="E541" s="5" t="s">
        <v>34</v>
      </c>
    </row>
    <row r="542" customFormat="false" ht="15" hidden="false" customHeight="true" outlineLevel="0" collapsed="false">
      <c r="A542" s="5" t="n">
        <v>101</v>
      </c>
      <c r="B542" s="5" t="s">
        <v>621</v>
      </c>
      <c r="C542" s="5" t="s">
        <v>25</v>
      </c>
      <c r="D542" s="5" t="s">
        <v>622</v>
      </c>
      <c r="E542" s="5" t="s">
        <v>623</v>
      </c>
    </row>
    <row r="543" customFormat="false" ht="15" hidden="false" customHeight="true" outlineLevel="0" collapsed="false">
      <c r="A543" s="5" t="n">
        <v>101</v>
      </c>
      <c r="B543" s="5" t="s">
        <v>621</v>
      </c>
      <c r="C543" s="5" t="s">
        <v>25</v>
      </c>
      <c r="D543" s="5" t="s">
        <v>68</v>
      </c>
      <c r="E543" s="5" t="s">
        <v>69</v>
      </c>
    </row>
    <row r="544" customFormat="false" ht="15" hidden="false" customHeight="true" outlineLevel="0" collapsed="false">
      <c r="A544" s="5" t="n">
        <v>101</v>
      </c>
      <c r="B544" s="5" t="s">
        <v>621</v>
      </c>
      <c r="C544" s="5" t="s">
        <v>25</v>
      </c>
      <c r="D544" s="5" t="s">
        <v>460</v>
      </c>
      <c r="E544" s="5" t="s">
        <v>576</v>
      </c>
    </row>
    <row r="545" customFormat="false" ht="15" hidden="false" customHeight="true" outlineLevel="0" collapsed="false">
      <c r="A545" s="5" t="n">
        <v>101</v>
      </c>
      <c r="B545" s="5" t="s">
        <v>621</v>
      </c>
      <c r="C545" s="5" t="s">
        <v>25</v>
      </c>
      <c r="D545" s="5" t="s">
        <v>331</v>
      </c>
      <c r="E545" s="5" t="s">
        <v>332</v>
      </c>
    </row>
    <row r="546" customFormat="false" ht="15" hidden="false" customHeight="true" outlineLevel="0" collapsed="false">
      <c r="A546" s="5" t="n">
        <v>102</v>
      </c>
      <c r="B546" s="5" t="s">
        <v>624</v>
      </c>
      <c r="C546" s="5" t="s">
        <v>96</v>
      </c>
      <c r="D546" s="5" t="s">
        <v>168</v>
      </c>
      <c r="E546" s="5" t="s">
        <v>168</v>
      </c>
    </row>
    <row r="547" customFormat="false" ht="15" hidden="false" customHeight="true" outlineLevel="0" collapsed="false">
      <c r="A547" s="5" t="n">
        <v>102</v>
      </c>
      <c r="B547" s="5" t="s">
        <v>624</v>
      </c>
      <c r="C547" s="5" t="s">
        <v>96</v>
      </c>
      <c r="D547" s="5" t="s">
        <v>625</v>
      </c>
      <c r="E547" s="5" t="s">
        <v>626</v>
      </c>
    </row>
    <row r="548" customFormat="false" ht="15" hidden="false" customHeight="true" outlineLevel="0" collapsed="false">
      <c r="A548" s="5" t="n">
        <v>102</v>
      </c>
      <c r="B548" s="5" t="s">
        <v>624</v>
      </c>
      <c r="C548" s="5" t="s">
        <v>96</v>
      </c>
      <c r="D548" s="5" t="s">
        <v>236</v>
      </c>
      <c r="E548" s="5" t="s">
        <v>237</v>
      </c>
    </row>
    <row r="549" customFormat="false" ht="15" hidden="false" customHeight="true" outlineLevel="0" collapsed="false">
      <c r="A549" s="5" t="n">
        <v>102</v>
      </c>
      <c r="B549" s="5" t="s">
        <v>624</v>
      </c>
      <c r="C549" s="5" t="s">
        <v>96</v>
      </c>
      <c r="D549" s="5" t="s">
        <v>589</v>
      </c>
      <c r="E549" s="5" t="s">
        <v>590</v>
      </c>
    </row>
    <row r="550" customFormat="false" ht="15" hidden="false" customHeight="true" outlineLevel="0" collapsed="false">
      <c r="A550" s="5" t="n">
        <v>102</v>
      </c>
      <c r="B550" s="5" t="s">
        <v>624</v>
      </c>
      <c r="C550" s="5" t="s">
        <v>96</v>
      </c>
      <c r="D550" s="5" t="s">
        <v>370</v>
      </c>
      <c r="E550" s="5" t="s">
        <v>381</v>
      </c>
    </row>
    <row r="551" customFormat="false" ht="15" hidden="false" customHeight="true" outlineLevel="0" collapsed="false">
      <c r="A551" s="5" t="n">
        <v>103</v>
      </c>
      <c r="B551" s="5" t="s">
        <v>627</v>
      </c>
      <c r="C551" s="5" t="s">
        <v>148</v>
      </c>
      <c r="D551" s="5" t="s">
        <v>149</v>
      </c>
      <c r="E551" s="5" t="s">
        <v>149</v>
      </c>
    </row>
    <row r="552" customFormat="false" ht="15" hidden="false" customHeight="true" outlineLevel="0" collapsed="false">
      <c r="A552" s="5" t="n">
        <v>103</v>
      </c>
      <c r="B552" s="5" t="s">
        <v>627</v>
      </c>
      <c r="C552" s="5" t="s">
        <v>148</v>
      </c>
      <c r="D552" s="5" t="s">
        <v>189</v>
      </c>
      <c r="E552" s="5" t="s">
        <v>189</v>
      </c>
    </row>
    <row r="553" customFormat="false" ht="15" hidden="false" customHeight="true" outlineLevel="0" collapsed="false">
      <c r="A553" s="5" t="n">
        <v>103</v>
      </c>
      <c r="B553" s="5" t="s">
        <v>627</v>
      </c>
      <c r="C553" s="5" t="s">
        <v>148</v>
      </c>
      <c r="D553" s="5" t="s">
        <v>178</v>
      </c>
      <c r="E553" s="5" t="s">
        <v>179</v>
      </c>
    </row>
    <row r="554" customFormat="false" ht="15" hidden="false" customHeight="true" outlineLevel="0" collapsed="false">
      <c r="A554" s="5" t="n">
        <v>103</v>
      </c>
      <c r="B554" s="5" t="s">
        <v>627</v>
      </c>
      <c r="C554" s="5" t="s">
        <v>148</v>
      </c>
      <c r="D554" s="5" t="s">
        <v>230</v>
      </c>
      <c r="E554" s="5" t="s">
        <v>231</v>
      </c>
    </row>
    <row r="555" customFormat="false" ht="15" hidden="false" customHeight="true" outlineLevel="0" collapsed="false">
      <c r="A555" s="5" t="n">
        <v>103</v>
      </c>
      <c r="B555" s="5" t="s">
        <v>627</v>
      </c>
      <c r="C555" s="5" t="s">
        <v>148</v>
      </c>
      <c r="D555" s="5" t="s">
        <v>225</v>
      </c>
      <c r="E555" s="5" t="s">
        <v>226</v>
      </c>
    </row>
    <row r="556" customFormat="false" ht="15" hidden="false" customHeight="true" outlineLevel="0" collapsed="false">
      <c r="A556" s="5" t="n">
        <v>104</v>
      </c>
      <c r="B556" s="5" t="s">
        <v>628</v>
      </c>
      <c r="C556" s="5" t="s">
        <v>51</v>
      </c>
      <c r="D556" s="5" t="s">
        <v>85</v>
      </c>
      <c r="E556" s="5" t="s">
        <v>86</v>
      </c>
    </row>
    <row r="557" customFormat="false" ht="15" hidden="false" customHeight="true" outlineLevel="0" collapsed="false">
      <c r="A557" s="5" t="n">
        <v>104</v>
      </c>
      <c r="B557" s="5" t="s">
        <v>628</v>
      </c>
      <c r="C557" s="5" t="s">
        <v>51</v>
      </c>
      <c r="D557" s="5" t="s">
        <v>27</v>
      </c>
      <c r="E557" s="5" t="s">
        <v>28</v>
      </c>
    </row>
    <row r="558" customFormat="false" ht="15" hidden="false" customHeight="true" outlineLevel="0" collapsed="false">
      <c r="A558" s="5" t="n">
        <v>104</v>
      </c>
      <c r="B558" s="5" t="s">
        <v>628</v>
      </c>
      <c r="C558" s="5" t="s">
        <v>51</v>
      </c>
      <c r="D558" s="5" t="s">
        <v>246</v>
      </c>
      <c r="E558" s="5" t="s">
        <v>629</v>
      </c>
    </row>
    <row r="559" customFormat="false" ht="15" hidden="false" customHeight="true" outlineLevel="0" collapsed="false">
      <c r="A559" s="5" t="n">
        <v>104</v>
      </c>
      <c r="B559" s="5" t="s">
        <v>628</v>
      </c>
      <c r="C559" s="5" t="s">
        <v>51</v>
      </c>
      <c r="D559" s="5" t="s">
        <v>402</v>
      </c>
      <c r="E559" s="5" t="s">
        <v>403</v>
      </c>
    </row>
    <row r="560" customFormat="false" ht="15" hidden="false" customHeight="true" outlineLevel="0" collapsed="false">
      <c r="A560" s="5" t="n">
        <v>105</v>
      </c>
      <c r="B560" s="5" t="s">
        <v>630</v>
      </c>
      <c r="C560" s="5" t="s">
        <v>137</v>
      </c>
      <c r="D560" s="5" t="s">
        <v>137</v>
      </c>
      <c r="E560" s="5" t="s">
        <v>137</v>
      </c>
    </row>
    <row r="561" customFormat="false" ht="15" hidden="false" customHeight="true" outlineLevel="0" collapsed="false">
      <c r="A561" s="5" t="n">
        <v>105</v>
      </c>
      <c r="B561" s="5" t="s">
        <v>630</v>
      </c>
      <c r="C561" s="5" t="s">
        <v>137</v>
      </c>
      <c r="D561" s="5" t="s">
        <v>33</v>
      </c>
      <c r="E561" s="5" t="s">
        <v>34</v>
      </c>
    </row>
    <row r="562" customFormat="false" ht="15" hidden="false" customHeight="true" outlineLevel="0" collapsed="false">
      <c r="A562" s="5" t="n">
        <v>105</v>
      </c>
      <c r="B562" s="5" t="s">
        <v>630</v>
      </c>
      <c r="C562" s="5" t="s">
        <v>137</v>
      </c>
      <c r="D562" s="5" t="s">
        <v>31</v>
      </c>
      <c r="E562" s="5" t="s">
        <v>143</v>
      </c>
    </row>
    <row r="563" customFormat="false" ht="15" hidden="false" customHeight="true" outlineLevel="0" collapsed="false">
      <c r="A563" s="5" t="n">
        <v>105</v>
      </c>
      <c r="B563" s="5" t="s">
        <v>630</v>
      </c>
      <c r="C563" s="5" t="s">
        <v>137</v>
      </c>
      <c r="D563" s="5" t="s">
        <v>251</v>
      </c>
      <c r="E563" s="5" t="s">
        <v>252</v>
      </c>
    </row>
    <row r="564" customFormat="false" ht="15" hidden="false" customHeight="true" outlineLevel="0" collapsed="false">
      <c r="A564" s="5" t="n">
        <v>106</v>
      </c>
      <c r="B564" s="5" t="s">
        <v>631</v>
      </c>
      <c r="C564" s="5" t="s">
        <v>96</v>
      </c>
      <c r="D564" s="5" t="s">
        <v>230</v>
      </c>
      <c r="E564" s="5" t="s">
        <v>230</v>
      </c>
    </row>
    <row r="565" customFormat="false" ht="15" hidden="false" customHeight="true" outlineLevel="0" collapsed="false">
      <c r="A565" s="5" t="n">
        <v>106</v>
      </c>
      <c r="B565" s="5" t="s">
        <v>631</v>
      </c>
      <c r="C565" s="5" t="s">
        <v>96</v>
      </c>
      <c r="D565" s="5" t="s">
        <v>430</v>
      </c>
      <c r="E565" s="5" t="s">
        <v>431</v>
      </c>
    </row>
    <row r="566" customFormat="false" ht="15" hidden="false" customHeight="true" outlineLevel="0" collapsed="false">
      <c r="A566" s="5" t="n">
        <v>106</v>
      </c>
      <c r="B566" s="5" t="s">
        <v>631</v>
      </c>
      <c r="C566" s="5" t="s">
        <v>96</v>
      </c>
      <c r="D566" s="5" t="s">
        <v>79</v>
      </c>
      <c r="E566" s="5" t="s">
        <v>80</v>
      </c>
    </row>
    <row r="567" customFormat="false" ht="15" hidden="false" customHeight="true" outlineLevel="0" collapsed="false">
      <c r="A567" s="5" t="n">
        <v>106</v>
      </c>
      <c r="B567" s="5" t="s">
        <v>631</v>
      </c>
      <c r="C567" s="5" t="s">
        <v>96</v>
      </c>
      <c r="D567" s="5" t="s">
        <v>616</v>
      </c>
      <c r="E567" s="5" t="s">
        <v>617</v>
      </c>
    </row>
    <row r="568" customFormat="false" ht="15" hidden="false" customHeight="true" outlineLevel="0" collapsed="false">
      <c r="A568" s="5" t="n">
        <v>106</v>
      </c>
      <c r="B568" s="5" t="s">
        <v>631</v>
      </c>
      <c r="C568" s="5" t="s">
        <v>96</v>
      </c>
      <c r="D568" s="5" t="s">
        <v>253</v>
      </c>
      <c r="E568" s="5" t="s">
        <v>254</v>
      </c>
    </row>
    <row r="569" customFormat="false" ht="15" hidden="false" customHeight="true" outlineLevel="0" collapsed="false">
      <c r="A569" s="5" t="n">
        <v>106</v>
      </c>
      <c r="B569" s="5" t="s">
        <v>631</v>
      </c>
      <c r="C569" s="5" t="s">
        <v>96</v>
      </c>
      <c r="D569" s="5" t="s">
        <v>632</v>
      </c>
      <c r="E569" s="5" t="s">
        <v>633</v>
      </c>
    </row>
    <row r="570" customFormat="false" ht="15" hidden="false" customHeight="true" outlineLevel="0" collapsed="false">
      <c r="A570" s="5" t="n">
        <v>106</v>
      </c>
      <c r="B570" s="5" t="s">
        <v>631</v>
      </c>
      <c r="C570" s="5" t="s">
        <v>96</v>
      </c>
      <c r="D570" s="5" t="s">
        <v>561</v>
      </c>
      <c r="E570" s="5" t="s">
        <v>583</v>
      </c>
    </row>
    <row r="571" customFormat="false" ht="15" hidden="false" customHeight="true" outlineLevel="0" collapsed="false">
      <c r="A571" s="5" t="n">
        <v>107</v>
      </c>
      <c r="B571" s="5" t="s">
        <v>634</v>
      </c>
      <c r="C571" s="5" t="s">
        <v>348</v>
      </c>
      <c r="D571" s="5" t="s">
        <v>189</v>
      </c>
      <c r="E571" s="5" t="s">
        <v>189</v>
      </c>
    </row>
    <row r="572" customFormat="false" ht="15" hidden="false" customHeight="true" outlineLevel="0" collapsed="false">
      <c r="A572" s="5" t="n">
        <v>107</v>
      </c>
      <c r="B572" s="5" t="s">
        <v>634</v>
      </c>
      <c r="C572" s="5" t="s">
        <v>348</v>
      </c>
      <c r="D572" s="5" t="s">
        <v>230</v>
      </c>
      <c r="E572" s="5" t="s">
        <v>635</v>
      </c>
    </row>
    <row r="573" customFormat="false" ht="15" hidden="false" customHeight="true" outlineLevel="0" collapsed="false">
      <c r="A573" s="5" t="n">
        <v>107</v>
      </c>
      <c r="B573" s="5" t="s">
        <v>634</v>
      </c>
      <c r="C573" s="5" t="s">
        <v>348</v>
      </c>
      <c r="D573" s="5" t="s">
        <v>79</v>
      </c>
      <c r="E573" s="5" t="s">
        <v>80</v>
      </c>
    </row>
    <row r="574" customFormat="false" ht="15" hidden="false" customHeight="true" outlineLevel="0" collapsed="false">
      <c r="A574" s="5" t="n">
        <v>107</v>
      </c>
      <c r="B574" s="5" t="s">
        <v>634</v>
      </c>
      <c r="C574" s="5" t="s">
        <v>348</v>
      </c>
      <c r="D574" s="5" t="s">
        <v>282</v>
      </c>
      <c r="E574" s="5" t="s">
        <v>283</v>
      </c>
    </row>
    <row r="575" customFormat="false" ht="15" hidden="false" customHeight="true" outlineLevel="0" collapsed="false">
      <c r="A575" s="5" t="n">
        <v>107</v>
      </c>
      <c r="B575" s="5" t="s">
        <v>634</v>
      </c>
      <c r="C575" s="5" t="s">
        <v>348</v>
      </c>
      <c r="D575" s="5" t="s">
        <v>366</v>
      </c>
      <c r="E575" s="5" t="s">
        <v>367</v>
      </c>
    </row>
    <row r="576" customFormat="false" ht="15" hidden="false" customHeight="true" outlineLevel="0" collapsed="false">
      <c r="A576" s="5" t="n">
        <v>108</v>
      </c>
      <c r="B576" s="5" t="s">
        <v>636</v>
      </c>
      <c r="C576" s="5" t="s">
        <v>181</v>
      </c>
      <c r="D576" s="5" t="s">
        <v>428</v>
      </c>
      <c r="E576" s="5" t="s">
        <v>428</v>
      </c>
    </row>
    <row r="577" customFormat="false" ht="15" hidden="false" customHeight="true" outlineLevel="0" collapsed="false">
      <c r="A577" s="5" t="n">
        <v>108</v>
      </c>
      <c r="B577" s="5" t="s">
        <v>636</v>
      </c>
      <c r="C577" s="5" t="s">
        <v>181</v>
      </c>
      <c r="D577" s="5" t="s">
        <v>178</v>
      </c>
      <c r="E577" s="5" t="s">
        <v>179</v>
      </c>
    </row>
    <row r="578" customFormat="false" ht="15" hidden="false" customHeight="true" outlineLevel="0" collapsed="false">
      <c r="A578" s="5" t="n">
        <v>108</v>
      </c>
      <c r="B578" s="5" t="s">
        <v>636</v>
      </c>
      <c r="C578" s="5" t="s">
        <v>181</v>
      </c>
      <c r="D578" s="5" t="s">
        <v>255</v>
      </c>
      <c r="E578" s="5" t="s">
        <v>256</v>
      </c>
    </row>
    <row r="579" customFormat="false" ht="15" hidden="false" customHeight="true" outlineLevel="0" collapsed="false">
      <c r="A579" s="5" t="n">
        <v>108</v>
      </c>
      <c r="B579" s="5" t="s">
        <v>636</v>
      </c>
      <c r="C579" s="5" t="s">
        <v>181</v>
      </c>
      <c r="D579" s="5" t="s">
        <v>187</v>
      </c>
      <c r="E579" s="5" t="s">
        <v>188</v>
      </c>
    </row>
    <row r="580" customFormat="false" ht="15" hidden="false" customHeight="true" outlineLevel="0" collapsed="false">
      <c r="A580" s="5" t="n">
        <v>109</v>
      </c>
      <c r="B580" s="5" t="s">
        <v>637</v>
      </c>
      <c r="C580" s="5" t="s">
        <v>239</v>
      </c>
      <c r="D580" s="5" t="s">
        <v>608</v>
      </c>
      <c r="E580" s="5" t="s">
        <v>608</v>
      </c>
    </row>
    <row r="581" customFormat="false" ht="15" hidden="false" customHeight="true" outlineLevel="0" collapsed="false">
      <c r="A581" s="5" t="n">
        <v>109</v>
      </c>
      <c r="B581" s="5" t="s">
        <v>637</v>
      </c>
      <c r="C581" s="5" t="s">
        <v>239</v>
      </c>
      <c r="D581" s="5" t="s">
        <v>240</v>
      </c>
      <c r="E581" s="5" t="s">
        <v>544</v>
      </c>
    </row>
    <row r="582" customFormat="false" ht="15" hidden="false" customHeight="true" outlineLevel="0" collapsed="false">
      <c r="A582" s="5" t="n">
        <v>109</v>
      </c>
      <c r="B582" s="5" t="s">
        <v>637</v>
      </c>
      <c r="C582" s="5" t="s">
        <v>239</v>
      </c>
      <c r="D582" s="5" t="s">
        <v>204</v>
      </c>
      <c r="E582" s="5" t="s">
        <v>243</v>
      </c>
    </row>
    <row r="583" customFormat="false" ht="15" hidden="false" customHeight="true" outlineLevel="0" collapsed="false">
      <c r="A583" s="5" t="n">
        <v>109</v>
      </c>
      <c r="B583" s="5" t="s">
        <v>637</v>
      </c>
      <c r="C583" s="5" t="s">
        <v>239</v>
      </c>
      <c r="D583" s="5" t="s">
        <v>625</v>
      </c>
      <c r="E583" s="5" t="s">
        <v>626</v>
      </c>
    </row>
    <row r="584" customFormat="false" ht="15" hidden="false" customHeight="true" outlineLevel="0" collapsed="false">
      <c r="A584" s="5" t="n">
        <v>110</v>
      </c>
      <c r="B584" s="5" t="s">
        <v>638</v>
      </c>
      <c r="C584" s="5" t="s">
        <v>279</v>
      </c>
      <c r="D584" s="5" t="s">
        <v>129</v>
      </c>
      <c r="E584" s="5" t="s">
        <v>129</v>
      </c>
    </row>
    <row r="585" customFormat="false" ht="15" hidden="false" customHeight="true" outlineLevel="0" collapsed="false">
      <c r="A585" s="5" t="n">
        <v>110</v>
      </c>
      <c r="B585" s="5" t="s">
        <v>638</v>
      </c>
      <c r="C585" s="5" t="s">
        <v>279</v>
      </c>
      <c r="D585" s="5" t="s">
        <v>357</v>
      </c>
      <c r="E585" s="5" t="s">
        <v>358</v>
      </c>
    </row>
    <row r="586" customFormat="false" ht="15" hidden="false" customHeight="true" outlineLevel="0" collapsed="false">
      <c r="A586" s="5" t="n">
        <v>110</v>
      </c>
      <c r="B586" s="5" t="s">
        <v>638</v>
      </c>
      <c r="C586" s="5" t="s">
        <v>279</v>
      </c>
      <c r="D586" s="5" t="s">
        <v>386</v>
      </c>
      <c r="E586" s="5" t="s">
        <v>387</v>
      </c>
    </row>
    <row r="587" customFormat="false" ht="15" hidden="false" customHeight="true" outlineLevel="0" collapsed="false">
      <c r="A587" s="5" t="n">
        <v>110</v>
      </c>
      <c r="B587" s="5" t="s">
        <v>638</v>
      </c>
      <c r="C587" s="5" t="s">
        <v>279</v>
      </c>
      <c r="D587" s="5" t="s">
        <v>512</v>
      </c>
      <c r="E587" s="5" t="s">
        <v>513</v>
      </c>
    </row>
    <row r="588" customFormat="false" ht="15" hidden="false" customHeight="true" outlineLevel="0" collapsed="false">
      <c r="A588" s="5" t="n">
        <v>110</v>
      </c>
      <c r="B588" s="5" t="s">
        <v>638</v>
      </c>
      <c r="C588" s="5" t="s">
        <v>279</v>
      </c>
      <c r="D588" s="5" t="s">
        <v>516</v>
      </c>
      <c r="E588" s="5" t="s">
        <v>517</v>
      </c>
    </row>
    <row r="589" customFormat="false" ht="15" hidden="false" customHeight="true" outlineLevel="0" collapsed="false">
      <c r="A589" s="5" t="n">
        <v>111</v>
      </c>
      <c r="B589" s="5" t="s">
        <v>639</v>
      </c>
      <c r="C589" s="5" t="s">
        <v>260</v>
      </c>
      <c r="D589" s="5" t="s">
        <v>640</v>
      </c>
      <c r="E589" s="5" t="s">
        <v>640</v>
      </c>
    </row>
    <row r="590" customFormat="false" ht="15" hidden="false" customHeight="true" outlineLevel="0" collapsed="false">
      <c r="A590" s="5" t="n">
        <v>111</v>
      </c>
      <c r="B590" s="5" t="s">
        <v>639</v>
      </c>
      <c r="C590" s="5" t="s">
        <v>260</v>
      </c>
      <c r="D590" s="5" t="s">
        <v>300</v>
      </c>
      <c r="E590" s="5" t="s">
        <v>419</v>
      </c>
    </row>
    <row r="591" customFormat="false" ht="15" hidden="false" customHeight="true" outlineLevel="0" collapsed="false">
      <c r="A591" s="5" t="n">
        <v>111</v>
      </c>
      <c r="B591" s="5" t="s">
        <v>639</v>
      </c>
      <c r="C591" s="5" t="s">
        <v>260</v>
      </c>
      <c r="D591" s="5" t="s">
        <v>298</v>
      </c>
      <c r="E591" s="5" t="s">
        <v>474</v>
      </c>
    </row>
    <row r="592" customFormat="false" ht="15" hidden="false" customHeight="true" outlineLevel="0" collapsed="false">
      <c r="A592" s="5" t="n">
        <v>111</v>
      </c>
      <c r="B592" s="5" t="s">
        <v>639</v>
      </c>
      <c r="C592" s="5" t="s">
        <v>260</v>
      </c>
      <c r="D592" s="5" t="s">
        <v>118</v>
      </c>
      <c r="E592" s="5" t="s">
        <v>206</v>
      </c>
    </row>
    <row r="593" customFormat="false" ht="15" hidden="false" customHeight="true" outlineLevel="0" collapsed="false">
      <c r="A593" s="5" t="n">
        <v>112</v>
      </c>
      <c r="B593" s="5" t="s">
        <v>641</v>
      </c>
      <c r="C593" s="5" t="s">
        <v>210</v>
      </c>
      <c r="D593" s="5" t="s">
        <v>642</v>
      </c>
      <c r="E593" s="5" t="s">
        <v>643</v>
      </c>
    </row>
    <row r="594" customFormat="false" ht="15" hidden="false" customHeight="true" outlineLevel="0" collapsed="false">
      <c r="A594" s="5" t="n">
        <v>112</v>
      </c>
      <c r="B594" s="5" t="s">
        <v>641</v>
      </c>
      <c r="C594" s="5" t="s">
        <v>210</v>
      </c>
      <c r="D594" s="5" t="s">
        <v>178</v>
      </c>
      <c r="E594" s="5" t="s">
        <v>179</v>
      </c>
    </row>
    <row r="595" customFormat="false" ht="15" hidden="false" customHeight="true" outlineLevel="0" collapsed="false">
      <c r="A595" s="5" t="n">
        <v>112</v>
      </c>
      <c r="B595" s="5" t="s">
        <v>641</v>
      </c>
      <c r="C595" s="5" t="s">
        <v>210</v>
      </c>
      <c r="D595" s="5" t="s">
        <v>187</v>
      </c>
      <c r="E595" s="5" t="s">
        <v>188</v>
      </c>
    </row>
    <row r="596" customFormat="false" ht="15" hidden="false" customHeight="true" outlineLevel="0" collapsed="false">
      <c r="A596" s="5" t="n">
        <v>112</v>
      </c>
      <c r="B596" s="5" t="s">
        <v>641</v>
      </c>
      <c r="C596" s="5" t="s">
        <v>210</v>
      </c>
      <c r="D596" s="5" t="s">
        <v>644</v>
      </c>
      <c r="E596" s="5" t="s">
        <v>645</v>
      </c>
    </row>
    <row r="597" customFormat="false" ht="15" hidden="false" customHeight="true" outlineLevel="0" collapsed="false">
      <c r="A597" s="5" t="n">
        <v>113</v>
      </c>
      <c r="B597" s="5" t="s">
        <v>646</v>
      </c>
      <c r="C597" s="5" t="s">
        <v>191</v>
      </c>
      <c r="D597" s="5" t="s">
        <v>192</v>
      </c>
      <c r="E597" s="5" t="s">
        <v>192</v>
      </c>
    </row>
    <row r="598" customFormat="false" ht="15" hidden="false" customHeight="true" outlineLevel="0" collapsed="false">
      <c r="A598" s="5" t="n">
        <v>113</v>
      </c>
      <c r="B598" s="5" t="s">
        <v>646</v>
      </c>
      <c r="C598" s="5" t="s">
        <v>191</v>
      </c>
      <c r="D598" s="5" t="s">
        <v>44</v>
      </c>
      <c r="E598" s="5" t="s">
        <v>99</v>
      </c>
    </row>
    <row r="599" customFormat="false" ht="15" hidden="false" customHeight="true" outlineLevel="0" collapsed="false">
      <c r="A599" s="5" t="n">
        <v>113</v>
      </c>
      <c r="B599" s="5" t="s">
        <v>646</v>
      </c>
      <c r="C599" s="5" t="s">
        <v>191</v>
      </c>
      <c r="D599" s="5" t="s">
        <v>625</v>
      </c>
      <c r="E599" s="5" t="s">
        <v>626</v>
      </c>
    </row>
    <row r="600" customFormat="false" ht="15" hidden="false" customHeight="true" outlineLevel="0" collapsed="false">
      <c r="A600" s="5" t="n">
        <v>113</v>
      </c>
      <c r="B600" s="5" t="s">
        <v>646</v>
      </c>
      <c r="C600" s="5" t="s">
        <v>191</v>
      </c>
      <c r="D600" s="5" t="s">
        <v>291</v>
      </c>
      <c r="E600" s="5" t="s">
        <v>292</v>
      </c>
    </row>
    <row r="601" customFormat="false" ht="15" hidden="false" customHeight="true" outlineLevel="0" collapsed="false">
      <c r="A601" s="5" t="n">
        <v>113</v>
      </c>
      <c r="B601" s="5" t="s">
        <v>646</v>
      </c>
      <c r="C601" s="5" t="s">
        <v>191</v>
      </c>
      <c r="D601" s="5" t="s">
        <v>189</v>
      </c>
      <c r="E601" s="5" t="s">
        <v>647</v>
      </c>
    </row>
    <row r="602" customFormat="false" ht="15" hidden="false" customHeight="true" outlineLevel="0" collapsed="false">
      <c r="A602" s="5" t="n">
        <v>114</v>
      </c>
      <c r="B602" s="5" t="s">
        <v>648</v>
      </c>
      <c r="C602" s="5" t="s">
        <v>171</v>
      </c>
      <c r="D602" s="5" t="s">
        <v>172</v>
      </c>
      <c r="E602" s="5" t="s">
        <v>172</v>
      </c>
    </row>
    <row r="603" customFormat="false" ht="15" hidden="false" customHeight="true" outlineLevel="0" collapsed="false">
      <c r="A603" s="5" t="n">
        <v>114</v>
      </c>
      <c r="B603" s="5" t="s">
        <v>648</v>
      </c>
      <c r="C603" s="5" t="s">
        <v>171</v>
      </c>
      <c r="D603" s="5" t="s">
        <v>649</v>
      </c>
      <c r="E603" s="5" t="s">
        <v>650</v>
      </c>
    </row>
    <row r="604" customFormat="false" ht="15" hidden="false" customHeight="true" outlineLevel="0" collapsed="false">
      <c r="A604" s="5" t="n">
        <v>114</v>
      </c>
      <c r="B604" s="5" t="s">
        <v>648</v>
      </c>
      <c r="C604" s="5" t="s">
        <v>171</v>
      </c>
      <c r="D604" s="5" t="s">
        <v>240</v>
      </c>
      <c r="E604" s="5" t="s">
        <v>574</v>
      </c>
    </row>
    <row r="605" customFormat="false" ht="15" hidden="false" customHeight="true" outlineLevel="0" collapsed="false">
      <c r="A605" s="5" t="n">
        <v>114</v>
      </c>
      <c r="B605" s="5" t="s">
        <v>648</v>
      </c>
      <c r="C605" s="5" t="s">
        <v>171</v>
      </c>
      <c r="D605" s="5" t="s">
        <v>219</v>
      </c>
      <c r="E605" s="5" t="s">
        <v>220</v>
      </c>
    </row>
    <row r="606" customFormat="false" ht="15" hidden="false" customHeight="true" outlineLevel="0" collapsed="false">
      <c r="A606" s="5" t="n">
        <v>115</v>
      </c>
      <c r="B606" s="5" t="s">
        <v>651</v>
      </c>
      <c r="C606" s="5" t="s">
        <v>51</v>
      </c>
      <c r="D606" s="5" t="s">
        <v>189</v>
      </c>
      <c r="E606" s="5" t="s">
        <v>189</v>
      </c>
    </row>
    <row r="607" customFormat="false" ht="15" hidden="false" customHeight="true" outlineLevel="0" collapsed="false">
      <c r="A607" s="5" t="n">
        <v>115</v>
      </c>
      <c r="B607" s="5" t="s">
        <v>651</v>
      </c>
      <c r="C607" s="5" t="s">
        <v>51</v>
      </c>
      <c r="D607" s="5" t="s">
        <v>230</v>
      </c>
      <c r="E607" s="5" t="s">
        <v>231</v>
      </c>
    </row>
    <row r="608" customFormat="false" ht="15" hidden="false" customHeight="true" outlineLevel="0" collapsed="false">
      <c r="A608" s="5" t="n">
        <v>115</v>
      </c>
      <c r="B608" s="5" t="s">
        <v>651</v>
      </c>
      <c r="C608" s="5" t="s">
        <v>51</v>
      </c>
      <c r="D608" s="5" t="s">
        <v>394</v>
      </c>
      <c r="E608" s="5" t="s">
        <v>395</v>
      </c>
    </row>
    <row r="609" customFormat="false" ht="15" hidden="false" customHeight="true" outlineLevel="0" collapsed="false">
      <c r="A609" s="5" t="n">
        <v>115</v>
      </c>
      <c r="B609" s="5" t="s">
        <v>651</v>
      </c>
      <c r="C609" s="5" t="s">
        <v>51</v>
      </c>
      <c r="D609" s="5" t="s">
        <v>493</v>
      </c>
      <c r="E609" s="5" t="s">
        <v>494</v>
      </c>
    </row>
    <row r="610" customFormat="false" ht="15" hidden="false" customHeight="true" outlineLevel="0" collapsed="false">
      <c r="A610" s="5" t="n">
        <v>115</v>
      </c>
      <c r="B610" s="5" t="s">
        <v>651</v>
      </c>
      <c r="C610" s="5" t="s">
        <v>51</v>
      </c>
      <c r="D610" s="5" t="s">
        <v>253</v>
      </c>
      <c r="E610" s="5" t="s">
        <v>254</v>
      </c>
    </row>
    <row r="611" customFormat="false" ht="15" hidden="false" customHeight="true" outlineLevel="0" collapsed="false">
      <c r="A611" s="5" t="n">
        <v>115</v>
      </c>
      <c r="B611" s="5" t="s">
        <v>651</v>
      </c>
      <c r="C611" s="5" t="s">
        <v>51</v>
      </c>
      <c r="D611" s="5" t="s">
        <v>255</v>
      </c>
      <c r="E611" s="5" t="s">
        <v>256</v>
      </c>
    </row>
    <row r="612" customFormat="false" ht="15" hidden="false" customHeight="true" outlineLevel="0" collapsed="false">
      <c r="A612" s="5" t="n">
        <v>116</v>
      </c>
      <c r="B612" s="5" t="s">
        <v>652</v>
      </c>
      <c r="C612" s="5" t="s">
        <v>25</v>
      </c>
      <c r="D612" s="5" t="s">
        <v>310</v>
      </c>
      <c r="E612" s="5" t="s">
        <v>310</v>
      </c>
    </row>
    <row r="613" customFormat="false" ht="15" hidden="false" customHeight="true" outlineLevel="0" collapsed="false">
      <c r="A613" s="5" t="n">
        <v>116</v>
      </c>
      <c r="B613" s="5" t="s">
        <v>652</v>
      </c>
      <c r="C613" s="5" t="s">
        <v>25</v>
      </c>
      <c r="D613" s="5" t="s">
        <v>653</v>
      </c>
      <c r="E613" s="5" t="s">
        <v>654</v>
      </c>
    </row>
    <row r="614" customFormat="false" ht="15" hidden="false" customHeight="true" outlineLevel="0" collapsed="false">
      <c r="A614" s="5" t="n">
        <v>116</v>
      </c>
      <c r="B614" s="5" t="s">
        <v>652</v>
      </c>
      <c r="C614" s="5" t="s">
        <v>25</v>
      </c>
      <c r="D614" s="5" t="s">
        <v>156</v>
      </c>
      <c r="E614" s="5" t="s">
        <v>655</v>
      </c>
    </row>
    <row r="615" customFormat="false" ht="15" hidden="false" customHeight="true" outlineLevel="0" collapsed="false">
      <c r="A615" s="5" t="n">
        <v>116</v>
      </c>
      <c r="B615" s="5" t="s">
        <v>652</v>
      </c>
      <c r="C615" s="5" t="s">
        <v>25</v>
      </c>
      <c r="D615" s="5" t="s">
        <v>378</v>
      </c>
      <c r="E615" s="5" t="s">
        <v>379</v>
      </c>
    </row>
    <row r="616" customFormat="false" ht="15" hidden="false" customHeight="true" outlineLevel="0" collapsed="false">
      <c r="A616" s="5" t="n">
        <v>116</v>
      </c>
      <c r="B616" s="5" t="s">
        <v>652</v>
      </c>
      <c r="C616" s="5" t="s">
        <v>25</v>
      </c>
      <c r="D616" s="5" t="s">
        <v>74</v>
      </c>
      <c r="E616" s="5" t="s">
        <v>75</v>
      </c>
    </row>
    <row r="617" customFormat="false" ht="15" hidden="false" customHeight="true" outlineLevel="0" collapsed="false">
      <c r="A617" s="5" t="n">
        <v>117</v>
      </c>
      <c r="B617" s="5" t="s">
        <v>656</v>
      </c>
      <c r="C617" s="5" t="s">
        <v>519</v>
      </c>
      <c r="D617" s="5" t="s">
        <v>520</v>
      </c>
      <c r="E617" s="5" t="s">
        <v>520</v>
      </c>
    </row>
    <row r="618" customFormat="false" ht="15" hidden="false" customHeight="true" outlineLevel="0" collapsed="false">
      <c r="A618" s="5" t="n">
        <v>117</v>
      </c>
      <c r="B618" s="5" t="s">
        <v>656</v>
      </c>
      <c r="C618" s="5" t="s">
        <v>519</v>
      </c>
      <c r="D618" s="5" t="s">
        <v>454</v>
      </c>
      <c r="E618" s="5" t="s">
        <v>455</v>
      </c>
    </row>
    <row r="619" customFormat="false" ht="15" hidden="false" customHeight="true" outlineLevel="0" collapsed="false">
      <c r="A619" s="5" t="n">
        <v>117</v>
      </c>
      <c r="B619" s="5" t="s">
        <v>656</v>
      </c>
      <c r="C619" s="5" t="s">
        <v>519</v>
      </c>
      <c r="D619" s="5" t="s">
        <v>207</v>
      </c>
      <c r="E619" s="5" t="s">
        <v>657</v>
      </c>
    </row>
    <row r="620" customFormat="false" ht="15" hidden="false" customHeight="true" outlineLevel="0" collapsed="false">
      <c r="A620" s="5" t="n">
        <v>117</v>
      </c>
      <c r="B620" s="5" t="s">
        <v>656</v>
      </c>
      <c r="C620" s="5" t="s">
        <v>519</v>
      </c>
      <c r="D620" s="5" t="s">
        <v>116</v>
      </c>
      <c r="E620" s="5" t="s">
        <v>117</v>
      </c>
    </row>
    <row r="621" customFormat="false" ht="15" hidden="false" customHeight="true" outlineLevel="0" collapsed="false">
      <c r="A621" s="5" t="n">
        <v>117</v>
      </c>
      <c r="B621" s="5" t="s">
        <v>656</v>
      </c>
      <c r="C621" s="5" t="s">
        <v>519</v>
      </c>
      <c r="D621" s="5" t="s">
        <v>118</v>
      </c>
      <c r="E621" s="5" t="s">
        <v>206</v>
      </c>
    </row>
    <row r="622" customFormat="false" ht="15" hidden="false" customHeight="true" outlineLevel="0" collapsed="false">
      <c r="A622" s="5" t="n">
        <v>117</v>
      </c>
      <c r="B622" s="5" t="s">
        <v>656</v>
      </c>
      <c r="C622" s="5" t="s">
        <v>519</v>
      </c>
      <c r="D622" s="5" t="s">
        <v>111</v>
      </c>
      <c r="E622" s="5" t="s">
        <v>213</v>
      </c>
    </row>
    <row r="623" customFormat="false" ht="15" hidden="false" customHeight="true" outlineLevel="0" collapsed="false">
      <c r="A623" s="5" t="n">
        <v>118</v>
      </c>
      <c r="B623" s="5" t="s">
        <v>658</v>
      </c>
      <c r="C623" s="5" t="s">
        <v>110</v>
      </c>
      <c r="D623" s="5" t="s">
        <v>111</v>
      </c>
      <c r="E623" s="5" t="s">
        <v>111</v>
      </c>
    </row>
    <row r="624" customFormat="false" ht="15" hidden="false" customHeight="true" outlineLevel="0" collapsed="false">
      <c r="A624" s="5" t="n">
        <v>118</v>
      </c>
      <c r="B624" s="5" t="s">
        <v>658</v>
      </c>
      <c r="C624" s="5" t="s">
        <v>110</v>
      </c>
      <c r="D624" s="5" t="s">
        <v>195</v>
      </c>
      <c r="E624" s="5" t="s">
        <v>556</v>
      </c>
    </row>
    <row r="625" customFormat="false" ht="15" hidden="false" customHeight="true" outlineLevel="0" collapsed="false">
      <c r="A625" s="5" t="n">
        <v>118</v>
      </c>
      <c r="B625" s="5" t="s">
        <v>658</v>
      </c>
      <c r="C625" s="5" t="s">
        <v>110</v>
      </c>
      <c r="D625" s="5" t="s">
        <v>221</v>
      </c>
      <c r="E625" s="5" t="s">
        <v>222</v>
      </c>
    </row>
    <row r="626" customFormat="false" ht="15" hidden="false" customHeight="true" outlineLevel="0" collapsed="false">
      <c r="A626" s="5" t="n">
        <v>118</v>
      </c>
      <c r="B626" s="5" t="s">
        <v>658</v>
      </c>
      <c r="C626" s="5" t="s">
        <v>110</v>
      </c>
      <c r="D626" s="5" t="s">
        <v>118</v>
      </c>
      <c r="E626" s="5" t="s">
        <v>119</v>
      </c>
    </row>
    <row r="627" customFormat="false" ht="15" hidden="false" customHeight="true" outlineLevel="0" collapsed="false">
      <c r="A627" s="5" t="n">
        <v>118</v>
      </c>
      <c r="B627" s="5" t="s">
        <v>658</v>
      </c>
      <c r="C627" s="5" t="s">
        <v>110</v>
      </c>
      <c r="D627" s="5" t="s">
        <v>454</v>
      </c>
      <c r="E627" s="5" t="s">
        <v>455</v>
      </c>
    </row>
    <row r="628" customFormat="false" ht="15" hidden="false" customHeight="true" outlineLevel="0" collapsed="false">
      <c r="A628" s="5" t="n">
        <v>119</v>
      </c>
      <c r="B628" s="5" t="s">
        <v>659</v>
      </c>
      <c r="C628" s="5" t="s">
        <v>84</v>
      </c>
      <c r="D628" s="5" t="s">
        <v>548</v>
      </c>
      <c r="E628" s="5" t="s">
        <v>548</v>
      </c>
    </row>
    <row r="629" customFormat="false" ht="15" hidden="false" customHeight="true" outlineLevel="0" collapsed="false">
      <c r="A629" s="5" t="n">
        <v>119</v>
      </c>
      <c r="B629" s="5" t="s">
        <v>659</v>
      </c>
      <c r="C629" s="5" t="s">
        <v>84</v>
      </c>
      <c r="D629" s="5" t="s">
        <v>430</v>
      </c>
      <c r="E629" s="5" t="s">
        <v>431</v>
      </c>
    </row>
    <row r="630" customFormat="false" ht="15" hidden="false" customHeight="true" outlineLevel="0" collapsed="false">
      <c r="A630" s="5" t="n">
        <v>119</v>
      </c>
      <c r="B630" s="5" t="s">
        <v>659</v>
      </c>
      <c r="C630" s="5" t="s">
        <v>84</v>
      </c>
      <c r="D630" s="5" t="s">
        <v>428</v>
      </c>
      <c r="E630" s="5" t="s">
        <v>429</v>
      </c>
    </row>
    <row r="631" customFormat="false" ht="15" hidden="false" customHeight="true" outlineLevel="0" collapsed="false">
      <c r="A631" s="5" t="n">
        <v>119</v>
      </c>
      <c r="B631" s="5" t="s">
        <v>659</v>
      </c>
      <c r="C631" s="5" t="s">
        <v>84</v>
      </c>
      <c r="D631" s="5" t="s">
        <v>632</v>
      </c>
      <c r="E631" s="5" t="s">
        <v>633</v>
      </c>
    </row>
    <row r="632" customFormat="false" ht="15" hidden="false" customHeight="true" outlineLevel="0" collapsed="false">
      <c r="A632" s="5" t="n">
        <v>120</v>
      </c>
      <c r="B632" s="5" t="s">
        <v>660</v>
      </c>
      <c r="C632" s="5" t="s">
        <v>148</v>
      </c>
      <c r="D632" s="5" t="s">
        <v>661</v>
      </c>
      <c r="E632" s="5" t="s">
        <v>662</v>
      </c>
    </row>
    <row r="633" customFormat="false" ht="15" hidden="false" customHeight="true" outlineLevel="0" collapsed="false">
      <c r="A633" s="5" t="n">
        <v>120</v>
      </c>
      <c r="B633" s="5" t="s">
        <v>660</v>
      </c>
      <c r="C633" s="5" t="s">
        <v>148</v>
      </c>
      <c r="D633" s="5" t="s">
        <v>230</v>
      </c>
      <c r="E633" s="5" t="s">
        <v>231</v>
      </c>
    </row>
    <row r="634" customFormat="false" ht="15" hidden="false" customHeight="true" outlineLevel="0" collapsed="false">
      <c r="A634" s="5" t="n">
        <v>120</v>
      </c>
      <c r="B634" s="5" t="s">
        <v>660</v>
      </c>
      <c r="C634" s="5" t="s">
        <v>148</v>
      </c>
      <c r="D634" s="5" t="s">
        <v>204</v>
      </c>
      <c r="E634" s="5" t="s">
        <v>243</v>
      </c>
    </row>
    <row r="635" customFormat="false" ht="15" hidden="false" customHeight="true" outlineLevel="0" collapsed="false">
      <c r="A635" s="5" t="n">
        <v>120</v>
      </c>
      <c r="B635" s="5" t="s">
        <v>660</v>
      </c>
      <c r="C635" s="5" t="s">
        <v>148</v>
      </c>
      <c r="D635" s="5" t="s">
        <v>189</v>
      </c>
      <c r="E635" s="5" t="s">
        <v>189</v>
      </c>
    </row>
    <row r="636" customFormat="false" ht="15" hidden="false" customHeight="true" outlineLevel="0" collapsed="false">
      <c r="A636" s="5" t="n">
        <v>121</v>
      </c>
      <c r="B636" s="5" t="s">
        <v>663</v>
      </c>
      <c r="C636" s="5" t="s">
        <v>171</v>
      </c>
      <c r="D636" s="5" t="s">
        <v>172</v>
      </c>
      <c r="E636" s="5" t="s">
        <v>172</v>
      </c>
    </row>
    <row r="637" customFormat="false" ht="15" hidden="false" customHeight="true" outlineLevel="0" collapsed="false">
      <c r="A637" s="5" t="n">
        <v>121</v>
      </c>
      <c r="B637" s="5" t="s">
        <v>663</v>
      </c>
      <c r="C637" s="5" t="s">
        <v>171</v>
      </c>
      <c r="D637" s="5" t="s">
        <v>393</v>
      </c>
      <c r="E637" s="5" t="s">
        <v>664</v>
      </c>
    </row>
    <row r="638" customFormat="false" ht="15" hidden="false" customHeight="true" outlineLevel="0" collapsed="false">
      <c r="A638" s="5" t="n">
        <v>121</v>
      </c>
      <c r="B638" s="5" t="s">
        <v>663</v>
      </c>
      <c r="C638" s="5" t="s">
        <v>171</v>
      </c>
      <c r="D638" s="5" t="s">
        <v>649</v>
      </c>
      <c r="E638" s="5" t="s">
        <v>664</v>
      </c>
    </row>
    <row r="639" customFormat="false" ht="15" hidden="false" customHeight="true" outlineLevel="0" collapsed="false">
      <c r="A639" s="5" t="n">
        <v>121</v>
      </c>
      <c r="B639" s="5" t="s">
        <v>663</v>
      </c>
      <c r="C639" s="5" t="s">
        <v>171</v>
      </c>
      <c r="D639" s="5" t="s">
        <v>79</v>
      </c>
      <c r="E639" s="5" t="s">
        <v>80</v>
      </c>
    </row>
    <row r="640" customFormat="false" ht="15" hidden="false" customHeight="true" outlineLevel="0" collapsed="false">
      <c r="A640" s="5" t="n">
        <v>121</v>
      </c>
      <c r="B640" s="5" t="s">
        <v>663</v>
      </c>
      <c r="C640" s="5" t="s">
        <v>171</v>
      </c>
      <c r="D640" s="5" t="s">
        <v>178</v>
      </c>
      <c r="E640" s="5" t="s">
        <v>179</v>
      </c>
    </row>
    <row r="641" customFormat="false" ht="15" hidden="false" customHeight="true" outlineLevel="0" collapsed="false">
      <c r="A641" s="5" t="n">
        <v>122</v>
      </c>
      <c r="B641" s="5" t="s">
        <v>665</v>
      </c>
      <c r="C641" s="5" t="s">
        <v>77</v>
      </c>
      <c r="D641" s="5" t="s">
        <v>192</v>
      </c>
      <c r="E641" s="5" t="s">
        <v>192</v>
      </c>
    </row>
    <row r="642" customFormat="false" ht="15" hidden="false" customHeight="true" outlineLevel="0" collapsed="false">
      <c r="A642" s="5" t="n">
        <v>122</v>
      </c>
      <c r="B642" s="5" t="s">
        <v>665</v>
      </c>
      <c r="C642" s="5" t="s">
        <v>77</v>
      </c>
      <c r="D642" s="5" t="s">
        <v>78</v>
      </c>
      <c r="E642" s="5" t="s">
        <v>78</v>
      </c>
    </row>
    <row r="643" customFormat="false" ht="15" hidden="false" customHeight="true" outlineLevel="0" collapsed="false">
      <c r="A643" s="5" t="n">
        <v>122</v>
      </c>
      <c r="B643" s="5" t="s">
        <v>665</v>
      </c>
      <c r="C643" s="5" t="s">
        <v>77</v>
      </c>
      <c r="D643" s="5" t="s">
        <v>246</v>
      </c>
      <c r="E643" s="5" t="s">
        <v>629</v>
      </c>
    </row>
    <row r="644" customFormat="false" ht="15" hidden="false" customHeight="true" outlineLevel="0" collapsed="false">
      <c r="A644" s="5" t="n">
        <v>122</v>
      </c>
      <c r="B644" s="5" t="s">
        <v>665</v>
      </c>
      <c r="C644" s="5" t="s">
        <v>77</v>
      </c>
      <c r="D644" s="5" t="s">
        <v>241</v>
      </c>
      <c r="E644" s="5" t="s">
        <v>242</v>
      </c>
    </row>
    <row r="645" customFormat="false" ht="15" hidden="false" customHeight="true" outlineLevel="0" collapsed="false">
      <c r="A645" s="5" t="n">
        <v>122</v>
      </c>
      <c r="B645" s="5" t="s">
        <v>665</v>
      </c>
      <c r="C645" s="5" t="s">
        <v>77</v>
      </c>
      <c r="D645" s="5" t="s">
        <v>291</v>
      </c>
      <c r="E645" s="5" t="s">
        <v>292</v>
      </c>
    </row>
    <row r="646" customFormat="false" ht="15" hidden="false" customHeight="true" outlineLevel="0" collapsed="false">
      <c r="A646" s="5" t="n">
        <v>123</v>
      </c>
      <c r="B646" s="5" t="s">
        <v>666</v>
      </c>
      <c r="C646" s="5" t="s">
        <v>106</v>
      </c>
      <c r="D646" s="5" t="s">
        <v>667</v>
      </c>
      <c r="E646" s="5" t="s">
        <v>667</v>
      </c>
    </row>
    <row r="647" customFormat="false" ht="15" hidden="false" customHeight="true" outlineLevel="0" collapsed="false">
      <c r="A647" s="5" t="n">
        <v>123</v>
      </c>
      <c r="B647" s="5" t="s">
        <v>666</v>
      </c>
      <c r="C647" s="5" t="s">
        <v>106</v>
      </c>
      <c r="D647" s="5" t="s">
        <v>357</v>
      </c>
      <c r="E647" s="5" t="s">
        <v>358</v>
      </c>
    </row>
    <row r="648" customFormat="false" ht="15" hidden="false" customHeight="true" outlineLevel="0" collapsed="false">
      <c r="A648" s="5" t="n">
        <v>123</v>
      </c>
      <c r="B648" s="5" t="s">
        <v>666</v>
      </c>
      <c r="C648" s="5" t="s">
        <v>106</v>
      </c>
      <c r="D648" s="5" t="s">
        <v>359</v>
      </c>
      <c r="E648" s="5" t="s">
        <v>668</v>
      </c>
    </row>
    <row r="649" customFormat="false" ht="15" hidden="false" customHeight="true" outlineLevel="0" collapsed="false">
      <c r="A649" s="5" t="n">
        <v>124</v>
      </c>
      <c r="B649" s="5" t="s">
        <v>669</v>
      </c>
      <c r="C649" s="5" t="s">
        <v>51</v>
      </c>
      <c r="D649" s="5" t="s">
        <v>289</v>
      </c>
      <c r="E649" s="5" t="s">
        <v>289</v>
      </c>
    </row>
    <row r="650" customFormat="false" ht="15" hidden="false" customHeight="true" outlineLevel="0" collapsed="false">
      <c r="A650" s="5" t="n">
        <v>124</v>
      </c>
      <c r="B650" s="5" t="s">
        <v>669</v>
      </c>
      <c r="C650" s="5" t="s">
        <v>51</v>
      </c>
      <c r="D650" s="5" t="s">
        <v>118</v>
      </c>
      <c r="E650" s="5" t="s">
        <v>206</v>
      </c>
    </row>
    <row r="651" customFormat="false" ht="15" hidden="false" customHeight="true" outlineLevel="0" collapsed="false">
      <c r="A651" s="5" t="n">
        <v>124</v>
      </c>
      <c r="B651" s="5" t="s">
        <v>669</v>
      </c>
      <c r="C651" s="5" t="s">
        <v>51</v>
      </c>
      <c r="D651" s="5" t="s">
        <v>178</v>
      </c>
      <c r="E651" s="5" t="s">
        <v>179</v>
      </c>
    </row>
    <row r="652" customFormat="false" ht="15" hidden="false" customHeight="true" outlineLevel="0" collapsed="false">
      <c r="A652" s="5" t="n">
        <v>124</v>
      </c>
      <c r="B652" s="5" t="s">
        <v>669</v>
      </c>
      <c r="C652" s="5" t="s">
        <v>51</v>
      </c>
      <c r="D652" s="5" t="s">
        <v>394</v>
      </c>
      <c r="E652" s="5" t="s">
        <v>395</v>
      </c>
    </row>
    <row r="653" customFormat="false" ht="15" hidden="false" customHeight="true" outlineLevel="0" collapsed="false">
      <c r="A653" s="5" t="n">
        <v>124</v>
      </c>
      <c r="B653" s="5" t="s">
        <v>669</v>
      </c>
      <c r="C653" s="5" t="s">
        <v>51</v>
      </c>
      <c r="D653" s="5" t="s">
        <v>298</v>
      </c>
      <c r="E653" s="5" t="s">
        <v>474</v>
      </c>
    </row>
    <row r="654" customFormat="false" ht="15" hidden="false" customHeight="true" outlineLevel="0" collapsed="false">
      <c r="A654" s="5" t="n">
        <v>125</v>
      </c>
      <c r="B654" s="5" t="s">
        <v>670</v>
      </c>
      <c r="C654" s="5" t="s">
        <v>279</v>
      </c>
      <c r="D654" s="5" t="s">
        <v>189</v>
      </c>
      <c r="E654" s="5" t="s">
        <v>189</v>
      </c>
    </row>
    <row r="655" customFormat="false" ht="15" hidden="false" customHeight="true" outlineLevel="0" collapsed="false">
      <c r="A655" s="5" t="n">
        <v>125</v>
      </c>
      <c r="B655" s="5" t="s">
        <v>670</v>
      </c>
      <c r="C655" s="5" t="s">
        <v>279</v>
      </c>
      <c r="D655" s="5" t="s">
        <v>394</v>
      </c>
      <c r="E655" s="5" t="s">
        <v>395</v>
      </c>
    </row>
    <row r="656" customFormat="false" ht="15" hidden="false" customHeight="true" outlineLevel="0" collapsed="false">
      <c r="A656" s="5" t="n">
        <v>125</v>
      </c>
      <c r="B656" s="5" t="s">
        <v>670</v>
      </c>
      <c r="C656" s="5" t="s">
        <v>279</v>
      </c>
      <c r="D656" s="5" t="s">
        <v>516</v>
      </c>
      <c r="E656" s="5" t="s">
        <v>517</v>
      </c>
    </row>
    <row r="657" customFormat="false" ht="15" hidden="false" customHeight="true" outlineLevel="0" collapsed="false">
      <c r="A657" s="5" t="n">
        <v>125</v>
      </c>
      <c r="B657" s="5" t="s">
        <v>670</v>
      </c>
      <c r="C657" s="5" t="s">
        <v>279</v>
      </c>
      <c r="D657" s="5" t="s">
        <v>274</v>
      </c>
      <c r="E657" s="5" t="s">
        <v>275</v>
      </c>
    </row>
    <row r="658" customFormat="false" ht="15" hidden="false" customHeight="true" outlineLevel="0" collapsed="false">
      <c r="A658" s="5" t="n">
        <v>126</v>
      </c>
      <c r="B658" s="5" t="s">
        <v>671</v>
      </c>
      <c r="C658" s="5" t="s">
        <v>163</v>
      </c>
      <c r="D658" s="5" t="s">
        <v>164</v>
      </c>
      <c r="E658" s="5" t="s">
        <v>164</v>
      </c>
    </row>
    <row r="659" customFormat="false" ht="15" hidden="false" customHeight="true" outlineLevel="0" collapsed="false">
      <c r="A659" s="5" t="n">
        <v>126</v>
      </c>
      <c r="B659" s="5" t="s">
        <v>671</v>
      </c>
      <c r="C659" s="5" t="s">
        <v>163</v>
      </c>
      <c r="D659" s="5" t="s">
        <v>187</v>
      </c>
      <c r="E659" s="5" t="s">
        <v>188</v>
      </c>
    </row>
    <row r="660" customFormat="false" ht="15" hidden="false" customHeight="true" outlineLevel="0" collapsed="false">
      <c r="A660" s="5" t="n">
        <v>126</v>
      </c>
      <c r="B660" s="5" t="s">
        <v>671</v>
      </c>
      <c r="C660" s="5" t="s">
        <v>163</v>
      </c>
      <c r="D660" s="5" t="s">
        <v>217</v>
      </c>
      <c r="E660" s="5" t="s">
        <v>672</v>
      </c>
    </row>
    <row r="661" customFormat="false" ht="15" hidden="false" customHeight="true" outlineLevel="0" collapsed="false">
      <c r="A661" s="5" t="n">
        <v>126</v>
      </c>
      <c r="B661" s="5" t="s">
        <v>671</v>
      </c>
      <c r="C661" s="5" t="s">
        <v>163</v>
      </c>
      <c r="D661" s="5" t="s">
        <v>428</v>
      </c>
      <c r="E661" s="5" t="s">
        <v>429</v>
      </c>
    </row>
    <row r="662" customFormat="false" ht="15" hidden="false" customHeight="true" outlineLevel="0" collapsed="false">
      <c r="A662" s="5" t="n">
        <v>126</v>
      </c>
      <c r="B662" s="5" t="s">
        <v>671</v>
      </c>
      <c r="C662" s="5" t="s">
        <v>163</v>
      </c>
      <c r="D662" s="5" t="s">
        <v>102</v>
      </c>
      <c r="E662" s="5" t="s">
        <v>103</v>
      </c>
    </row>
    <row r="663" customFormat="false" ht="15" hidden="false" customHeight="true" outlineLevel="0" collapsed="false">
      <c r="A663" s="5" t="n">
        <v>127</v>
      </c>
      <c r="B663" s="5" t="s">
        <v>673</v>
      </c>
      <c r="C663" s="5" t="s">
        <v>64</v>
      </c>
      <c r="D663" s="5" t="s">
        <v>65</v>
      </c>
      <c r="E663" s="5" t="s">
        <v>65</v>
      </c>
    </row>
    <row r="664" customFormat="false" ht="15" hidden="false" customHeight="true" outlineLevel="0" collapsed="false">
      <c r="A664" s="5" t="n">
        <v>127</v>
      </c>
      <c r="B664" s="5" t="s">
        <v>673</v>
      </c>
      <c r="C664" s="5" t="s">
        <v>64</v>
      </c>
      <c r="D664" s="5" t="s">
        <v>79</v>
      </c>
      <c r="E664" s="5" t="s">
        <v>80</v>
      </c>
    </row>
    <row r="665" customFormat="false" ht="15" hidden="false" customHeight="true" outlineLevel="0" collapsed="false">
      <c r="A665" s="5" t="n">
        <v>127</v>
      </c>
      <c r="B665" s="5" t="s">
        <v>673</v>
      </c>
      <c r="C665" s="5" t="s">
        <v>64</v>
      </c>
      <c r="D665" s="5" t="s">
        <v>168</v>
      </c>
      <c r="E665" s="5" t="s">
        <v>169</v>
      </c>
    </row>
    <row r="666" customFormat="false" ht="15" hidden="false" customHeight="true" outlineLevel="0" collapsed="false">
      <c r="A666" s="5" t="n">
        <v>127</v>
      </c>
      <c r="B666" s="5" t="s">
        <v>673</v>
      </c>
      <c r="C666" s="5" t="s">
        <v>64</v>
      </c>
      <c r="D666" s="5" t="s">
        <v>178</v>
      </c>
      <c r="E666" s="5" t="s">
        <v>179</v>
      </c>
    </row>
    <row r="667" customFormat="false" ht="15" hidden="false" customHeight="true" outlineLevel="0" collapsed="false">
      <c r="A667" s="5" t="n">
        <v>128</v>
      </c>
      <c r="B667" s="5" t="s">
        <v>674</v>
      </c>
      <c r="C667" s="5" t="s">
        <v>239</v>
      </c>
      <c r="D667" s="5" t="s">
        <v>204</v>
      </c>
      <c r="E667" s="5" t="s">
        <v>204</v>
      </c>
    </row>
    <row r="668" customFormat="false" ht="15" hidden="false" customHeight="true" outlineLevel="0" collapsed="false">
      <c r="A668" s="5" t="n">
        <v>128</v>
      </c>
      <c r="B668" s="5" t="s">
        <v>674</v>
      </c>
      <c r="C668" s="5" t="s">
        <v>239</v>
      </c>
      <c r="D668" s="5" t="s">
        <v>44</v>
      </c>
      <c r="E668" s="5" t="s">
        <v>99</v>
      </c>
    </row>
    <row r="669" customFormat="false" ht="15" hidden="false" customHeight="true" outlineLevel="0" collapsed="false">
      <c r="A669" s="5" t="n">
        <v>128</v>
      </c>
      <c r="B669" s="5" t="s">
        <v>674</v>
      </c>
      <c r="C669" s="5" t="s">
        <v>239</v>
      </c>
      <c r="D669" s="5" t="s">
        <v>116</v>
      </c>
      <c r="E669" s="5" t="s">
        <v>117</v>
      </c>
    </row>
    <row r="670" customFormat="false" ht="15" hidden="false" customHeight="true" outlineLevel="0" collapsed="false">
      <c r="A670" s="5" t="n">
        <v>129</v>
      </c>
      <c r="B670" s="5" t="s">
        <v>675</v>
      </c>
      <c r="C670" s="5" t="s">
        <v>25</v>
      </c>
      <c r="D670" s="5" t="s">
        <v>310</v>
      </c>
      <c r="E670" s="5" t="s">
        <v>310</v>
      </c>
    </row>
    <row r="671" customFormat="false" ht="15" hidden="false" customHeight="true" outlineLevel="0" collapsed="false">
      <c r="A671" s="5" t="n">
        <v>129</v>
      </c>
      <c r="B671" s="5" t="s">
        <v>675</v>
      </c>
      <c r="C671" s="5" t="s">
        <v>25</v>
      </c>
      <c r="D671" s="5" t="s">
        <v>85</v>
      </c>
      <c r="E671" s="5" t="s">
        <v>86</v>
      </c>
    </row>
    <row r="672" customFormat="false" ht="15" hidden="false" customHeight="true" outlineLevel="0" collapsed="false">
      <c r="A672" s="5" t="n">
        <v>129</v>
      </c>
      <c r="B672" s="5" t="s">
        <v>675</v>
      </c>
      <c r="C672" s="5" t="s">
        <v>25</v>
      </c>
      <c r="D672" s="5" t="s">
        <v>622</v>
      </c>
      <c r="E672" s="5" t="s">
        <v>623</v>
      </c>
    </row>
    <row r="673" customFormat="false" ht="15" hidden="false" customHeight="true" outlineLevel="0" collapsed="false">
      <c r="A673" s="5" t="n">
        <v>129</v>
      </c>
      <c r="B673" s="5" t="s">
        <v>675</v>
      </c>
      <c r="C673" s="5" t="s">
        <v>25</v>
      </c>
      <c r="D673" s="5" t="s">
        <v>478</v>
      </c>
      <c r="E673" s="5" t="s">
        <v>479</v>
      </c>
    </row>
    <row r="674" customFormat="false" ht="15" hidden="false" customHeight="true" outlineLevel="0" collapsed="false">
      <c r="A674" s="5" t="n">
        <v>129</v>
      </c>
      <c r="B674" s="5" t="s">
        <v>675</v>
      </c>
      <c r="C674" s="5" t="s">
        <v>25</v>
      </c>
      <c r="D674" s="5" t="s">
        <v>33</v>
      </c>
      <c r="E674" s="5" t="s">
        <v>34</v>
      </c>
    </row>
    <row r="675" customFormat="false" ht="15" hidden="false" customHeight="true" outlineLevel="0" collapsed="false">
      <c r="A675" s="5" t="n">
        <v>129</v>
      </c>
      <c r="B675" s="5" t="s">
        <v>675</v>
      </c>
      <c r="C675" s="5" t="s">
        <v>25</v>
      </c>
      <c r="D675" s="5" t="s">
        <v>402</v>
      </c>
      <c r="E675" s="5" t="s">
        <v>403</v>
      </c>
    </row>
    <row r="676" customFormat="false" ht="15" hidden="false" customHeight="true" outlineLevel="0" collapsed="false">
      <c r="A676" s="5" t="n">
        <v>130</v>
      </c>
      <c r="B676" s="5" t="s">
        <v>676</v>
      </c>
      <c r="C676" s="5" t="s">
        <v>239</v>
      </c>
      <c r="D676" s="5" t="s">
        <v>511</v>
      </c>
      <c r="E676" s="5" t="s">
        <v>511</v>
      </c>
    </row>
    <row r="677" customFormat="false" ht="15" hidden="false" customHeight="true" outlineLevel="0" collapsed="false">
      <c r="A677" s="5" t="n">
        <v>130</v>
      </c>
      <c r="B677" s="5" t="s">
        <v>676</v>
      </c>
      <c r="C677" s="5" t="s">
        <v>239</v>
      </c>
      <c r="D677" s="5" t="s">
        <v>68</v>
      </c>
      <c r="E677" s="5" t="s">
        <v>69</v>
      </c>
    </row>
    <row r="678" customFormat="false" ht="15" hidden="false" customHeight="true" outlineLevel="0" collapsed="false">
      <c r="A678" s="5" t="n">
        <v>130</v>
      </c>
      <c r="B678" s="5" t="s">
        <v>676</v>
      </c>
      <c r="C678" s="5" t="s">
        <v>239</v>
      </c>
      <c r="D678" s="5" t="s">
        <v>31</v>
      </c>
      <c r="E678" s="5" t="s">
        <v>143</v>
      </c>
    </row>
    <row r="679" customFormat="false" ht="15" hidden="false" customHeight="true" outlineLevel="0" collapsed="false">
      <c r="A679" s="5" t="n">
        <v>130</v>
      </c>
      <c r="B679" s="5" t="s">
        <v>676</v>
      </c>
      <c r="C679" s="5" t="s">
        <v>239</v>
      </c>
      <c r="D679" s="5" t="s">
        <v>321</v>
      </c>
      <c r="E679" s="5" t="s">
        <v>322</v>
      </c>
    </row>
    <row r="680" customFormat="false" ht="15" hidden="false" customHeight="true" outlineLevel="0" collapsed="false">
      <c r="A680" s="5" t="n">
        <v>131</v>
      </c>
      <c r="B680" s="5" t="s">
        <v>677</v>
      </c>
      <c r="C680" s="5" t="s">
        <v>148</v>
      </c>
      <c r="D680" s="5" t="s">
        <v>149</v>
      </c>
      <c r="E680" s="5" t="s">
        <v>149</v>
      </c>
    </row>
    <row r="681" customFormat="false" ht="15" hidden="false" customHeight="true" outlineLevel="0" collapsed="false">
      <c r="A681" s="5" t="n">
        <v>131</v>
      </c>
      <c r="B681" s="5" t="s">
        <v>677</v>
      </c>
      <c r="C681" s="5" t="s">
        <v>148</v>
      </c>
      <c r="D681" s="5" t="s">
        <v>678</v>
      </c>
      <c r="E681" s="5" t="s">
        <v>679</v>
      </c>
    </row>
    <row r="682" customFormat="false" ht="15" hidden="false" customHeight="true" outlineLevel="0" collapsed="false">
      <c r="A682" s="5" t="n">
        <v>131</v>
      </c>
      <c r="B682" s="5" t="s">
        <v>677</v>
      </c>
      <c r="C682" s="5" t="s">
        <v>148</v>
      </c>
      <c r="D682" s="5" t="s">
        <v>394</v>
      </c>
      <c r="E682" s="5" t="s">
        <v>395</v>
      </c>
    </row>
    <row r="683" customFormat="false" ht="15" hidden="false" customHeight="true" outlineLevel="0" collapsed="false">
      <c r="A683" s="5" t="n">
        <v>131</v>
      </c>
      <c r="B683" s="5" t="s">
        <v>677</v>
      </c>
      <c r="C683" s="5" t="s">
        <v>148</v>
      </c>
      <c r="D683" s="5" t="s">
        <v>176</v>
      </c>
      <c r="E683" s="5" t="s">
        <v>177</v>
      </c>
    </row>
    <row r="684" customFormat="false" ht="15" hidden="false" customHeight="true" outlineLevel="0" collapsed="false">
      <c r="A684" s="5" t="n">
        <v>132</v>
      </c>
      <c r="B684" s="5" t="s">
        <v>680</v>
      </c>
      <c r="C684" s="5" t="s">
        <v>135</v>
      </c>
      <c r="D684" s="5" t="s">
        <v>141</v>
      </c>
      <c r="E684" s="5" t="s">
        <v>141</v>
      </c>
    </row>
    <row r="685" customFormat="false" ht="15" hidden="false" customHeight="true" outlineLevel="0" collapsed="false">
      <c r="A685" s="5" t="n">
        <v>132</v>
      </c>
      <c r="B685" s="5" t="s">
        <v>680</v>
      </c>
      <c r="C685" s="5" t="s">
        <v>135</v>
      </c>
      <c r="D685" s="5" t="s">
        <v>137</v>
      </c>
      <c r="E685" s="5" t="s">
        <v>138</v>
      </c>
    </row>
    <row r="686" customFormat="false" ht="15" hidden="false" customHeight="true" outlineLevel="0" collapsed="false">
      <c r="A686" s="5" t="n">
        <v>132</v>
      </c>
      <c r="B686" s="5" t="s">
        <v>680</v>
      </c>
      <c r="C686" s="5" t="s">
        <v>135</v>
      </c>
      <c r="D686" s="5" t="s">
        <v>139</v>
      </c>
      <c r="E686" s="5" t="s">
        <v>140</v>
      </c>
    </row>
    <row r="687" customFormat="false" ht="15" hidden="false" customHeight="true" outlineLevel="0" collapsed="false">
      <c r="A687" s="5" t="n">
        <v>132</v>
      </c>
      <c r="B687" s="5" t="s">
        <v>680</v>
      </c>
      <c r="C687" s="5" t="s">
        <v>135</v>
      </c>
      <c r="D687" s="5" t="s">
        <v>321</v>
      </c>
      <c r="E687" s="5" t="s">
        <v>526</v>
      </c>
    </row>
    <row r="688" customFormat="false" ht="15" hidden="false" customHeight="true" outlineLevel="0" collapsed="false">
      <c r="A688" s="5" t="n">
        <v>132</v>
      </c>
      <c r="B688" s="5" t="s">
        <v>680</v>
      </c>
      <c r="C688" s="5" t="s">
        <v>135</v>
      </c>
      <c r="D688" s="5" t="s">
        <v>31</v>
      </c>
      <c r="E688" s="5" t="s">
        <v>143</v>
      </c>
    </row>
    <row r="689" customFormat="false" ht="15" hidden="false" customHeight="true" outlineLevel="0" collapsed="false">
      <c r="A689" s="5" t="n">
        <v>132</v>
      </c>
      <c r="B689" s="5" t="s">
        <v>680</v>
      </c>
      <c r="C689" s="5" t="s">
        <v>135</v>
      </c>
      <c r="D689" s="5" t="s">
        <v>397</v>
      </c>
      <c r="E689" s="5" t="s">
        <v>398</v>
      </c>
    </row>
    <row r="690" customFormat="false" ht="15" hidden="false" customHeight="true" outlineLevel="0" collapsed="false">
      <c r="A690" s="5" t="n">
        <v>133</v>
      </c>
      <c r="B690" s="5" t="s">
        <v>681</v>
      </c>
      <c r="C690" s="5" t="s">
        <v>210</v>
      </c>
      <c r="D690" s="5" t="s">
        <v>682</v>
      </c>
      <c r="E690" s="5" t="s">
        <v>683</v>
      </c>
    </row>
    <row r="691" customFormat="false" ht="15" hidden="false" customHeight="true" outlineLevel="0" collapsed="false">
      <c r="A691" s="5" t="n">
        <v>133</v>
      </c>
      <c r="B691" s="5" t="s">
        <v>681</v>
      </c>
      <c r="C691" s="5" t="s">
        <v>210</v>
      </c>
      <c r="D691" s="5" t="s">
        <v>428</v>
      </c>
      <c r="E691" s="5" t="s">
        <v>429</v>
      </c>
    </row>
    <row r="692" customFormat="false" ht="15" hidden="false" customHeight="true" outlineLevel="0" collapsed="false">
      <c r="A692" s="5" t="n">
        <v>133</v>
      </c>
      <c r="B692" s="5" t="s">
        <v>681</v>
      </c>
      <c r="C692" s="5" t="s">
        <v>210</v>
      </c>
      <c r="D692" s="5" t="s">
        <v>394</v>
      </c>
      <c r="E692" s="5" t="s">
        <v>395</v>
      </c>
    </row>
    <row r="693" customFormat="false" ht="15" hidden="false" customHeight="true" outlineLevel="0" collapsed="false">
      <c r="A693" s="5" t="n">
        <v>133</v>
      </c>
      <c r="B693" s="5" t="s">
        <v>681</v>
      </c>
      <c r="C693" s="5" t="s">
        <v>210</v>
      </c>
      <c r="D693" s="5" t="s">
        <v>187</v>
      </c>
      <c r="E693" s="5" t="s">
        <v>188</v>
      </c>
    </row>
    <row r="694" customFormat="false" ht="15" hidden="false" customHeight="true" outlineLevel="0" collapsed="false">
      <c r="A694" s="5" t="n">
        <v>134</v>
      </c>
      <c r="B694" s="5" t="s">
        <v>684</v>
      </c>
      <c r="C694" s="5" t="s">
        <v>260</v>
      </c>
      <c r="D694" s="5" t="s">
        <v>685</v>
      </c>
      <c r="E694" s="5" t="s">
        <v>685</v>
      </c>
    </row>
    <row r="695" customFormat="false" ht="15" hidden="false" customHeight="true" outlineLevel="0" collapsed="false">
      <c r="A695" s="5" t="n">
        <v>134</v>
      </c>
      <c r="B695" s="5" t="s">
        <v>684</v>
      </c>
      <c r="C695" s="5" t="s">
        <v>260</v>
      </c>
      <c r="D695" s="5" t="s">
        <v>409</v>
      </c>
      <c r="E695" s="5" t="s">
        <v>686</v>
      </c>
    </row>
    <row r="696" customFormat="false" ht="15" hidden="false" customHeight="true" outlineLevel="0" collapsed="false">
      <c r="A696" s="5" t="n">
        <v>134</v>
      </c>
      <c r="B696" s="5" t="s">
        <v>684</v>
      </c>
      <c r="C696" s="5" t="s">
        <v>260</v>
      </c>
      <c r="D696" s="5" t="s">
        <v>578</v>
      </c>
      <c r="E696" s="5" t="s">
        <v>687</v>
      </c>
    </row>
    <row r="697" customFormat="false" ht="15" hidden="false" customHeight="true" outlineLevel="0" collapsed="false">
      <c r="A697" s="5" t="n">
        <v>135</v>
      </c>
      <c r="B697" s="5" t="s">
        <v>688</v>
      </c>
      <c r="C697" s="5" t="s">
        <v>96</v>
      </c>
      <c r="D697" s="5" t="s">
        <v>545</v>
      </c>
      <c r="E697" s="5" t="s">
        <v>545</v>
      </c>
    </row>
    <row r="698" customFormat="false" ht="15" hidden="false" customHeight="true" outlineLevel="0" collapsed="false">
      <c r="A698" s="5" t="n">
        <v>135</v>
      </c>
      <c r="B698" s="5" t="s">
        <v>688</v>
      </c>
      <c r="C698" s="5" t="s">
        <v>96</v>
      </c>
      <c r="D698" s="5" t="s">
        <v>481</v>
      </c>
      <c r="E698" s="5" t="s">
        <v>482</v>
      </c>
    </row>
    <row r="699" customFormat="false" ht="15" hidden="false" customHeight="true" outlineLevel="0" collapsed="false">
      <c r="A699" s="5" t="n">
        <v>135</v>
      </c>
      <c r="B699" s="5" t="s">
        <v>688</v>
      </c>
      <c r="C699" s="5" t="s">
        <v>96</v>
      </c>
      <c r="D699" s="5" t="s">
        <v>478</v>
      </c>
      <c r="E699" s="5" t="s">
        <v>479</v>
      </c>
    </row>
    <row r="700" customFormat="false" ht="15" hidden="false" customHeight="true" outlineLevel="0" collapsed="false">
      <c r="A700" s="5" t="n">
        <v>135</v>
      </c>
      <c r="B700" s="5" t="s">
        <v>688</v>
      </c>
      <c r="C700" s="5" t="s">
        <v>96</v>
      </c>
      <c r="D700" s="5" t="s">
        <v>689</v>
      </c>
      <c r="E700" s="5" t="s">
        <v>690</v>
      </c>
    </row>
    <row r="701" customFormat="false" ht="15" hidden="false" customHeight="true" outlineLevel="0" collapsed="false">
      <c r="A701" s="5" t="n">
        <v>135</v>
      </c>
      <c r="B701" s="5" t="s">
        <v>688</v>
      </c>
      <c r="C701" s="5" t="s">
        <v>96</v>
      </c>
      <c r="D701" s="5" t="s">
        <v>370</v>
      </c>
      <c r="E701" s="5" t="s">
        <v>381</v>
      </c>
    </row>
    <row r="702" customFormat="false" ht="15" hidden="false" customHeight="true" outlineLevel="0" collapsed="false">
      <c r="A702" s="5" t="n">
        <v>136</v>
      </c>
      <c r="B702" s="5" t="s">
        <v>691</v>
      </c>
      <c r="C702" s="5" t="s">
        <v>137</v>
      </c>
      <c r="D702" s="5" t="s">
        <v>137</v>
      </c>
      <c r="E702" s="5" t="s">
        <v>137</v>
      </c>
    </row>
    <row r="703" customFormat="false" ht="15" hidden="false" customHeight="true" outlineLevel="0" collapsed="false">
      <c r="A703" s="5" t="n">
        <v>136</v>
      </c>
      <c r="B703" s="5" t="s">
        <v>691</v>
      </c>
      <c r="C703" s="5" t="s">
        <v>137</v>
      </c>
      <c r="D703" s="5" t="s">
        <v>248</v>
      </c>
      <c r="E703" s="5" t="s">
        <v>249</v>
      </c>
    </row>
    <row r="704" customFormat="false" ht="15" hidden="false" customHeight="true" outlineLevel="0" collapsed="false">
      <c r="A704" s="5" t="n">
        <v>136</v>
      </c>
      <c r="B704" s="5" t="s">
        <v>691</v>
      </c>
      <c r="C704" s="5" t="s">
        <v>137</v>
      </c>
      <c r="D704" s="5" t="s">
        <v>364</v>
      </c>
      <c r="E704" s="5" t="s">
        <v>365</v>
      </c>
    </row>
    <row r="705" customFormat="false" ht="15" hidden="false" customHeight="true" outlineLevel="0" collapsed="false">
      <c r="A705" s="5" t="n">
        <v>136</v>
      </c>
      <c r="B705" s="5" t="s">
        <v>691</v>
      </c>
      <c r="C705" s="5" t="s">
        <v>137</v>
      </c>
      <c r="D705" s="5" t="s">
        <v>321</v>
      </c>
      <c r="E705" s="5" t="s">
        <v>526</v>
      </c>
    </row>
    <row r="706" customFormat="false" ht="15" hidden="false" customHeight="true" outlineLevel="0" collapsed="false">
      <c r="A706" s="5" t="n">
        <v>136</v>
      </c>
      <c r="B706" s="5" t="s">
        <v>691</v>
      </c>
      <c r="C706" s="5" t="s">
        <v>137</v>
      </c>
      <c r="D706" s="5" t="s">
        <v>33</v>
      </c>
      <c r="E706" s="5" t="s">
        <v>34</v>
      </c>
    </row>
    <row r="707" customFormat="false" ht="15" hidden="false" customHeight="true" outlineLevel="0" collapsed="false">
      <c r="A707" s="5" t="n">
        <v>137</v>
      </c>
      <c r="B707" s="5" t="s">
        <v>692</v>
      </c>
      <c r="C707" s="5" t="s">
        <v>84</v>
      </c>
      <c r="D707" s="5" t="s">
        <v>383</v>
      </c>
      <c r="E707" s="5" t="s">
        <v>383</v>
      </c>
    </row>
    <row r="708" customFormat="false" ht="15" hidden="false" customHeight="true" outlineLevel="0" collapsed="false">
      <c r="A708" s="5" t="n">
        <v>137</v>
      </c>
      <c r="B708" s="5" t="s">
        <v>692</v>
      </c>
      <c r="C708" s="5" t="s">
        <v>84</v>
      </c>
      <c r="D708" s="5" t="s">
        <v>33</v>
      </c>
      <c r="E708" s="5" t="s">
        <v>34</v>
      </c>
    </row>
    <row r="709" customFormat="false" ht="15" hidden="false" customHeight="true" outlineLevel="0" collapsed="false">
      <c r="A709" s="5" t="n">
        <v>137</v>
      </c>
      <c r="B709" s="5" t="s">
        <v>692</v>
      </c>
      <c r="C709" s="5" t="s">
        <v>84</v>
      </c>
      <c r="D709" s="5" t="s">
        <v>130</v>
      </c>
      <c r="E709" s="5" t="s">
        <v>131</v>
      </c>
    </row>
    <row r="710" customFormat="false" ht="15" hidden="false" customHeight="true" outlineLevel="0" collapsed="false">
      <c r="A710" s="5" t="n">
        <v>137</v>
      </c>
      <c r="B710" s="5" t="s">
        <v>692</v>
      </c>
      <c r="C710" s="5" t="s">
        <v>84</v>
      </c>
      <c r="D710" s="5" t="s">
        <v>384</v>
      </c>
      <c r="E710" s="5" t="s">
        <v>385</v>
      </c>
    </row>
    <row r="711" customFormat="false" ht="15" hidden="false" customHeight="true" outlineLevel="0" collapsed="false">
      <c r="A711" s="5" t="n">
        <v>137</v>
      </c>
      <c r="B711" s="5" t="s">
        <v>692</v>
      </c>
      <c r="C711" s="5" t="s">
        <v>84</v>
      </c>
      <c r="D711" s="5" t="s">
        <v>402</v>
      </c>
      <c r="E711" s="5" t="s">
        <v>403</v>
      </c>
    </row>
    <row r="712" customFormat="false" ht="15" hidden="false" customHeight="true" outlineLevel="0" collapsed="false">
      <c r="A712" s="5" t="n">
        <v>138</v>
      </c>
      <c r="B712" s="5" t="s">
        <v>693</v>
      </c>
      <c r="C712" s="5" t="s">
        <v>191</v>
      </c>
      <c r="D712" s="5" t="s">
        <v>192</v>
      </c>
      <c r="E712" s="5" t="s">
        <v>192</v>
      </c>
    </row>
    <row r="713" customFormat="false" ht="15" hidden="false" customHeight="true" outlineLevel="0" collapsed="false">
      <c r="A713" s="5" t="n">
        <v>138</v>
      </c>
      <c r="B713" s="5" t="s">
        <v>693</v>
      </c>
      <c r="C713" s="5" t="s">
        <v>191</v>
      </c>
      <c r="D713" s="5" t="s">
        <v>66</v>
      </c>
      <c r="E713" s="5" t="s">
        <v>694</v>
      </c>
    </row>
    <row r="714" customFormat="false" ht="15" hidden="false" customHeight="true" outlineLevel="0" collapsed="false">
      <c r="A714" s="5" t="n">
        <v>138</v>
      </c>
      <c r="B714" s="5" t="s">
        <v>693</v>
      </c>
      <c r="C714" s="5" t="s">
        <v>191</v>
      </c>
      <c r="D714" s="5" t="s">
        <v>537</v>
      </c>
      <c r="E714" s="5" t="s">
        <v>538</v>
      </c>
    </row>
    <row r="715" customFormat="false" ht="15" hidden="false" customHeight="true" outlineLevel="0" collapsed="false">
      <c r="A715" s="5" t="n">
        <v>138</v>
      </c>
      <c r="B715" s="5" t="s">
        <v>693</v>
      </c>
      <c r="C715" s="5" t="s">
        <v>191</v>
      </c>
      <c r="D715" s="5" t="s">
        <v>409</v>
      </c>
      <c r="E715" s="5" t="s">
        <v>695</v>
      </c>
    </row>
    <row r="716" customFormat="false" ht="15" hidden="false" customHeight="true" outlineLevel="0" collapsed="false">
      <c r="A716" s="5" t="n">
        <v>138</v>
      </c>
      <c r="B716" s="5" t="s">
        <v>693</v>
      </c>
      <c r="C716" s="5" t="s">
        <v>191</v>
      </c>
      <c r="D716" s="5" t="s">
        <v>234</v>
      </c>
      <c r="E716" s="5" t="s">
        <v>235</v>
      </c>
    </row>
    <row r="717" customFormat="false" ht="15" hidden="false" customHeight="true" outlineLevel="0" collapsed="false">
      <c r="A717" s="5" t="n">
        <v>139</v>
      </c>
      <c r="B717" s="5" t="s">
        <v>696</v>
      </c>
      <c r="C717" s="5" t="s">
        <v>181</v>
      </c>
      <c r="D717" s="5" t="s">
        <v>214</v>
      </c>
      <c r="E717" s="5" t="s">
        <v>214</v>
      </c>
    </row>
    <row r="718" customFormat="false" ht="15" hidden="false" customHeight="true" outlineLevel="0" collapsed="false">
      <c r="A718" s="5" t="n">
        <v>139</v>
      </c>
      <c r="B718" s="5" t="s">
        <v>696</v>
      </c>
      <c r="C718" s="5" t="s">
        <v>181</v>
      </c>
      <c r="D718" s="5" t="s">
        <v>219</v>
      </c>
      <c r="E718" s="5" t="s">
        <v>220</v>
      </c>
    </row>
    <row r="719" customFormat="false" ht="15" hidden="false" customHeight="true" outlineLevel="0" collapsed="false">
      <c r="A719" s="5" t="n">
        <v>139</v>
      </c>
      <c r="B719" s="5" t="s">
        <v>696</v>
      </c>
      <c r="C719" s="5" t="s">
        <v>181</v>
      </c>
      <c r="D719" s="5" t="s">
        <v>187</v>
      </c>
      <c r="E719" s="5" t="s">
        <v>188</v>
      </c>
    </row>
    <row r="720" customFormat="false" ht="15" hidden="false" customHeight="true" outlineLevel="0" collapsed="false">
      <c r="A720" s="5" t="n">
        <v>140</v>
      </c>
      <c r="B720" s="5" t="s">
        <v>697</v>
      </c>
      <c r="C720" s="5" t="s">
        <v>110</v>
      </c>
      <c r="D720" s="5" t="s">
        <v>187</v>
      </c>
      <c r="E720" s="5" t="s">
        <v>698</v>
      </c>
    </row>
    <row r="721" customFormat="false" ht="15" hidden="false" customHeight="true" outlineLevel="0" collapsed="false">
      <c r="A721" s="5" t="n">
        <v>140</v>
      </c>
      <c r="B721" s="5" t="s">
        <v>697</v>
      </c>
      <c r="C721" s="5" t="s">
        <v>110</v>
      </c>
      <c r="D721" s="5" t="s">
        <v>257</v>
      </c>
      <c r="E721" s="5" t="s">
        <v>698</v>
      </c>
    </row>
    <row r="722" customFormat="false" ht="15" hidden="false" customHeight="true" outlineLevel="0" collapsed="false">
      <c r="A722" s="5" t="n">
        <v>140</v>
      </c>
      <c r="B722" s="5" t="s">
        <v>697</v>
      </c>
      <c r="C722" s="5" t="s">
        <v>110</v>
      </c>
      <c r="D722" s="5" t="s">
        <v>225</v>
      </c>
      <c r="E722" s="5" t="s">
        <v>698</v>
      </c>
    </row>
    <row r="723" customFormat="false" ht="15" hidden="false" customHeight="true" outlineLevel="0" collapsed="false">
      <c r="A723" s="5" t="n">
        <v>140</v>
      </c>
      <c r="B723" s="5" t="s">
        <v>697</v>
      </c>
      <c r="C723" s="5" t="s">
        <v>110</v>
      </c>
      <c r="D723" s="5" t="s">
        <v>178</v>
      </c>
      <c r="E723" s="5" t="s">
        <v>179</v>
      </c>
    </row>
    <row r="724" customFormat="false" ht="15" hidden="false" customHeight="true" outlineLevel="0" collapsed="false">
      <c r="A724" s="5" t="n">
        <v>140</v>
      </c>
      <c r="B724" s="5" t="s">
        <v>697</v>
      </c>
      <c r="C724" s="5" t="s">
        <v>110</v>
      </c>
      <c r="D724" s="5" t="s">
        <v>255</v>
      </c>
      <c r="E724" s="5" t="s">
        <v>256</v>
      </c>
    </row>
    <row r="725" customFormat="false" ht="15" hidden="false" customHeight="true" outlineLevel="0" collapsed="false">
      <c r="A725" s="5" t="n">
        <v>141</v>
      </c>
      <c r="B725" s="5" t="s">
        <v>699</v>
      </c>
      <c r="C725" s="5" t="s">
        <v>519</v>
      </c>
      <c r="D725" s="5" t="s">
        <v>520</v>
      </c>
      <c r="E725" s="5" t="s">
        <v>520</v>
      </c>
    </row>
    <row r="726" customFormat="false" ht="15" hidden="false" customHeight="true" outlineLevel="0" collapsed="false">
      <c r="A726" s="5" t="n">
        <v>141</v>
      </c>
      <c r="B726" s="5" t="s">
        <v>699</v>
      </c>
      <c r="C726" s="5" t="s">
        <v>519</v>
      </c>
      <c r="D726" s="5" t="s">
        <v>236</v>
      </c>
      <c r="E726" s="5" t="s">
        <v>237</v>
      </c>
    </row>
    <row r="727" customFormat="false" ht="15" hidden="false" customHeight="true" outlineLevel="0" collapsed="false">
      <c r="A727" s="5" t="n">
        <v>141</v>
      </c>
      <c r="B727" s="5" t="s">
        <v>699</v>
      </c>
      <c r="C727" s="5" t="s">
        <v>519</v>
      </c>
      <c r="D727" s="5" t="s">
        <v>168</v>
      </c>
      <c r="E727" s="5" t="s">
        <v>169</v>
      </c>
    </row>
    <row r="728" customFormat="false" ht="15" hidden="false" customHeight="true" outlineLevel="0" collapsed="false">
      <c r="A728" s="5" t="n">
        <v>141</v>
      </c>
      <c r="B728" s="5" t="s">
        <v>699</v>
      </c>
      <c r="C728" s="5" t="s">
        <v>519</v>
      </c>
      <c r="D728" s="5" t="s">
        <v>428</v>
      </c>
      <c r="E728" s="5" t="s">
        <v>429</v>
      </c>
    </row>
    <row r="729" customFormat="false" ht="15" hidden="false" customHeight="true" outlineLevel="0" collapsed="false">
      <c r="A729" s="5" t="n">
        <v>142</v>
      </c>
      <c r="B729" s="5" t="s">
        <v>700</v>
      </c>
      <c r="C729" s="5" t="s">
        <v>286</v>
      </c>
      <c r="D729" s="5" t="s">
        <v>701</v>
      </c>
      <c r="E729" s="5" t="s">
        <v>702</v>
      </c>
    </row>
    <row r="730" customFormat="false" ht="15" hidden="false" customHeight="true" outlineLevel="0" collapsed="false">
      <c r="A730" s="5" t="n">
        <v>142</v>
      </c>
      <c r="B730" s="5" t="s">
        <v>700</v>
      </c>
      <c r="C730" s="5" t="s">
        <v>286</v>
      </c>
      <c r="D730" s="5" t="s">
        <v>176</v>
      </c>
      <c r="E730" s="5" t="s">
        <v>177</v>
      </c>
    </row>
    <row r="731" customFormat="false" ht="15" hidden="false" customHeight="true" outlineLevel="0" collapsed="false">
      <c r="A731" s="5" t="n">
        <v>142</v>
      </c>
      <c r="B731" s="5" t="s">
        <v>700</v>
      </c>
      <c r="C731" s="5" t="s">
        <v>286</v>
      </c>
      <c r="D731" s="5" t="s">
        <v>44</v>
      </c>
      <c r="E731" s="5" t="s">
        <v>99</v>
      </c>
    </row>
    <row r="732" customFormat="false" ht="15" hidden="false" customHeight="true" outlineLevel="0" collapsed="false">
      <c r="A732" s="5" t="n">
        <v>142</v>
      </c>
      <c r="B732" s="5" t="s">
        <v>700</v>
      </c>
      <c r="C732" s="5" t="s">
        <v>286</v>
      </c>
      <c r="D732" s="5" t="s">
        <v>394</v>
      </c>
      <c r="E732" s="5" t="s">
        <v>395</v>
      </c>
    </row>
    <row r="733" customFormat="false" ht="15" hidden="false" customHeight="true" outlineLevel="0" collapsed="false">
      <c r="A733" s="5" t="n">
        <v>143</v>
      </c>
      <c r="B733" s="5" t="s">
        <v>703</v>
      </c>
      <c r="C733" s="5" t="s">
        <v>154</v>
      </c>
      <c r="D733" s="5" t="s">
        <v>430</v>
      </c>
      <c r="E733" s="5" t="s">
        <v>430</v>
      </c>
    </row>
    <row r="734" customFormat="false" ht="15" hidden="false" customHeight="true" outlineLevel="0" collapsed="false">
      <c r="A734" s="5" t="n">
        <v>143</v>
      </c>
      <c r="B734" s="5" t="s">
        <v>703</v>
      </c>
      <c r="C734" s="5" t="s">
        <v>154</v>
      </c>
      <c r="D734" s="5" t="s">
        <v>351</v>
      </c>
      <c r="E734" s="5" t="s">
        <v>352</v>
      </c>
    </row>
    <row r="735" customFormat="false" ht="15" hidden="false" customHeight="true" outlineLevel="0" collapsed="false">
      <c r="A735" s="5" t="n">
        <v>143</v>
      </c>
      <c r="B735" s="5" t="s">
        <v>703</v>
      </c>
      <c r="C735" s="5" t="s">
        <v>154</v>
      </c>
      <c r="D735" s="5" t="s">
        <v>400</v>
      </c>
      <c r="E735" s="5" t="s">
        <v>401</v>
      </c>
    </row>
    <row r="736" customFormat="false" ht="15" hidden="false" customHeight="true" outlineLevel="0" collapsed="false">
      <c r="A736" s="5" t="n">
        <v>143</v>
      </c>
      <c r="B736" s="5" t="s">
        <v>703</v>
      </c>
      <c r="C736" s="5" t="s">
        <v>154</v>
      </c>
      <c r="D736" s="5" t="s">
        <v>394</v>
      </c>
      <c r="E736" s="5" t="s">
        <v>395</v>
      </c>
    </row>
    <row r="737" customFormat="false" ht="15" hidden="false" customHeight="true" outlineLevel="0" collapsed="false">
      <c r="A737" s="5" t="n">
        <v>143</v>
      </c>
      <c r="B737" s="5" t="s">
        <v>703</v>
      </c>
      <c r="C737" s="5" t="s">
        <v>154</v>
      </c>
      <c r="D737" s="5" t="s">
        <v>512</v>
      </c>
      <c r="E737" s="5" t="s">
        <v>513</v>
      </c>
    </row>
    <row r="738" customFormat="false" ht="15" hidden="false" customHeight="true" outlineLevel="0" collapsed="false">
      <c r="A738" s="5" t="n">
        <v>143</v>
      </c>
      <c r="B738" s="5" t="s">
        <v>703</v>
      </c>
      <c r="C738" s="5" t="s">
        <v>154</v>
      </c>
      <c r="D738" s="5" t="s">
        <v>609</v>
      </c>
      <c r="E738" s="5" t="s">
        <v>610</v>
      </c>
    </row>
    <row r="739" customFormat="false" ht="15" hidden="false" customHeight="true" outlineLevel="0" collapsed="false">
      <c r="A739" s="5" t="n">
        <v>143</v>
      </c>
      <c r="B739" s="5" t="s">
        <v>703</v>
      </c>
      <c r="C739" s="5" t="s">
        <v>154</v>
      </c>
      <c r="D739" s="5" t="s">
        <v>359</v>
      </c>
      <c r="E739" s="5" t="s">
        <v>360</v>
      </c>
    </row>
    <row r="740" customFormat="false" ht="15" hidden="false" customHeight="true" outlineLevel="0" collapsed="false">
      <c r="A740" s="5" t="n">
        <v>144</v>
      </c>
      <c r="B740" s="5" t="s">
        <v>704</v>
      </c>
      <c r="C740" s="5" t="s">
        <v>38</v>
      </c>
      <c r="D740" s="5" t="s">
        <v>622</v>
      </c>
      <c r="E740" s="5" t="s">
        <v>705</v>
      </c>
    </row>
    <row r="741" customFormat="false" ht="15" hidden="false" customHeight="true" outlineLevel="0" collapsed="false">
      <c r="A741" s="5" t="n">
        <v>144</v>
      </c>
      <c r="B741" s="5" t="s">
        <v>704</v>
      </c>
      <c r="C741" s="5" t="s">
        <v>38</v>
      </c>
      <c r="D741" s="5" t="s">
        <v>31</v>
      </c>
      <c r="E741" s="5" t="s">
        <v>143</v>
      </c>
    </row>
    <row r="742" customFormat="false" ht="15" hidden="false" customHeight="true" outlineLevel="0" collapsed="false">
      <c r="A742" s="5" t="n">
        <v>144</v>
      </c>
      <c r="B742" s="5" t="s">
        <v>704</v>
      </c>
      <c r="C742" s="5" t="s">
        <v>38</v>
      </c>
      <c r="D742" s="5" t="s">
        <v>402</v>
      </c>
      <c r="E742" s="5" t="s">
        <v>403</v>
      </c>
    </row>
    <row r="743" customFormat="false" ht="15" hidden="false" customHeight="true" outlineLevel="0" collapsed="false">
      <c r="A743" s="5" t="n">
        <v>144</v>
      </c>
      <c r="B743" s="5" t="s">
        <v>704</v>
      </c>
      <c r="C743" s="5" t="s">
        <v>38</v>
      </c>
      <c r="D743" s="5" t="s">
        <v>565</v>
      </c>
      <c r="E743" s="5" t="s">
        <v>566</v>
      </c>
    </row>
    <row r="744" customFormat="false" ht="15" hidden="false" customHeight="true" outlineLevel="0" collapsed="false">
      <c r="A744" s="5" t="n">
        <v>145</v>
      </c>
      <c r="B744" s="5" t="s">
        <v>706</v>
      </c>
      <c r="C744" s="5" t="s">
        <v>348</v>
      </c>
      <c r="D744" s="5" t="s">
        <v>515</v>
      </c>
      <c r="E744" s="5" t="s">
        <v>707</v>
      </c>
    </row>
    <row r="745" customFormat="false" ht="15" hidden="false" customHeight="true" outlineLevel="0" collapsed="false">
      <c r="A745" s="5" t="n">
        <v>145</v>
      </c>
      <c r="B745" s="5" t="s">
        <v>706</v>
      </c>
      <c r="C745" s="5" t="s">
        <v>348</v>
      </c>
      <c r="D745" s="5" t="s">
        <v>189</v>
      </c>
      <c r="E745" s="5" t="s">
        <v>189</v>
      </c>
    </row>
    <row r="746" customFormat="false" ht="15" hidden="false" customHeight="true" outlineLevel="0" collapsed="false">
      <c r="A746" s="5" t="n">
        <v>145</v>
      </c>
      <c r="B746" s="5" t="s">
        <v>706</v>
      </c>
      <c r="C746" s="5" t="s">
        <v>348</v>
      </c>
      <c r="D746" s="5" t="s">
        <v>223</v>
      </c>
      <c r="E746" s="5" t="s">
        <v>224</v>
      </c>
    </row>
    <row r="747" customFormat="false" ht="15" hidden="false" customHeight="true" outlineLevel="0" collapsed="false">
      <c r="A747" s="5" t="n">
        <v>145</v>
      </c>
      <c r="B747" s="5" t="s">
        <v>706</v>
      </c>
      <c r="C747" s="5" t="s">
        <v>348</v>
      </c>
      <c r="D747" s="5" t="s">
        <v>532</v>
      </c>
      <c r="E747" s="5" t="s">
        <v>708</v>
      </c>
    </row>
    <row r="748" customFormat="false" ht="15" hidden="false" customHeight="true" outlineLevel="0" collapsed="false">
      <c r="A748" s="5" t="n">
        <v>146</v>
      </c>
      <c r="B748" s="5" t="s">
        <v>709</v>
      </c>
      <c r="C748" s="5" t="s">
        <v>125</v>
      </c>
      <c r="D748" s="5" t="s">
        <v>126</v>
      </c>
      <c r="E748" s="5" t="s">
        <v>126</v>
      </c>
    </row>
    <row r="749" customFormat="false" ht="15" hidden="false" customHeight="true" outlineLevel="0" collapsed="false">
      <c r="A749" s="5" t="n">
        <v>146</v>
      </c>
      <c r="B749" s="5" t="s">
        <v>709</v>
      </c>
      <c r="C749" s="5" t="s">
        <v>125</v>
      </c>
      <c r="D749" s="5" t="s">
        <v>44</v>
      </c>
      <c r="E749" s="5" t="s">
        <v>99</v>
      </c>
    </row>
    <row r="750" customFormat="false" ht="15" hidden="false" customHeight="true" outlineLevel="0" collapsed="false">
      <c r="A750" s="5" t="n">
        <v>146</v>
      </c>
      <c r="B750" s="5" t="s">
        <v>709</v>
      </c>
      <c r="C750" s="5" t="s">
        <v>125</v>
      </c>
      <c r="D750" s="5" t="s">
        <v>251</v>
      </c>
      <c r="E750" s="5" t="s">
        <v>252</v>
      </c>
    </row>
    <row r="751" customFormat="false" ht="15" hidden="false" customHeight="true" outlineLevel="0" collapsed="false">
      <c r="A751" s="5" t="n">
        <v>146</v>
      </c>
      <c r="B751" s="5" t="s">
        <v>709</v>
      </c>
      <c r="C751" s="5" t="s">
        <v>125</v>
      </c>
      <c r="D751" s="5" t="s">
        <v>282</v>
      </c>
      <c r="E751" s="5" t="s">
        <v>710</v>
      </c>
    </row>
    <row r="752" customFormat="false" ht="15" hidden="false" customHeight="true" outlineLevel="0" collapsed="false">
      <c r="A752" s="5" t="n">
        <v>147</v>
      </c>
      <c r="B752" s="5" t="s">
        <v>711</v>
      </c>
      <c r="C752" s="5" t="s">
        <v>38</v>
      </c>
      <c r="D752" s="5" t="s">
        <v>172</v>
      </c>
      <c r="E752" s="5" t="s">
        <v>712</v>
      </c>
    </row>
    <row r="753" customFormat="false" ht="15" hidden="false" customHeight="true" outlineLevel="0" collapsed="false">
      <c r="A753" s="5" t="n">
        <v>147</v>
      </c>
      <c r="B753" s="5" t="s">
        <v>711</v>
      </c>
      <c r="C753" s="5" t="s">
        <v>38</v>
      </c>
      <c r="D753" s="5" t="s">
        <v>493</v>
      </c>
      <c r="E753" s="5" t="s">
        <v>494</v>
      </c>
    </row>
    <row r="754" customFormat="false" ht="15" hidden="false" customHeight="true" outlineLevel="0" collapsed="false">
      <c r="A754" s="5" t="n">
        <v>147</v>
      </c>
      <c r="B754" s="5" t="s">
        <v>711</v>
      </c>
      <c r="C754" s="5" t="s">
        <v>38</v>
      </c>
      <c r="D754" s="5" t="s">
        <v>31</v>
      </c>
      <c r="E754" s="5" t="s">
        <v>143</v>
      </c>
    </row>
    <row r="755" customFormat="false" ht="15" hidden="false" customHeight="true" outlineLevel="0" collapsed="false">
      <c r="A755" s="5" t="n">
        <v>147</v>
      </c>
      <c r="B755" s="5" t="s">
        <v>711</v>
      </c>
      <c r="C755" s="5" t="s">
        <v>38</v>
      </c>
      <c r="D755" s="5" t="s">
        <v>102</v>
      </c>
      <c r="E755" s="5" t="s">
        <v>103</v>
      </c>
    </row>
    <row r="756" customFormat="false" ht="15" hidden="false" customHeight="true" outlineLevel="0" collapsed="false">
      <c r="A756" s="5" t="n">
        <v>148</v>
      </c>
      <c r="B756" s="5" t="s">
        <v>713</v>
      </c>
      <c r="C756" s="5" t="s">
        <v>181</v>
      </c>
      <c r="D756" s="5" t="s">
        <v>178</v>
      </c>
      <c r="E756" s="5" t="s">
        <v>178</v>
      </c>
    </row>
    <row r="757" customFormat="false" ht="15" hidden="false" customHeight="true" outlineLevel="0" collapsed="false">
      <c r="A757" s="5" t="n">
        <v>148</v>
      </c>
      <c r="B757" s="5" t="s">
        <v>713</v>
      </c>
      <c r="C757" s="5" t="s">
        <v>181</v>
      </c>
      <c r="D757" s="5" t="s">
        <v>230</v>
      </c>
      <c r="E757" s="5" t="s">
        <v>231</v>
      </c>
    </row>
    <row r="758" customFormat="false" ht="15" hidden="false" customHeight="true" outlineLevel="0" collapsed="false">
      <c r="A758" s="5" t="n">
        <v>148</v>
      </c>
      <c r="B758" s="5" t="s">
        <v>713</v>
      </c>
      <c r="C758" s="5" t="s">
        <v>181</v>
      </c>
      <c r="D758" s="5" t="s">
        <v>189</v>
      </c>
      <c r="E758" s="5" t="s">
        <v>189</v>
      </c>
    </row>
    <row r="759" customFormat="false" ht="15" hidden="false" customHeight="true" outlineLevel="0" collapsed="false">
      <c r="A759" s="5" t="n">
        <v>148</v>
      </c>
      <c r="B759" s="5" t="s">
        <v>713</v>
      </c>
      <c r="C759" s="5" t="s">
        <v>181</v>
      </c>
      <c r="D759" s="5" t="s">
        <v>187</v>
      </c>
      <c r="E759" s="5" t="s">
        <v>188</v>
      </c>
    </row>
    <row r="760" customFormat="false" ht="15" hidden="false" customHeight="true" outlineLevel="0" collapsed="false">
      <c r="A760" s="5" t="n">
        <v>149</v>
      </c>
      <c r="B760" s="5" t="s">
        <v>714</v>
      </c>
      <c r="C760" s="5" t="s">
        <v>154</v>
      </c>
      <c r="D760" s="5" t="s">
        <v>384</v>
      </c>
      <c r="E760" s="5" t="s">
        <v>384</v>
      </c>
    </row>
    <row r="761" customFormat="false" ht="15" hidden="false" customHeight="true" outlineLevel="0" collapsed="false">
      <c r="A761" s="5" t="n">
        <v>149</v>
      </c>
      <c r="B761" s="5" t="s">
        <v>714</v>
      </c>
      <c r="C761" s="5" t="s">
        <v>154</v>
      </c>
      <c r="D761" s="5" t="s">
        <v>68</v>
      </c>
      <c r="E761" s="5" t="s">
        <v>69</v>
      </c>
    </row>
    <row r="762" customFormat="false" ht="15" hidden="false" customHeight="true" outlineLevel="0" collapsed="false">
      <c r="A762" s="5" t="n">
        <v>149</v>
      </c>
      <c r="B762" s="5" t="s">
        <v>714</v>
      </c>
      <c r="C762" s="5" t="s">
        <v>154</v>
      </c>
      <c r="D762" s="5" t="s">
        <v>195</v>
      </c>
      <c r="E762" s="5" t="s">
        <v>196</v>
      </c>
    </row>
    <row r="763" customFormat="false" ht="15" hidden="false" customHeight="true" outlineLevel="0" collapsed="false">
      <c r="A763" s="5" t="n">
        <v>149</v>
      </c>
      <c r="B763" s="5" t="s">
        <v>714</v>
      </c>
      <c r="C763" s="5" t="s">
        <v>154</v>
      </c>
      <c r="D763" s="5" t="s">
        <v>402</v>
      </c>
      <c r="E763" s="5" t="s">
        <v>403</v>
      </c>
    </row>
    <row r="764" customFormat="false" ht="15" hidden="false" customHeight="true" outlineLevel="0" collapsed="false">
      <c r="A764" s="5" t="n">
        <v>150</v>
      </c>
      <c r="B764" s="5" t="s">
        <v>715</v>
      </c>
      <c r="C764" s="5" t="s">
        <v>64</v>
      </c>
      <c r="D764" s="5" t="s">
        <v>423</v>
      </c>
      <c r="E764" s="5" t="s">
        <v>423</v>
      </c>
    </row>
    <row r="765" customFormat="false" ht="15" hidden="false" customHeight="true" outlineLevel="0" collapsed="false">
      <c r="A765" s="5" t="n">
        <v>150</v>
      </c>
      <c r="B765" s="5" t="s">
        <v>715</v>
      </c>
      <c r="C765" s="5" t="s">
        <v>64</v>
      </c>
      <c r="D765" s="5" t="s">
        <v>545</v>
      </c>
      <c r="E765" s="5" t="s">
        <v>546</v>
      </c>
    </row>
    <row r="766" customFormat="false" ht="15" hidden="false" customHeight="true" outlineLevel="0" collapsed="false">
      <c r="A766" s="5" t="n">
        <v>150</v>
      </c>
      <c r="B766" s="5" t="s">
        <v>715</v>
      </c>
      <c r="C766" s="5" t="s">
        <v>64</v>
      </c>
      <c r="D766" s="5" t="s">
        <v>44</v>
      </c>
      <c r="E766" s="5" t="s">
        <v>99</v>
      </c>
    </row>
    <row r="767" customFormat="false" ht="15" hidden="false" customHeight="true" outlineLevel="0" collapsed="false">
      <c r="A767" s="5" t="n">
        <v>150</v>
      </c>
      <c r="B767" s="5" t="s">
        <v>715</v>
      </c>
      <c r="C767" s="5" t="s">
        <v>64</v>
      </c>
      <c r="D767" s="5" t="s">
        <v>716</v>
      </c>
      <c r="E767" s="5" t="s">
        <v>717</v>
      </c>
    </row>
    <row r="768" customFormat="false" ht="15" hidden="false" customHeight="true" outlineLevel="0" collapsed="false">
      <c r="A768" s="5" t="n">
        <v>150</v>
      </c>
      <c r="B768" s="5" t="s">
        <v>715</v>
      </c>
      <c r="C768" s="5" t="s">
        <v>64</v>
      </c>
      <c r="D768" s="5" t="s">
        <v>532</v>
      </c>
      <c r="E768" s="5" t="s">
        <v>533</v>
      </c>
    </row>
    <row r="769" customFormat="false" ht="15" hidden="false" customHeight="true" outlineLevel="0" collapsed="false">
      <c r="A769" s="5" t="n">
        <v>151</v>
      </c>
      <c r="B769" s="5" t="s">
        <v>718</v>
      </c>
      <c r="C769" s="5" t="s">
        <v>348</v>
      </c>
      <c r="D769" s="5" t="s">
        <v>310</v>
      </c>
      <c r="E769" s="5" t="s">
        <v>310</v>
      </c>
    </row>
    <row r="770" customFormat="false" ht="15" hidden="false" customHeight="true" outlineLevel="0" collapsed="false">
      <c r="A770" s="5" t="n">
        <v>151</v>
      </c>
      <c r="B770" s="5" t="s">
        <v>718</v>
      </c>
      <c r="C770" s="5" t="s">
        <v>348</v>
      </c>
      <c r="D770" s="5" t="s">
        <v>349</v>
      </c>
      <c r="E770" s="5" t="s">
        <v>412</v>
      </c>
    </row>
    <row r="771" customFormat="false" ht="15" hidden="false" customHeight="true" outlineLevel="0" collapsed="false">
      <c r="A771" s="5" t="n">
        <v>151</v>
      </c>
      <c r="B771" s="5" t="s">
        <v>718</v>
      </c>
      <c r="C771" s="5" t="s">
        <v>348</v>
      </c>
      <c r="D771" s="5" t="s">
        <v>321</v>
      </c>
      <c r="E771" s="5" t="s">
        <v>322</v>
      </c>
    </row>
    <row r="772" customFormat="false" ht="15" hidden="false" customHeight="true" outlineLevel="0" collapsed="false">
      <c r="A772" s="5" t="n">
        <v>151</v>
      </c>
      <c r="B772" s="5" t="s">
        <v>718</v>
      </c>
      <c r="C772" s="5" t="s">
        <v>348</v>
      </c>
      <c r="D772" s="5" t="s">
        <v>85</v>
      </c>
      <c r="E772" s="5" t="s">
        <v>86</v>
      </c>
    </row>
    <row r="773" customFormat="false" ht="15" hidden="false" customHeight="true" outlineLevel="0" collapsed="false">
      <c r="A773" s="5" t="n">
        <v>151</v>
      </c>
      <c r="B773" s="5" t="s">
        <v>718</v>
      </c>
      <c r="C773" s="5" t="s">
        <v>348</v>
      </c>
      <c r="D773" s="5" t="s">
        <v>719</v>
      </c>
      <c r="E773" s="5" t="s">
        <v>720</v>
      </c>
    </row>
    <row r="774" customFormat="false" ht="15" hidden="false" customHeight="true" outlineLevel="0" collapsed="false">
      <c r="A774" s="5" t="n">
        <v>152</v>
      </c>
      <c r="B774" s="5" t="s">
        <v>721</v>
      </c>
      <c r="C774" s="5" t="s">
        <v>181</v>
      </c>
      <c r="D774" s="5" t="s">
        <v>722</v>
      </c>
      <c r="E774" s="5" t="s">
        <v>723</v>
      </c>
    </row>
    <row r="775" customFormat="false" ht="15" hidden="false" customHeight="true" outlineLevel="0" collapsed="false">
      <c r="A775" s="5" t="n">
        <v>152</v>
      </c>
      <c r="B775" s="5" t="s">
        <v>721</v>
      </c>
      <c r="C775" s="5" t="s">
        <v>181</v>
      </c>
      <c r="D775" s="5" t="s">
        <v>251</v>
      </c>
      <c r="E775" s="5" t="s">
        <v>252</v>
      </c>
    </row>
    <row r="776" customFormat="false" ht="15" hidden="false" customHeight="true" outlineLevel="0" collapsed="false">
      <c r="A776" s="5" t="n">
        <v>152</v>
      </c>
      <c r="B776" s="5" t="s">
        <v>721</v>
      </c>
      <c r="C776" s="5" t="s">
        <v>181</v>
      </c>
      <c r="D776" s="5" t="s">
        <v>253</v>
      </c>
      <c r="E776" s="5" t="s">
        <v>254</v>
      </c>
    </row>
    <row r="777" customFormat="false" ht="15" hidden="false" customHeight="true" outlineLevel="0" collapsed="false">
      <c r="A777" s="5" t="n">
        <v>152</v>
      </c>
      <c r="B777" s="5" t="s">
        <v>721</v>
      </c>
      <c r="C777" s="5" t="s">
        <v>181</v>
      </c>
      <c r="D777" s="5" t="s">
        <v>236</v>
      </c>
      <c r="E777" s="5" t="s">
        <v>237</v>
      </c>
    </row>
    <row r="778" customFormat="false" ht="15" hidden="false" customHeight="true" outlineLevel="0" collapsed="false">
      <c r="A778" s="5" t="n">
        <v>153</v>
      </c>
      <c r="B778" s="5" t="s">
        <v>724</v>
      </c>
      <c r="C778" s="5" t="s">
        <v>154</v>
      </c>
      <c r="D778" s="5" t="s">
        <v>246</v>
      </c>
      <c r="E778" s="5" t="s">
        <v>725</v>
      </c>
    </row>
    <row r="779" customFormat="false" ht="15" hidden="false" customHeight="true" outlineLevel="0" collapsed="false">
      <c r="A779" s="5" t="n">
        <v>153</v>
      </c>
      <c r="B779" s="5" t="s">
        <v>724</v>
      </c>
      <c r="C779" s="5" t="s">
        <v>154</v>
      </c>
      <c r="D779" s="5" t="s">
        <v>185</v>
      </c>
      <c r="E779" s="5" t="s">
        <v>186</v>
      </c>
    </row>
    <row r="780" customFormat="false" ht="15" hidden="false" customHeight="true" outlineLevel="0" collapsed="false">
      <c r="A780" s="5" t="n">
        <v>153</v>
      </c>
      <c r="B780" s="5" t="s">
        <v>724</v>
      </c>
      <c r="C780" s="5" t="s">
        <v>154</v>
      </c>
      <c r="D780" s="5" t="s">
        <v>192</v>
      </c>
      <c r="E780" s="5" t="s">
        <v>295</v>
      </c>
    </row>
    <row r="781" customFormat="false" ht="15" hidden="false" customHeight="true" outlineLevel="0" collapsed="false">
      <c r="A781" s="5" t="n">
        <v>153</v>
      </c>
      <c r="B781" s="5" t="s">
        <v>724</v>
      </c>
      <c r="C781" s="5" t="s">
        <v>154</v>
      </c>
      <c r="D781" s="5" t="s">
        <v>439</v>
      </c>
      <c r="E781" s="5" t="s">
        <v>440</v>
      </c>
    </row>
    <row r="782" customFormat="false" ht="15" hidden="false" customHeight="true" outlineLevel="0" collapsed="false">
      <c r="A782" s="5" t="n">
        <v>154</v>
      </c>
      <c r="B782" s="5" t="s">
        <v>726</v>
      </c>
      <c r="C782" s="5" t="s">
        <v>38</v>
      </c>
      <c r="D782" s="5" t="s">
        <v>373</v>
      </c>
      <c r="E782" s="5" t="s">
        <v>727</v>
      </c>
    </row>
    <row r="783" customFormat="false" ht="15" hidden="false" customHeight="true" outlineLevel="0" collapsed="false">
      <c r="A783" s="5" t="n">
        <v>154</v>
      </c>
      <c r="B783" s="5" t="s">
        <v>726</v>
      </c>
      <c r="C783" s="5" t="s">
        <v>38</v>
      </c>
      <c r="D783" s="5" t="s">
        <v>102</v>
      </c>
      <c r="E783" s="5" t="s">
        <v>103</v>
      </c>
    </row>
    <row r="784" customFormat="false" ht="15" hidden="false" customHeight="true" outlineLevel="0" collapsed="false">
      <c r="A784" s="5" t="n">
        <v>154</v>
      </c>
      <c r="B784" s="5" t="s">
        <v>726</v>
      </c>
      <c r="C784" s="5" t="s">
        <v>38</v>
      </c>
      <c r="D784" s="5" t="s">
        <v>323</v>
      </c>
      <c r="E784" s="5" t="s">
        <v>324</v>
      </c>
    </row>
    <row r="785" customFormat="false" ht="15" hidden="false" customHeight="true" outlineLevel="0" collapsed="false">
      <c r="A785" s="5" t="n">
        <v>154</v>
      </c>
      <c r="B785" s="5" t="s">
        <v>726</v>
      </c>
      <c r="C785" s="5" t="s">
        <v>38</v>
      </c>
      <c r="D785" s="5" t="s">
        <v>327</v>
      </c>
      <c r="E785" s="5" t="s">
        <v>328</v>
      </c>
    </row>
    <row r="786" customFormat="false" ht="15" hidden="false" customHeight="true" outlineLevel="0" collapsed="false">
      <c r="A786" s="5" t="n">
        <v>154</v>
      </c>
      <c r="B786" s="5" t="s">
        <v>726</v>
      </c>
      <c r="C786" s="5" t="s">
        <v>38</v>
      </c>
      <c r="D786" s="5" t="s">
        <v>370</v>
      </c>
      <c r="E786" s="5" t="s">
        <v>381</v>
      </c>
    </row>
    <row r="787" customFormat="false" ht="15" hidden="false" customHeight="true" outlineLevel="0" collapsed="false">
      <c r="A787" s="5" t="n">
        <v>155</v>
      </c>
      <c r="B787" s="5" t="s">
        <v>728</v>
      </c>
      <c r="C787" s="5" t="s">
        <v>137</v>
      </c>
      <c r="D787" s="5" t="s">
        <v>137</v>
      </c>
      <c r="E787" s="5" t="s">
        <v>137</v>
      </c>
    </row>
    <row r="788" customFormat="false" ht="15" hidden="false" customHeight="true" outlineLevel="0" collapsed="false">
      <c r="A788" s="5" t="n">
        <v>155</v>
      </c>
      <c r="B788" s="5" t="s">
        <v>728</v>
      </c>
      <c r="C788" s="5" t="s">
        <v>137</v>
      </c>
      <c r="D788" s="5" t="s">
        <v>68</v>
      </c>
      <c r="E788" s="5" t="s">
        <v>69</v>
      </c>
    </row>
    <row r="789" customFormat="false" ht="15" hidden="false" customHeight="true" outlineLevel="0" collapsed="false">
      <c r="A789" s="5" t="n">
        <v>155</v>
      </c>
      <c r="B789" s="5" t="s">
        <v>728</v>
      </c>
      <c r="C789" s="5" t="s">
        <v>137</v>
      </c>
      <c r="D789" s="5" t="s">
        <v>31</v>
      </c>
      <c r="E789" s="5" t="s">
        <v>143</v>
      </c>
    </row>
    <row r="790" customFormat="false" ht="15" hidden="false" customHeight="true" outlineLevel="0" collapsed="false">
      <c r="A790" s="5" t="n">
        <v>155</v>
      </c>
      <c r="B790" s="5" t="s">
        <v>728</v>
      </c>
      <c r="C790" s="5" t="s">
        <v>137</v>
      </c>
      <c r="D790" s="5" t="s">
        <v>33</v>
      </c>
      <c r="E790" s="5" t="s">
        <v>34</v>
      </c>
    </row>
    <row r="791" customFormat="false" ht="15" hidden="false" customHeight="true" outlineLevel="0" collapsed="false">
      <c r="A791" s="5" t="n">
        <v>155</v>
      </c>
      <c r="B791" s="5" t="s">
        <v>728</v>
      </c>
      <c r="C791" s="5" t="s">
        <v>137</v>
      </c>
      <c r="D791" s="5" t="s">
        <v>364</v>
      </c>
      <c r="E791" s="5" t="s">
        <v>729</v>
      </c>
    </row>
    <row r="792" customFormat="false" ht="15" hidden="false" customHeight="true" outlineLevel="0" collapsed="false">
      <c r="A792" s="5" t="n">
        <v>156</v>
      </c>
      <c r="B792" s="5" t="s">
        <v>730</v>
      </c>
      <c r="C792" s="5" t="s">
        <v>106</v>
      </c>
      <c r="D792" s="5" t="s">
        <v>251</v>
      </c>
      <c r="E792" s="5" t="s">
        <v>251</v>
      </c>
    </row>
    <row r="793" customFormat="false" ht="15" hidden="false" customHeight="true" outlineLevel="0" collapsed="false">
      <c r="A793" s="5" t="n">
        <v>156</v>
      </c>
      <c r="B793" s="5" t="s">
        <v>730</v>
      </c>
      <c r="C793" s="5" t="s">
        <v>106</v>
      </c>
      <c r="D793" s="5" t="s">
        <v>537</v>
      </c>
      <c r="E793" s="5" t="s">
        <v>538</v>
      </c>
    </row>
    <row r="794" customFormat="false" ht="15" hidden="false" customHeight="true" outlineLevel="0" collapsed="false">
      <c r="A794" s="5" t="n">
        <v>156</v>
      </c>
      <c r="B794" s="5" t="s">
        <v>730</v>
      </c>
      <c r="C794" s="5" t="s">
        <v>106</v>
      </c>
      <c r="D794" s="5" t="s">
        <v>719</v>
      </c>
      <c r="E794" s="5" t="s">
        <v>720</v>
      </c>
    </row>
    <row r="795" customFormat="false" ht="15" hidden="false" customHeight="true" outlineLevel="0" collapsed="false">
      <c r="A795" s="5" t="n">
        <v>156</v>
      </c>
      <c r="B795" s="5" t="s">
        <v>730</v>
      </c>
      <c r="C795" s="5" t="s">
        <v>106</v>
      </c>
      <c r="D795" s="5" t="s">
        <v>107</v>
      </c>
      <c r="E795" s="5" t="s">
        <v>108</v>
      </c>
    </row>
    <row r="796" customFormat="false" ht="15" hidden="false" customHeight="true" outlineLevel="0" collapsed="false">
      <c r="A796" s="5" t="n">
        <v>157</v>
      </c>
      <c r="B796" s="5" t="s">
        <v>731</v>
      </c>
      <c r="C796" s="5" t="s">
        <v>135</v>
      </c>
      <c r="D796" s="5" t="s">
        <v>141</v>
      </c>
      <c r="E796" s="5" t="s">
        <v>141</v>
      </c>
    </row>
    <row r="797" customFormat="false" ht="15" hidden="false" customHeight="true" outlineLevel="0" collapsed="false">
      <c r="A797" s="5" t="n">
        <v>157</v>
      </c>
      <c r="B797" s="5" t="s">
        <v>731</v>
      </c>
      <c r="C797" s="5" t="s">
        <v>135</v>
      </c>
      <c r="D797" s="5" t="s">
        <v>137</v>
      </c>
      <c r="E797" s="5" t="s">
        <v>138</v>
      </c>
    </row>
    <row r="798" customFormat="false" ht="15" hidden="false" customHeight="true" outlineLevel="0" collapsed="false">
      <c r="A798" s="5" t="n">
        <v>157</v>
      </c>
      <c r="B798" s="5" t="s">
        <v>731</v>
      </c>
      <c r="C798" s="5" t="s">
        <v>135</v>
      </c>
      <c r="D798" s="5" t="s">
        <v>33</v>
      </c>
      <c r="E798" s="5" t="s">
        <v>34</v>
      </c>
    </row>
    <row r="799" customFormat="false" ht="15" hidden="false" customHeight="true" outlineLevel="0" collapsed="false">
      <c r="A799" s="5" t="n">
        <v>157</v>
      </c>
      <c r="B799" s="5" t="s">
        <v>731</v>
      </c>
      <c r="C799" s="5" t="s">
        <v>135</v>
      </c>
      <c r="D799" s="5" t="s">
        <v>31</v>
      </c>
      <c r="E799" s="5" t="s">
        <v>143</v>
      </c>
    </row>
    <row r="800" customFormat="false" ht="15" hidden="false" customHeight="true" outlineLevel="0" collapsed="false">
      <c r="A800" s="5" t="n">
        <v>157</v>
      </c>
      <c r="B800" s="5" t="s">
        <v>731</v>
      </c>
      <c r="C800" s="5" t="s">
        <v>135</v>
      </c>
      <c r="D800" s="5" t="s">
        <v>44</v>
      </c>
      <c r="E800" s="5" t="s">
        <v>732</v>
      </c>
    </row>
    <row r="801" customFormat="false" ht="15" hidden="false" customHeight="true" outlineLevel="0" collapsed="false">
      <c r="A801" s="5" t="n">
        <v>157</v>
      </c>
      <c r="B801" s="5" t="s">
        <v>731</v>
      </c>
      <c r="C801" s="5" t="s">
        <v>135</v>
      </c>
      <c r="D801" s="5" t="s">
        <v>139</v>
      </c>
      <c r="E801" s="5" t="s">
        <v>732</v>
      </c>
    </row>
    <row r="802" customFormat="false" ht="15" hidden="false" customHeight="true" outlineLevel="0" collapsed="false">
      <c r="A802" s="5" t="n">
        <v>158</v>
      </c>
      <c r="B802" s="5" t="s">
        <v>733</v>
      </c>
      <c r="C802" s="5" t="s">
        <v>96</v>
      </c>
      <c r="D802" s="5" t="s">
        <v>460</v>
      </c>
      <c r="E802" s="5" t="s">
        <v>460</v>
      </c>
    </row>
    <row r="803" customFormat="false" ht="15" hidden="false" customHeight="true" outlineLevel="0" collapsed="false">
      <c r="A803" s="5" t="n">
        <v>158</v>
      </c>
      <c r="B803" s="5" t="s">
        <v>733</v>
      </c>
      <c r="C803" s="5" t="s">
        <v>96</v>
      </c>
      <c r="D803" s="5" t="s">
        <v>130</v>
      </c>
      <c r="E803" s="5" t="s">
        <v>131</v>
      </c>
    </row>
    <row r="804" customFormat="false" ht="15" hidden="false" customHeight="true" outlineLevel="0" collapsed="false">
      <c r="A804" s="5" t="n">
        <v>158</v>
      </c>
      <c r="B804" s="5" t="s">
        <v>733</v>
      </c>
      <c r="C804" s="5" t="s">
        <v>96</v>
      </c>
      <c r="D804" s="5" t="s">
        <v>321</v>
      </c>
      <c r="E804" s="5" t="s">
        <v>322</v>
      </c>
    </row>
    <row r="805" customFormat="false" ht="15" hidden="false" customHeight="true" outlineLevel="0" collapsed="false">
      <c r="A805" s="5" t="n">
        <v>158</v>
      </c>
      <c r="B805" s="5" t="s">
        <v>733</v>
      </c>
      <c r="C805" s="5" t="s">
        <v>96</v>
      </c>
      <c r="D805" s="5" t="s">
        <v>331</v>
      </c>
      <c r="E805" s="5" t="s">
        <v>332</v>
      </c>
    </row>
    <row r="806" customFormat="false" ht="15" hidden="false" customHeight="true" outlineLevel="0" collapsed="false">
      <c r="A806" s="5" t="n">
        <v>158</v>
      </c>
      <c r="B806" s="5" t="s">
        <v>733</v>
      </c>
      <c r="C806" s="5" t="s">
        <v>96</v>
      </c>
      <c r="D806" s="5" t="s">
        <v>503</v>
      </c>
      <c r="E806" s="5" t="s">
        <v>504</v>
      </c>
    </row>
    <row r="807" customFormat="false" ht="15" hidden="false" customHeight="true" outlineLevel="0" collapsed="false">
      <c r="A807" s="5" t="n">
        <v>159</v>
      </c>
      <c r="B807" s="5" t="s">
        <v>734</v>
      </c>
      <c r="C807" s="5" t="s">
        <v>77</v>
      </c>
      <c r="D807" s="5" t="s">
        <v>78</v>
      </c>
      <c r="E807" s="5" t="s">
        <v>78</v>
      </c>
    </row>
    <row r="808" customFormat="false" ht="15" hidden="false" customHeight="true" outlineLevel="0" collapsed="false">
      <c r="A808" s="5" t="n">
        <v>159</v>
      </c>
      <c r="B808" s="5" t="s">
        <v>734</v>
      </c>
      <c r="C808" s="5" t="s">
        <v>77</v>
      </c>
      <c r="D808" s="5" t="s">
        <v>129</v>
      </c>
      <c r="E808" s="5" t="s">
        <v>129</v>
      </c>
    </row>
    <row r="809" customFormat="false" ht="15" hidden="false" customHeight="true" outlineLevel="0" collapsed="false">
      <c r="A809" s="5" t="n">
        <v>159</v>
      </c>
      <c r="B809" s="5" t="s">
        <v>734</v>
      </c>
      <c r="C809" s="5" t="s">
        <v>77</v>
      </c>
      <c r="D809" s="5" t="s">
        <v>185</v>
      </c>
      <c r="E809" s="5" t="s">
        <v>186</v>
      </c>
    </row>
    <row r="810" customFormat="false" ht="15" hidden="false" customHeight="true" outlineLevel="0" collapsed="false">
      <c r="A810" s="5" t="n">
        <v>159</v>
      </c>
      <c r="B810" s="5" t="s">
        <v>734</v>
      </c>
      <c r="C810" s="5" t="s">
        <v>77</v>
      </c>
      <c r="D810" s="5" t="s">
        <v>597</v>
      </c>
      <c r="E810" s="5" t="s">
        <v>598</v>
      </c>
    </row>
    <row r="811" customFormat="false" ht="15" hidden="false" customHeight="true" outlineLevel="0" collapsed="false">
      <c r="A811" s="5" t="n">
        <v>160</v>
      </c>
      <c r="B811" s="5" t="s">
        <v>735</v>
      </c>
      <c r="C811" s="5" t="s">
        <v>210</v>
      </c>
      <c r="D811" s="5" t="s">
        <v>642</v>
      </c>
      <c r="E811" s="5" t="s">
        <v>736</v>
      </c>
    </row>
    <row r="812" customFormat="false" ht="15" hidden="false" customHeight="true" outlineLevel="0" collapsed="false">
      <c r="A812" s="5" t="n">
        <v>160</v>
      </c>
      <c r="B812" s="5" t="s">
        <v>735</v>
      </c>
      <c r="C812" s="5" t="s">
        <v>210</v>
      </c>
      <c r="D812" s="5" t="s">
        <v>219</v>
      </c>
      <c r="E812" s="5" t="s">
        <v>220</v>
      </c>
    </row>
    <row r="813" customFormat="false" ht="15" hidden="false" customHeight="true" outlineLevel="0" collapsed="false">
      <c r="A813" s="5" t="n">
        <v>160</v>
      </c>
      <c r="B813" s="5" t="s">
        <v>735</v>
      </c>
      <c r="C813" s="5" t="s">
        <v>210</v>
      </c>
      <c r="D813" s="5" t="s">
        <v>375</v>
      </c>
      <c r="E813" s="5" t="s">
        <v>376</v>
      </c>
    </row>
    <row r="814" customFormat="false" ht="15" hidden="false" customHeight="true" outlineLevel="0" collapsed="false">
      <c r="A814" s="5" t="n">
        <v>160</v>
      </c>
      <c r="B814" s="5" t="s">
        <v>735</v>
      </c>
      <c r="C814" s="5" t="s">
        <v>210</v>
      </c>
      <c r="D814" s="5" t="s">
        <v>503</v>
      </c>
      <c r="E814" s="5" t="s">
        <v>504</v>
      </c>
    </row>
    <row r="815" customFormat="false" ht="15" hidden="false" customHeight="true" outlineLevel="0" collapsed="false">
      <c r="A815" s="5" t="n">
        <v>161</v>
      </c>
      <c r="B815" s="5" t="s">
        <v>737</v>
      </c>
      <c r="C815" s="5" t="s">
        <v>286</v>
      </c>
      <c r="D815" s="5" t="s">
        <v>287</v>
      </c>
      <c r="E815" s="5" t="s">
        <v>287</v>
      </c>
    </row>
    <row r="816" customFormat="false" ht="15" hidden="false" customHeight="true" outlineLevel="0" collapsed="false">
      <c r="A816" s="5" t="n">
        <v>161</v>
      </c>
      <c r="B816" s="5" t="s">
        <v>737</v>
      </c>
      <c r="C816" s="5" t="s">
        <v>286</v>
      </c>
      <c r="D816" s="5" t="s">
        <v>44</v>
      </c>
      <c r="E816" s="5" t="s">
        <v>99</v>
      </c>
    </row>
    <row r="817" customFormat="false" ht="15" hidden="false" customHeight="true" outlineLevel="0" collapsed="false">
      <c r="A817" s="5" t="n">
        <v>161</v>
      </c>
      <c r="B817" s="5" t="s">
        <v>737</v>
      </c>
      <c r="C817" s="5" t="s">
        <v>286</v>
      </c>
      <c r="D817" s="5" t="s">
        <v>528</v>
      </c>
      <c r="E817" s="5" t="s">
        <v>529</v>
      </c>
    </row>
    <row r="818" customFormat="false" ht="15" hidden="false" customHeight="true" outlineLevel="0" collapsed="false">
      <c r="A818" s="5" t="n">
        <v>161</v>
      </c>
      <c r="B818" s="5" t="s">
        <v>737</v>
      </c>
      <c r="C818" s="5" t="s">
        <v>286</v>
      </c>
      <c r="D818" s="5" t="s">
        <v>78</v>
      </c>
      <c r="E818" s="5" t="s">
        <v>738</v>
      </c>
    </row>
    <row r="819" customFormat="false" ht="15" hidden="false" customHeight="true" outlineLevel="0" collapsed="false">
      <c r="A819" s="5" t="n">
        <v>162</v>
      </c>
      <c r="B819" s="5" t="s">
        <v>739</v>
      </c>
      <c r="C819" s="5" t="s">
        <v>25</v>
      </c>
      <c r="D819" s="5" t="s">
        <v>310</v>
      </c>
      <c r="E819" s="5" t="s">
        <v>310</v>
      </c>
    </row>
    <row r="820" customFormat="false" ht="15" hidden="false" customHeight="true" outlineLevel="0" collapsed="false">
      <c r="A820" s="5" t="n">
        <v>162</v>
      </c>
      <c r="B820" s="5" t="s">
        <v>739</v>
      </c>
      <c r="C820" s="5" t="s">
        <v>25</v>
      </c>
      <c r="D820" s="5" t="s">
        <v>468</v>
      </c>
      <c r="E820" s="5" t="s">
        <v>499</v>
      </c>
    </row>
    <row r="821" customFormat="false" ht="15" hidden="false" customHeight="true" outlineLevel="0" collapsed="false">
      <c r="A821" s="5" t="n">
        <v>162</v>
      </c>
      <c r="B821" s="5" t="s">
        <v>739</v>
      </c>
      <c r="C821" s="5" t="s">
        <v>25</v>
      </c>
      <c r="D821" s="5" t="s">
        <v>528</v>
      </c>
      <c r="E821" s="5" t="s">
        <v>529</v>
      </c>
    </row>
    <row r="822" customFormat="false" ht="15" hidden="false" customHeight="true" outlineLevel="0" collapsed="false">
      <c r="A822" s="5" t="n">
        <v>162</v>
      </c>
      <c r="B822" s="5" t="s">
        <v>739</v>
      </c>
      <c r="C822" s="5" t="s">
        <v>25</v>
      </c>
      <c r="D822" s="5" t="s">
        <v>349</v>
      </c>
      <c r="E822" s="5" t="s">
        <v>412</v>
      </c>
    </row>
    <row r="823" customFormat="false" ht="15" hidden="false" customHeight="true" outlineLevel="0" collapsed="false">
      <c r="A823" s="5" t="n">
        <v>163</v>
      </c>
      <c r="B823" s="5" t="s">
        <v>740</v>
      </c>
      <c r="C823" s="5" t="s">
        <v>64</v>
      </c>
      <c r="D823" s="5" t="s">
        <v>423</v>
      </c>
      <c r="E823" s="5" t="s">
        <v>423</v>
      </c>
    </row>
    <row r="824" customFormat="false" ht="15" hidden="false" customHeight="true" outlineLevel="0" collapsed="false">
      <c r="A824" s="5" t="n">
        <v>163</v>
      </c>
      <c r="B824" s="5" t="s">
        <v>740</v>
      </c>
      <c r="C824" s="5" t="s">
        <v>64</v>
      </c>
      <c r="D824" s="5" t="s">
        <v>44</v>
      </c>
      <c r="E824" s="5" t="s">
        <v>99</v>
      </c>
    </row>
    <row r="825" customFormat="false" ht="15" hidden="false" customHeight="true" outlineLevel="0" collapsed="false">
      <c r="A825" s="5" t="n">
        <v>163</v>
      </c>
      <c r="B825" s="5" t="s">
        <v>740</v>
      </c>
      <c r="C825" s="5" t="s">
        <v>64</v>
      </c>
      <c r="D825" s="5" t="s">
        <v>608</v>
      </c>
      <c r="E825" s="5" t="s">
        <v>741</v>
      </c>
    </row>
    <row r="826" customFormat="false" ht="15" hidden="false" customHeight="true" outlineLevel="0" collapsed="false">
      <c r="A826" s="5" t="n">
        <v>163</v>
      </c>
      <c r="B826" s="5" t="s">
        <v>740</v>
      </c>
      <c r="C826" s="5" t="s">
        <v>64</v>
      </c>
      <c r="D826" s="5" t="s">
        <v>280</v>
      </c>
      <c r="E826" s="5" t="s">
        <v>281</v>
      </c>
    </row>
    <row r="827" customFormat="false" ht="15" hidden="false" customHeight="true" outlineLevel="0" collapsed="false">
      <c r="A827" s="5" t="n">
        <v>164</v>
      </c>
      <c r="B827" s="5" t="s">
        <v>742</v>
      </c>
      <c r="C827" s="5" t="s">
        <v>239</v>
      </c>
      <c r="D827" s="5" t="s">
        <v>185</v>
      </c>
      <c r="E827" s="5" t="s">
        <v>185</v>
      </c>
    </row>
    <row r="828" customFormat="false" ht="15" hidden="false" customHeight="true" outlineLevel="0" collapsed="false">
      <c r="A828" s="5" t="n">
        <v>164</v>
      </c>
      <c r="B828" s="5" t="s">
        <v>742</v>
      </c>
      <c r="C828" s="5" t="s">
        <v>239</v>
      </c>
      <c r="D828" s="5" t="s">
        <v>542</v>
      </c>
      <c r="E828" s="5" t="s">
        <v>543</v>
      </c>
    </row>
    <row r="829" customFormat="false" ht="15" hidden="false" customHeight="true" outlineLevel="0" collapsed="false">
      <c r="A829" s="5" t="n">
        <v>164</v>
      </c>
      <c r="B829" s="5" t="s">
        <v>742</v>
      </c>
      <c r="C829" s="5" t="s">
        <v>239</v>
      </c>
      <c r="D829" s="5" t="s">
        <v>240</v>
      </c>
      <c r="E829" s="5" t="s">
        <v>544</v>
      </c>
    </row>
    <row r="830" customFormat="false" ht="15" hidden="false" customHeight="true" outlineLevel="0" collapsed="false">
      <c r="A830" s="5" t="n">
        <v>165</v>
      </c>
      <c r="B830" s="5" t="s">
        <v>743</v>
      </c>
      <c r="C830" s="5" t="s">
        <v>106</v>
      </c>
      <c r="D830" s="5" t="s">
        <v>160</v>
      </c>
      <c r="E830" s="5" t="s">
        <v>160</v>
      </c>
    </row>
    <row r="831" customFormat="false" ht="15" hidden="false" customHeight="true" outlineLevel="0" collapsed="false">
      <c r="A831" s="5" t="n">
        <v>165</v>
      </c>
      <c r="B831" s="5" t="s">
        <v>743</v>
      </c>
      <c r="C831" s="5" t="s">
        <v>106</v>
      </c>
      <c r="D831" s="5" t="s">
        <v>716</v>
      </c>
      <c r="E831" s="5" t="s">
        <v>717</v>
      </c>
    </row>
    <row r="832" customFormat="false" ht="15" hidden="false" customHeight="true" outlineLevel="0" collapsed="false">
      <c r="A832" s="5" t="n">
        <v>165</v>
      </c>
      <c r="B832" s="5" t="s">
        <v>743</v>
      </c>
      <c r="C832" s="5" t="s">
        <v>106</v>
      </c>
      <c r="D832" s="5" t="s">
        <v>465</v>
      </c>
      <c r="E832" s="5" t="s">
        <v>466</v>
      </c>
    </row>
    <row r="833" customFormat="false" ht="15" hidden="false" customHeight="true" outlineLevel="0" collapsed="false">
      <c r="A833" s="5" t="n">
        <v>165</v>
      </c>
      <c r="B833" s="5" t="s">
        <v>743</v>
      </c>
      <c r="C833" s="5" t="s">
        <v>106</v>
      </c>
      <c r="D833" s="5" t="s">
        <v>31</v>
      </c>
      <c r="E833" s="5" t="s">
        <v>143</v>
      </c>
    </row>
    <row r="834" customFormat="false" ht="15" hidden="false" customHeight="true" outlineLevel="0" collapsed="false">
      <c r="A834" s="5" t="n">
        <v>166</v>
      </c>
      <c r="B834" s="5" t="s">
        <v>744</v>
      </c>
      <c r="C834" s="5" t="s">
        <v>191</v>
      </c>
      <c r="D834" s="5" t="s">
        <v>192</v>
      </c>
      <c r="E834" s="5" t="s">
        <v>192</v>
      </c>
    </row>
    <row r="835" customFormat="false" ht="15" hidden="false" customHeight="true" outlineLevel="0" collapsed="false">
      <c r="A835" s="5" t="n">
        <v>166</v>
      </c>
      <c r="B835" s="5" t="s">
        <v>744</v>
      </c>
      <c r="C835" s="5" t="s">
        <v>191</v>
      </c>
      <c r="D835" s="5" t="s">
        <v>68</v>
      </c>
      <c r="E835" s="5" t="s">
        <v>69</v>
      </c>
    </row>
    <row r="836" customFormat="false" ht="15" hidden="false" customHeight="true" outlineLevel="0" collapsed="false">
      <c r="A836" s="5" t="n">
        <v>166</v>
      </c>
      <c r="B836" s="5" t="s">
        <v>744</v>
      </c>
      <c r="C836" s="5" t="s">
        <v>191</v>
      </c>
      <c r="D836" s="5" t="s">
        <v>321</v>
      </c>
      <c r="E836" s="5" t="s">
        <v>745</v>
      </c>
    </row>
    <row r="837" customFormat="false" ht="15" hidden="false" customHeight="true" outlineLevel="0" collapsed="false">
      <c r="A837" s="5" t="n">
        <v>166</v>
      </c>
      <c r="B837" s="5" t="s">
        <v>744</v>
      </c>
      <c r="C837" s="5" t="s">
        <v>191</v>
      </c>
      <c r="D837" s="5" t="s">
        <v>248</v>
      </c>
      <c r="E837" s="5" t="s">
        <v>249</v>
      </c>
    </row>
    <row r="838" customFormat="false" ht="15" hidden="false" customHeight="true" outlineLevel="0" collapsed="false">
      <c r="A838" s="5" t="n">
        <v>167</v>
      </c>
      <c r="B838" s="5" t="s">
        <v>746</v>
      </c>
      <c r="C838" s="5" t="s">
        <v>51</v>
      </c>
      <c r="D838" s="5" t="s">
        <v>341</v>
      </c>
      <c r="E838" s="5" t="s">
        <v>341</v>
      </c>
    </row>
    <row r="839" customFormat="false" ht="15" hidden="false" customHeight="true" outlineLevel="0" collapsed="false">
      <c r="A839" s="5" t="n">
        <v>167</v>
      </c>
      <c r="B839" s="5" t="s">
        <v>746</v>
      </c>
      <c r="C839" s="5" t="s">
        <v>51</v>
      </c>
      <c r="D839" s="5" t="s">
        <v>475</v>
      </c>
      <c r="E839" s="5" t="s">
        <v>747</v>
      </c>
    </row>
    <row r="840" customFormat="false" ht="15" hidden="false" customHeight="true" outlineLevel="0" collapsed="false">
      <c r="A840" s="5" t="n">
        <v>167</v>
      </c>
      <c r="B840" s="5" t="s">
        <v>746</v>
      </c>
      <c r="C840" s="5" t="s">
        <v>51</v>
      </c>
      <c r="D840" s="5" t="s">
        <v>394</v>
      </c>
      <c r="E840" s="5" t="s">
        <v>395</v>
      </c>
    </row>
    <row r="841" customFormat="false" ht="15" hidden="false" customHeight="true" outlineLevel="0" collapsed="false">
      <c r="A841" s="5" t="n">
        <v>167</v>
      </c>
      <c r="B841" s="5" t="s">
        <v>746</v>
      </c>
      <c r="C841" s="5" t="s">
        <v>51</v>
      </c>
      <c r="D841" s="5" t="s">
        <v>27</v>
      </c>
      <c r="E841" s="5" t="s">
        <v>748</v>
      </c>
    </row>
    <row r="842" customFormat="false" ht="15" hidden="false" customHeight="true" outlineLevel="0" collapsed="false">
      <c r="A842" s="5" t="n">
        <v>167</v>
      </c>
      <c r="B842" s="5" t="s">
        <v>746</v>
      </c>
      <c r="C842" s="5" t="s">
        <v>51</v>
      </c>
      <c r="D842" s="5" t="s">
        <v>102</v>
      </c>
      <c r="E842" s="5" t="s">
        <v>103</v>
      </c>
    </row>
    <row r="843" customFormat="false" ht="15" hidden="false" customHeight="true" outlineLevel="0" collapsed="false">
      <c r="A843" s="5" t="n">
        <v>167</v>
      </c>
      <c r="B843" s="5" t="s">
        <v>746</v>
      </c>
      <c r="C843" s="5" t="s">
        <v>51</v>
      </c>
      <c r="D843" s="5" t="s">
        <v>317</v>
      </c>
      <c r="E843" s="5" t="s">
        <v>318</v>
      </c>
    </row>
    <row r="844" customFormat="false" ht="15" hidden="false" customHeight="true" outlineLevel="0" collapsed="false">
      <c r="A844" s="5" t="n">
        <v>168</v>
      </c>
      <c r="B844" s="5" t="s">
        <v>749</v>
      </c>
      <c r="C844" s="5" t="s">
        <v>260</v>
      </c>
      <c r="D844" s="5" t="s">
        <v>615</v>
      </c>
      <c r="E844" s="5" t="s">
        <v>750</v>
      </c>
    </row>
    <row r="845" customFormat="false" ht="15" hidden="false" customHeight="true" outlineLevel="0" collapsed="false">
      <c r="A845" s="5" t="n">
        <v>168</v>
      </c>
      <c r="B845" s="5" t="s">
        <v>749</v>
      </c>
      <c r="C845" s="5" t="s">
        <v>260</v>
      </c>
      <c r="D845" s="5" t="s">
        <v>589</v>
      </c>
      <c r="E845" s="5" t="s">
        <v>590</v>
      </c>
    </row>
    <row r="846" customFormat="false" ht="15" hidden="false" customHeight="true" outlineLevel="0" collapsed="false">
      <c r="A846" s="5" t="n">
        <v>168</v>
      </c>
      <c r="B846" s="5" t="s">
        <v>749</v>
      </c>
      <c r="C846" s="5" t="s">
        <v>260</v>
      </c>
      <c r="D846" s="5" t="s">
        <v>251</v>
      </c>
      <c r="E846" s="5" t="s">
        <v>252</v>
      </c>
    </row>
    <row r="847" customFormat="false" ht="15" hidden="false" customHeight="true" outlineLevel="0" collapsed="false">
      <c r="A847" s="5" t="n">
        <v>169</v>
      </c>
      <c r="B847" s="5" t="s">
        <v>751</v>
      </c>
      <c r="C847" s="5" t="s">
        <v>84</v>
      </c>
      <c r="D847" s="5" t="s">
        <v>26</v>
      </c>
      <c r="E847" s="5" t="s">
        <v>26</v>
      </c>
    </row>
    <row r="848" customFormat="false" ht="15" hidden="false" customHeight="true" outlineLevel="0" collapsed="false">
      <c r="A848" s="5" t="n">
        <v>169</v>
      </c>
      <c r="B848" s="5" t="s">
        <v>751</v>
      </c>
      <c r="C848" s="5" t="s">
        <v>84</v>
      </c>
      <c r="D848" s="5" t="s">
        <v>79</v>
      </c>
      <c r="E848" s="5" t="s">
        <v>80</v>
      </c>
    </row>
    <row r="849" customFormat="false" ht="15" hidden="false" customHeight="true" outlineLevel="0" collapsed="false">
      <c r="A849" s="5" t="n">
        <v>169</v>
      </c>
      <c r="B849" s="5" t="s">
        <v>751</v>
      </c>
      <c r="C849" s="5" t="s">
        <v>84</v>
      </c>
      <c r="D849" s="5" t="s">
        <v>89</v>
      </c>
      <c r="E849" s="5" t="s">
        <v>90</v>
      </c>
    </row>
    <row r="850" customFormat="false" ht="15" hidden="false" customHeight="true" outlineLevel="0" collapsed="false">
      <c r="A850" s="5" t="n">
        <v>170</v>
      </c>
      <c r="B850" s="5" t="s">
        <v>752</v>
      </c>
      <c r="C850" s="5" t="s">
        <v>163</v>
      </c>
      <c r="D850" s="5" t="s">
        <v>164</v>
      </c>
      <c r="E850" s="5" t="s">
        <v>164</v>
      </c>
    </row>
    <row r="851" customFormat="false" ht="15" hidden="false" customHeight="true" outlineLevel="0" collapsed="false">
      <c r="A851" s="5" t="n">
        <v>170</v>
      </c>
      <c r="B851" s="5" t="s">
        <v>752</v>
      </c>
      <c r="C851" s="5" t="s">
        <v>163</v>
      </c>
      <c r="D851" s="5" t="s">
        <v>311</v>
      </c>
      <c r="E851" s="5" t="s">
        <v>312</v>
      </c>
    </row>
    <row r="852" customFormat="false" ht="15" hidden="false" customHeight="true" outlineLevel="0" collapsed="false">
      <c r="A852" s="5" t="n">
        <v>170</v>
      </c>
      <c r="B852" s="5" t="s">
        <v>752</v>
      </c>
      <c r="C852" s="5" t="s">
        <v>163</v>
      </c>
      <c r="D852" s="5" t="s">
        <v>276</v>
      </c>
      <c r="E852" s="5" t="s">
        <v>277</v>
      </c>
    </row>
    <row r="853" customFormat="false" ht="15" hidden="false" customHeight="true" outlineLevel="0" collapsed="false">
      <c r="A853" s="5" t="n">
        <v>170</v>
      </c>
      <c r="B853" s="5" t="s">
        <v>752</v>
      </c>
      <c r="C853" s="5" t="s">
        <v>163</v>
      </c>
      <c r="D853" s="5" t="s">
        <v>317</v>
      </c>
      <c r="E853" s="5" t="s">
        <v>318</v>
      </c>
    </row>
    <row r="854" customFormat="false" ht="15" hidden="false" customHeight="true" outlineLevel="0" collapsed="false">
      <c r="A854" s="5" t="n">
        <v>170</v>
      </c>
      <c r="B854" s="5" t="s">
        <v>752</v>
      </c>
      <c r="C854" s="5" t="s">
        <v>163</v>
      </c>
      <c r="D854" s="5" t="s">
        <v>370</v>
      </c>
      <c r="E854" s="5" t="s">
        <v>381</v>
      </c>
    </row>
    <row r="855" customFormat="false" ht="15" hidden="false" customHeight="true" outlineLevel="0" collapsed="false">
      <c r="A855" s="5" t="n">
        <v>171</v>
      </c>
      <c r="B855" s="5" t="s">
        <v>753</v>
      </c>
      <c r="C855" s="5" t="s">
        <v>96</v>
      </c>
      <c r="D855" s="5" t="s">
        <v>44</v>
      </c>
      <c r="E855" s="5" t="s">
        <v>44</v>
      </c>
    </row>
    <row r="856" customFormat="false" ht="15" hidden="false" customHeight="true" outlineLevel="0" collapsed="false">
      <c r="A856" s="5" t="n">
        <v>171</v>
      </c>
      <c r="B856" s="5" t="s">
        <v>753</v>
      </c>
      <c r="C856" s="5" t="s">
        <v>96</v>
      </c>
      <c r="D856" s="5" t="s">
        <v>251</v>
      </c>
      <c r="E856" s="5" t="s">
        <v>252</v>
      </c>
    </row>
    <row r="857" customFormat="false" ht="15" hidden="false" customHeight="true" outlineLevel="0" collapsed="false">
      <c r="A857" s="5" t="n">
        <v>171</v>
      </c>
      <c r="B857" s="5" t="s">
        <v>753</v>
      </c>
      <c r="C857" s="5" t="s">
        <v>96</v>
      </c>
      <c r="D857" s="5" t="s">
        <v>307</v>
      </c>
      <c r="E857" s="5" t="s">
        <v>308</v>
      </c>
    </row>
    <row r="858" customFormat="false" ht="15" hidden="false" customHeight="true" outlineLevel="0" collapsed="false">
      <c r="A858" s="5" t="n">
        <v>171</v>
      </c>
      <c r="B858" s="5" t="s">
        <v>753</v>
      </c>
      <c r="C858" s="5" t="s">
        <v>96</v>
      </c>
      <c r="D858" s="5" t="s">
        <v>280</v>
      </c>
      <c r="E858" s="5" t="s">
        <v>281</v>
      </c>
    </row>
    <row r="859" customFormat="false" ht="15" hidden="false" customHeight="true" outlineLevel="0" collapsed="false">
      <c r="A859" s="5" t="n">
        <v>172</v>
      </c>
      <c r="B859" s="5" t="s">
        <v>754</v>
      </c>
      <c r="C859" s="5" t="s">
        <v>125</v>
      </c>
      <c r="D859" s="5" t="s">
        <v>126</v>
      </c>
      <c r="E859" s="5" t="s">
        <v>126</v>
      </c>
    </row>
    <row r="860" customFormat="false" ht="15" hidden="false" customHeight="true" outlineLevel="0" collapsed="false">
      <c r="A860" s="5" t="n">
        <v>172</v>
      </c>
      <c r="B860" s="5" t="s">
        <v>754</v>
      </c>
      <c r="C860" s="5" t="s">
        <v>125</v>
      </c>
      <c r="D860" s="5" t="s">
        <v>44</v>
      </c>
      <c r="E860" s="5" t="s">
        <v>99</v>
      </c>
    </row>
    <row r="861" customFormat="false" ht="15" hidden="false" customHeight="true" outlineLevel="0" collapsed="false">
      <c r="A861" s="5" t="n">
        <v>172</v>
      </c>
      <c r="B861" s="5" t="s">
        <v>754</v>
      </c>
      <c r="C861" s="5" t="s">
        <v>125</v>
      </c>
      <c r="D861" s="5" t="s">
        <v>251</v>
      </c>
      <c r="E861" s="5" t="s">
        <v>252</v>
      </c>
    </row>
    <row r="862" customFormat="false" ht="15" hidden="false" customHeight="true" outlineLevel="0" collapsed="false">
      <c r="A862" s="5" t="n">
        <v>172</v>
      </c>
      <c r="B862" s="5" t="s">
        <v>754</v>
      </c>
      <c r="C862" s="5" t="s">
        <v>125</v>
      </c>
      <c r="D862" s="5" t="s">
        <v>605</v>
      </c>
      <c r="E862" s="5" t="s">
        <v>606</v>
      </c>
    </row>
    <row r="863" customFormat="false" ht="15" hidden="false" customHeight="true" outlineLevel="0" collapsed="false">
      <c r="A863" s="5" t="n">
        <v>173</v>
      </c>
      <c r="B863" s="5" t="s">
        <v>755</v>
      </c>
      <c r="C863" s="5" t="s">
        <v>110</v>
      </c>
      <c r="D863" s="5" t="s">
        <v>449</v>
      </c>
      <c r="E863" s="5" t="s">
        <v>449</v>
      </c>
    </row>
    <row r="864" customFormat="false" ht="15" hidden="false" customHeight="true" outlineLevel="0" collapsed="false">
      <c r="A864" s="5" t="n">
        <v>173</v>
      </c>
      <c r="B864" s="5" t="s">
        <v>755</v>
      </c>
      <c r="C864" s="5" t="s">
        <v>110</v>
      </c>
      <c r="D864" s="5" t="s">
        <v>276</v>
      </c>
      <c r="E864" s="5" t="s">
        <v>277</v>
      </c>
    </row>
    <row r="865" customFormat="false" ht="15" hidden="false" customHeight="true" outlineLevel="0" collapsed="false">
      <c r="A865" s="5" t="n">
        <v>174</v>
      </c>
      <c r="B865" s="5" t="s">
        <v>756</v>
      </c>
      <c r="C865" s="5" t="s">
        <v>279</v>
      </c>
      <c r="D865" s="5" t="s">
        <v>437</v>
      </c>
      <c r="E865" s="5" t="s">
        <v>437</v>
      </c>
    </row>
    <row r="866" customFormat="false" ht="15" hidden="false" customHeight="true" outlineLevel="0" collapsed="false">
      <c r="A866" s="5" t="n">
        <v>174</v>
      </c>
      <c r="B866" s="5" t="s">
        <v>756</v>
      </c>
      <c r="C866" s="5" t="s">
        <v>279</v>
      </c>
      <c r="D866" s="5" t="s">
        <v>719</v>
      </c>
      <c r="E866" s="5" t="s">
        <v>720</v>
      </c>
    </row>
    <row r="867" customFormat="false" ht="15" hidden="false" customHeight="true" outlineLevel="0" collapsed="false">
      <c r="A867" s="5" t="n">
        <v>174</v>
      </c>
      <c r="B867" s="5" t="s">
        <v>756</v>
      </c>
      <c r="C867" s="5" t="s">
        <v>279</v>
      </c>
      <c r="D867" s="5" t="s">
        <v>307</v>
      </c>
      <c r="E867" s="5" t="s">
        <v>308</v>
      </c>
    </row>
    <row r="868" customFormat="false" ht="15" hidden="false" customHeight="true" outlineLevel="0" collapsed="false">
      <c r="A868" s="5" t="n">
        <v>174</v>
      </c>
      <c r="B868" s="5" t="s">
        <v>756</v>
      </c>
      <c r="C868" s="5" t="s">
        <v>279</v>
      </c>
      <c r="D868" s="5" t="s">
        <v>516</v>
      </c>
      <c r="E868" s="5" t="s">
        <v>517</v>
      </c>
    </row>
    <row r="869" customFormat="false" ht="15" hidden="false" customHeight="true" outlineLevel="0" collapsed="false">
      <c r="A869" s="5" t="n">
        <v>175</v>
      </c>
      <c r="B869" s="5" t="s">
        <v>757</v>
      </c>
      <c r="C869" s="5" t="s">
        <v>519</v>
      </c>
      <c r="D869" s="5" t="s">
        <v>565</v>
      </c>
      <c r="E869" s="5" t="s">
        <v>565</v>
      </c>
    </row>
    <row r="870" customFormat="false" ht="15" hidden="false" customHeight="true" outlineLevel="0" collapsed="false">
      <c r="A870" s="5" t="n">
        <v>175</v>
      </c>
      <c r="B870" s="5" t="s">
        <v>757</v>
      </c>
      <c r="C870" s="5" t="s">
        <v>519</v>
      </c>
      <c r="D870" s="5" t="s">
        <v>506</v>
      </c>
      <c r="E870" s="5" t="s">
        <v>507</v>
      </c>
    </row>
    <row r="871" customFormat="false" ht="15" hidden="false" customHeight="true" outlineLevel="0" collapsed="false">
      <c r="A871" s="5" t="n">
        <v>175</v>
      </c>
      <c r="B871" s="5" t="s">
        <v>757</v>
      </c>
      <c r="C871" s="5" t="s">
        <v>519</v>
      </c>
      <c r="D871" s="5" t="s">
        <v>584</v>
      </c>
      <c r="E871" s="5" t="s">
        <v>758</v>
      </c>
    </row>
    <row r="872" customFormat="false" ht="15" hidden="false" customHeight="true" outlineLevel="0" collapsed="false">
      <c r="A872" s="5" t="n">
        <v>175</v>
      </c>
      <c r="B872" s="5" t="s">
        <v>757</v>
      </c>
      <c r="C872" s="5" t="s">
        <v>519</v>
      </c>
      <c r="D872" s="5" t="s">
        <v>321</v>
      </c>
      <c r="E872" s="5" t="s">
        <v>322</v>
      </c>
    </row>
    <row r="873" customFormat="false" ht="15" hidden="false" customHeight="true" outlineLevel="0" collapsed="false">
      <c r="A873" s="5" t="n">
        <v>175</v>
      </c>
      <c r="B873" s="5" t="s">
        <v>757</v>
      </c>
      <c r="C873" s="5" t="s">
        <v>519</v>
      </c>
      <c r="D873" s="5" t="s">
        <v>508</v>
      </c>
      <c r="E873" s="5" t="s">
        <v>509</v>
      </c>
    </row>
    <row r="874" customFormat="false" ht="15" hidden="false" customHeight="true" outlineLevel="0" collapsed="false">
      <c r="A874" s="5" t="n">
        <v>176</v>
      </c>
      <c r="B874" s="5" t="s">
        <v>759</v>
      </c>
      <c r="C874" s="5" t="s">
        <v>77</v>
      </c>
      <c r="D874" s="5" t="s">
        <v>55</v>
      </c>
      <c r="E874" s="5" t="s">
        <v>55</v>
      </c>
    </row>
    <row r="875" customFormat="false" ht="15" hidden="false" customHeight="true" outlineLevel="0" collapsed="false">
      <c r="A875" s="5" t="n">
        <v>176</v>
      </c>
      <c r="B875" s="5" t="s">
        <v>759</v>
      </c>
      <c r="C875" s="5" t="s">
        <v>77</v>
      </c>
      <c r="D875" s="5" t="s">
        <v>27</v>
      </c>
      <c r="E875" s="5" t="s">
        <v>28</v>
      </c>
    </row>
    <row r="876" customFormat="false" ht="15" hidden="false" customHeight="true" outlineLevel="0" collapsed="false">
      <c r="A876" s="5" t="n">
        <v>176</v>
      </c>
      <c r="B876" s="5" t="s">
        <v>759</v>
      </c>
      <c r="C876" s="5" t="s">
        <v>77</v>
      </c>
      <c r="D876" s="5" t="s">
        <v>444</v>
      </c>
      <c r="E876" s="5" t="s">
        <v>760</v>
      </c>
    </row>
    <row r="877" customFormat="false" ht="15" hidden="false" customHeight="true" outlineLevel="0" collapsed="false">
      <c r="A877" s="5" t="n">
        <v>176</v>
      </c>
      <c r="B877" s="5" t="s">
        <v>759</v>
      </c>
      <c r="C877" s="5" t="s">
        <v>77</v>
      </c>
      <c r="D877" s="5" t="s">
        <v>761</v>
      </c>
      <c r="E877" s="5" t="s">
        <v>762</v>
      </c>
    </row>
    <row r="878" customFormat="false" ht="15" hidden="false" customHeight="true" outlineLevel="0" collapsed="false">
      <c r="A878" s="5" t="n">
        <v>177</v>
      </c>
      <c r="B878" s="5" t="s">
        <v>763</v>
      </c>
      <c r="C878" s="5" t="s">
        <v>148</v>
      </c>
      <c r="D878" s="5" t="s">
        <v>149</v>
      </c>
      <c r="E878" s="5" t="s">
        <v>149</v>
      </c>
    </row>
    <row r="879" customFormat="false" ht="15" hidden="false" customHeight="true" outlineLevel="0" collapsed="false">
      <c r="A879" s="5" t="n">
        <v>177</v>
      </c>
      <c r="B879" s="5" t="s">
        <v>763</v>
      </c>
      <c r="C879" s="5" t="s">
        <v>148</v>
      </c>
      <c r="D879" s="5" t="s">
        <v>390</v>
      </c>
      <c r="E879" s="5" t="s">
        <v>391</v>
      </c>
    </row>
    <row r="880" customFormat="false" ht="15" hidden="false" customHeight="true" outlineLevel="0" collapsed="false">
      <c r="A880" s="5" t="n">
        <v>177</v>
      </c>
      <c r="B880" s="5" t="s">
        <v>763</v>
      </c>
      <c r="C880" s="5" t="s">
        <v>148</v>
      </c>
      <c r="D880" s="5" t="s">
        <v>35</v>
      </c>
      <c r="E880" s="5" t="s">
        <v>36</v>
      </c>
    </row>
    <row r="881" customFormat="false" ht="15" hidden="false" customHeight="true" outlineLevel="0" collapsed="false">
      <c r="A881" s="5" t="n">
        <v>178</v>
      </c>
      <c r="B881" s="5" t="s">
        <v>764</v>
      </c>
      <c r="C881" s="5" t="s">
        <v>286</v>
      </c>
      <c r="D881" s="5" t="s">
        <v>287</v>
      </c>
      <c r="E881" s="5" t="s">
        <v>287</v>
      </c>
    </row>
    <row r="882" customFormat="false" ht="15" hidden="false" customHeight="true" outlineLevel="0" collapsed="false">
      <c r="A882" s="5" t="n">
        <v>178</v>
      </c>
      <c r="B882" s="5" t="s">
        <v>764</v>
      </c>
      <c r="C882" s="5" t="s">
        <v>286</v>
      </c>
      <c r="D882" s="5" t="s">
        <v>129</v>
      </c>
      <c r="E882" s="5" t="s">
        <v>129</v>
      </c>
    </row>
    <row r="883" customFormat="false" ht="15" hidden="false" customHeight="true" outlineLevel="0" collapsed="false">
      <c r="A883" s="5" t="n">
        <v>178</v>
      </c>
      <c r="B883" s="5" t="s">
        <v>764</v>
      </c>
      <c r="C883" s="5" t="s">
        <v>286</v>
      </c>
      <c r="D883" s="5" t="s">
        <v>719</v>
      </c>
      <c r="E883" s="5" t="s">
        <v>720</v>
      </c>
    </row>
    <row r="884" customFormat="false" ht="15" hidden="false" customHeight="true" outlineLevel="0" collapsed="false">
      <c r="A884" s="5" t="n">
        <v>178</v>
      </c>
      <c r="B884" s="5" t="s">
        <v>764</v>
      </c>
      <c r="C884" s="5" t="s">
        <v>286</v>
      </c>
      <c r="D884" s="5" t="s">
        <v>597</v>
      </c>
      <c r="E884" s="5" t="s">
        <v>598</v>
      </c>
    </row>
    <row r="885" customFormat="false" ht="15" hidden="false" customHeight="true" outlineLevel="0" collapsed="false">
      <c r="A885" s="5" t="n">
        <v>179</v>
      </c>
      <c r="B885" s="5" t="s">
        <v>765</v>
      </c>
      <c r="C885" s="5" t="s">
        <v>38</v>
      </c>
      <c r="D885" s="5" t="s">
        <v>251</v>
      </c>
      <c r="E885" s="5" t="s">
        <v>251</v>
      </c>
    </row>
    <row r="886" customFormat="false" ht="15" hidden="false" customHeight="true" outlineLevel="0" collapsed="false">
      <c r="A886" s="5" t="n">
        <v>179</v>
      </c>
      <c r="B886" s="5" t="s">
        <v>765</v>
      </c>
      <c r="C886" s="5" t="s">
        <v>38</v>
      </c>
      <c r="D886" s="5" t="s">
        <v>207</v>
      </c>
      <c r="E886" s="5" t="s">
        <v>657</v>
      </c>
    </row>
    <row r="887" customFormat="false" ht="15" hidden="false" customHeight="true" outlineLevel="0" collapsed="false">
      <c r="A887" s="5" t="n">
        <v>179</v>
      </c>
      <c r="B887" s="5" t="s">
        <v>765</v>
      </c>
      <c r="C887" s="5" t="s">
        <v>38</v>
      </c>
      <c r="D887" s="5" t="s">
        <v>225</v>
      </c>
      <c r="E887" s="5" t="s">
        <v>226</v>
      </c>
    </row>
    <row r="888" customFormat="false" ht="15" hidden="false" customHeight="true" outlineLevel="0" collapsed="false">
      <c r="A888" s="5" t="n">
        <v>180</v>
      </c>
      <c r="B888" s="5" t="s">
        <v>766</v>
      </c>
      <c r="C888" s="5" t="s">
        <v>154</v>
      </c>
      <c r="D888" s="5" t="s">
        <v>384</v>
      </c>
      <c r="E888" s="5" t="s">
        <v>384</v>
      </c>
    </row>
    <row r="889" customFormat="false" ht="15" hidden="false" customHeight="true" outlineLevel="0" collapsed="false">
      <c r="A889" s="5" t="n">
        <v>180</v>
      </c>
      <c r="B889" s="5" t="s">
        <v>766</v>
      </c>
      <c r="C889" s="5" t="s">
        <v>154</v>
      </c>
      <c r="D889" s="5" t="s">
        <v>68</v>
      </c>
      <c r="E889" s="5" t="s">
        <v>69</v>
      </c>
    </row>
    <row r="890" customFormat="false" ht="15" hidden="false" customHeight="true" outlineLevel="0" collapsed="false">
      <c r="A890" s="5" t="n">
        <v>180</v>
      </c>
      <c r="B890" s="5" t="s">
        <v>766</v>
      </c>
      <c r="C890" s="5" t="s">
        <v>154</v>
      </c>
      <c r="D890" s="5" t="s">
        <v>321</v>
      </c>
      <c r="E890" s="5" t="s">
        <v>767</v>
      </c>
    </row>
    <row r="891" customFormat="false" ht="15" hidden="false" customHeight="true" outlineLevel="0" collapsed="false">
      <c r="A891" s="5" t="n">
        <v>181</v>
      </c>
      <c r="B891" s="5" t="s">
        <v>768</v>
      </c>
      <c r="C891" s="5" t="s">
        <v>148</v>
      </c>
      <c r="D891" s="5" t="s">
        <v>149</v>
      </c>
      <c r="E891" s="5" t="s">
        <v>149</v>
      </c>
    </row>
    <row r="892" customFormat="false" ht="15" hidden="false" customHeight="true" outlineLevel="0" collapsed="false">
      <c r="A892" s="5" t="n">
        <v>181</v>
      </c>
      <c r="B892" s="5" t="s">
        <v>768</v>
      </c>
      <c r="C892" s="5" t="s">
        <v>148</v>
      </c>
      <c r="D892" s="5" t="s">
        <v>118</v>
      </c>
      <c r="E892" s="5" t="s">
        <v>206</v>
      </c>
    </row>
    <row r="893" customFormat="false" ht="15" hidden="false" customHeight="true" outlineLevel="0" collapsed="false">
      <c r="A893" s="5" t="n">
        <v>181</v>
      </c>
      <c r="B893" s="5" t="s">
        <v>768</v>
      </c>
      <c r="C893" s="5" t="s">
        <v>148</v>
      </c>
      <c r="D893" s="5" t="s">
        <v>230</v>
      </c>
      <c r="E893" s="5" t="s">
        <v>231</v>
      </c>
    </row>
    <row r="894" customFormat="false" ht="15" hidden="false" customHeight="true" outlineLevel="0" collapsed="false">
      <c r="A894" s="5" t="n">
        <v>181</v>
      </c>
      <c r="B894" s="5" t="s">
        <v>768</v>
      </c>
      <c r="C894" s="5" t="s">
        <v>148</v>
      </c>
      <c r="D894" s="5" t="s">
        <v>189</v>
      </c>
      <c r="E894" s="5" t="s">
        <v>189</v>
      </c>
    </row>
    <row r="895" customFormat="false" ht="15" hidden="false" customHeight="true" outlineLevel="0" collapsed="false">
      <c r="A895" s="5" t="n">
        <v>181</v>
      </c>
      <c r="B895" s="5" t="s">
        <v>768</v>
      </c>
      <c r="C895" s="5" t="s">
        <v>148</v>
      </c>
      <c r="D895" s="5" t="s">
        <v>632</v>
      </c>
      <c r="E895" s="5" t="s">
        <v>633</v>
      </c>
    </row>
    <row r="896" customFormat="false" ht="15" hidden="false" customHeight="true" outlineLevel="0" collapsed="false">
      <c r="A896" s="5" t="n">
        <v>182</v>
      </c>
      <c r="B896" s="5" t="s">
        <v>769</v>
      </c>
      <c r="C896" s="5" t="s">
        <v>210</v>
      </c>
      <c r="D896" s="5" t="s">
        <v>770</v>
      </c>
      <c r="E896" s="5" t="s">
        <v>771</v>
      </c>
    </row>
    <row r="897" customFormat="false" ht="15" hidden="false" customHeight="true" outlineLevel="0" collapsed="false">
      <c r="A897" s="5" t="n">
        <v>182</v>
      </c>
      <c r="B897" s="5" t="s">
        <v>769</v>
      </c>
      <c r="C897" s="5" t="s">
        <v>210</v>
      </c>
      <c r="D897" s="5" t="s">
        <v>207</v>
      </c>
      <c r="E897" s="5" t="s">
        <v>657</v>
      </c>
    </row>
    <row r="898" customFormat="false" ht="15" hidden="false" customHeight="true" outlineLevel="0" collapsed="false">
      <c r="A898" s="5" t="n">
        <v>182</v>
      </c>
      <c r="B898" s="5" t="s">
        <v>769</v>
      </c>
      <c r="C898" s="5" t="s">
        <v>210</v>
      </c>
      <c r="D898" s="5" t="s">
        <v>225</v>
      </c>
      <c r="E898" s="5" t="s">
        <v>226</v>
      </c>
    </row>
    <row r="899" customFormat="false" ht="15" hidden="false" customHeight="true" outlineLevel="0" collapsed="false">
      <c r="A899" s="5" t="n">
        <v>182</v>
      </c>
      <c r="B899" s="5" t="s">
        <v>769</v>
      </c>
      <c r="C899" s="5" t="s">
        <v>210</v>
      </c>
      <c r="D899" s="5" t="s">
        <v>42</v>
      </c>
      <c r="E899" s="5" t="s">
        <v>43</v>
      </c>
    </row>
    <row r="900" customFormat="false" ht="15" hidden="false" customHeight="true" outlineLevel="0" collapsed="false">
      <c r="A900" s="5" t="n">
        <v>182</v>
      </c>
      <c r="B900" s="5" t="s">
        <v>769</v>
      </c>
      <c r="C900" s="5" t="s">
        <v>210</v>
      </c>
      <c r="D900" s="5" t="s">
        <v>59</v>
      </c>
      <c r="E900" s="5" t="s">
        <v>60</v>
      </c>
    </row>
    <row r="901" customFormat="false" ht="15" hidden="false" customHeight="true" outlineLevel="0" collapsed="false">
      <c r="A901" s="5" t="n">
        <v>183</v>
      </c>
      <c r="B901" s="5" t="s">
        <v>772</v>
      </c>
      <c r="C901" s="5" t="s">
        <v>163</v>
      </c>
      <c r="D901" s="5" t="s">
        <v>773</v>
      </c>
      <c r="E901" s="5" t="s">
        <v>773</v>
      </c>
    </row>
    <row r="902" customFormat="false" ht="15" hidden="false" customHeight="true" outlineLevel="0" collapsed="false">
      <c r="A902" s="5" t="n">
        <v>183</v>
      </c>
      <c r="B902" s="5" t="s">
        <v>772</v>
      </c>
      <c r="C902" s="5" t="s">
        <v>163</v>
      </c>
      <c r="D902" s="5" t="s">
        <v>338</v>
      </c>
      <c r="E902" s="5" t="s">
        <v>339</v>
      </c>
    </row>
    <row r="903" customFormat="false" ht="15" hidden="false" customHeight="true" outlineLevel="0" collapsed="false">
      <c r="A903" s="5" t="n">
        <v>183</v>
      </c>
      <c r="B903" s="5" t="s">
        <v>772</v>
      </c>
      <c r="C903" s="5" t="s">
        <v>163</v>
      </c>
      <c r="D903" s="5" t="s">
        <v>68</v>
      </c>
      <c r="E903" s="5" t="s">
        <v>69</v>
      </c>
    </row>
    <row r="904" customFormat="false" ht="15" hidden="false" customHeight="true" outlineLevel="0" collapsed="false">
      <c r="A904" s="5" t="n">
        <v>184</v>
      </c>
      <c r="B904" s="5" t="s">
        <v>774</v>
      </c>
      <c r="C904" s="5" t="s">
        <v>279</v>
      </c>
      <c r="D904" s="5" t="s">
        <v>129</v>
      </c>
      <c r="E904" s="5" t="s">
        <v>129</v>
      </c>
    </row>
    <row r="905" customFormat="false" ht="15" hidden="false" customHeight="true" outlineLevel="0" collapsed="false">
      <c r="A905" s="5" t="n">
        <v>184</v>
      </c>
      <c r="B905" s="5" t="s">
        <v>774</v>
      </c>
      <c r="C905" s="5" t="s">
        <v>279</v>
      </c>
      <c r="D905" s="5" t="s">
        <v>465</v>
      </c>
      <c r="E905" s="5" t="s">
        <v>466</v>
      </c>
    </row>
    <row r="906" customFormat="false" ht="15" hidden="false" customHeight="true" outlineLevel="0" collapsed="false">
      <c r="A906" s="5" t="n">
        <v>184</v>
      </c>
      <c r="B906" s="5" t="s">
        <v>774</v>
      </c>
      <c r="C906" s="5" t="s">
        <v>279</v>
      </c>
      <c r="D906" s="5" t="s">
        <v>469</v>
      </c>
      <c r="E906" s="5" t="s">
        <v>470</v>
      </c>
    </row>
    <row r="907" customFormat="false" ht="15" hidden="false" customHeight="true" outlineLevel="0" collapsed="false">
      <c r="A907" s="5" t="n">
        <v>184</v>
      </c>
      <c r="B907" s="5" t="s">
        <v>774</v>
      </c>
      <c r="C907" s="5" t="s">
        <v>279</v>
      </c>
      <c r="D907" s="5" t="s">
        <v>35</v>
      </c>
      <c r="E907" s="5" t="s">
        <v>36</v>
      </c>
    </row>
    <row r="908" customFormat="false" ht="15" hidden="false" customHeight="true" outlineLevel="0" collapsed="false">
      <c r="A908" s="5" t="n">
        <v>185</v>
      </c>
      <c r="B908" s="5" t="s">
        <v>775</v>
      </c>
      <c r="C908" s="5" t="s">
        <v>64</v>
      </c>
      <c r="D908" s="5" t="s">
        <v>320</v>
      </c>
      <c r="E908" s="5" t="s">
        <v>320</v>
      </c>
    </row>
    <row r="909" customFormat="false" ht="15" hidden="false" customHeight="true" outlineLevel="0" collapsed="false">
      <c r="A909" s="5" t="n">
        <v>185</v>
      </c>
      <c r="B909" s="5" t="s">
        <v>775</v>
      </c>
      <c r="C909" s="5" t="s">
        <v>64</v>
      </c>
      <c r="D909" s="5" t="s">
        <v>716</v>
      </c>
      <c r="E909" s="5" t="s">
        <v>717</v>
      </c>
    </row>
    <row r="910" customFormat="false" ht="15" hidden="false" customHeight="true" outlineLevel="0" collapsed="false">
      <c r="A910" s="5" t="n">
        <v>185</v>
      </c>
      <c r="B910" s="5" t="s">
        <v>775</v>
      </c>
      <c r="C910" s="5" t="s">
        <v>64</v>
      </c>
      <c r="D910" s="5" t="s">
        <v>156</v>
      </c>
      <c r="E910" s="5" t="s">
        <v>157</v>
      </c>
    </row>
    <row r="911" customFormat="false" ht="15" hidden="false" customHeight="true" outlineLevel="0" collapsed="false">
      <c r="A911" s="5" t="n">
        <v>185</v>
      </c>
      <c r="B911" s="5" t="s">
        <v>775</v>
      </c>
      <c r="C911" s="5" t="s">
        <v>64</v>
      </c>
      <c r="D911" s="5" t="s">
        <v>44</v>
      </c>
      <c r="E911" s="5" t="s">
        <v>99</v>
      </c>
    </row>
    <row r="912" customFormat="false" ht="15" hidden="false" customHeight="true" outlineLevel="0" collapsed="false">
      <c r="A912" s="5" t="n">
        <v>185</v>
      </c>
      <c r="B912" s="5" t="s">
        <v>775</v>
      </c>
      <c r="C912" s="5" t="s">
        <v>64</v>
      </c>
      <c r="D912" s="5" t="s">
        <v>532</v>
      </c>
      <c r="E912" s="5" t="s">
        <v>533</v>
      </c>
    </row>
    <row r="913" customFormat="false" ht="15" hidden="false" customHeight="true" outlineLevel="0" collapsed="false">
      <c r="A913" s="5" t="n">
        <v>186</v>
      </c>
      <c r="B913" s="5" t="s">
        <v>776</v>
      </c>
      <c r="C913" s="5" t="s">
        <v>171</v>
      </c>
      <c r="D913" s="5" t="s">
        <v>172</v>
      </c>
      <c r="E913" s="5" t="s">
        <v>172</v>
      </c>
    </row>
    <row r="914" customFormat="false" ht="15" hidden="false" customHeight="true" outlineLevel="0" collapsed="false">
      <c r="A914" s="5" t="n">
        <v>186</v>
      </c>
      <c r="B914" s="5" t="s">
        <v>776</v>
      </c>
      <c r="C914" s="5" t="s">
        <v>171</v>
      </c>
      <c r="D914" s="5" t="s">
        <v>777</v>
      </c>
      <c r="E914" s="5" t="s">
        <v>778</v>
      </c>
    </row>
    <row r="915" customFormat="false" ht="15" hidden="false" customHeight="true" outlineLevel="0" collapsed="false">
      <c r="A915" s="5" t="n">
        <v>186</v>
      </c>
      <c r="B915" s="5" t="s">
        <v>776</v>
      </c>
      <c r="C915" s="5" t="s">
        <v>171</v>
      </c>
      <c r="D915" s="5" t="s">
        <v>587</v>
      </c>
      <c r="E915" s="5" t="s">
        <v>779</v>
      </c>
    </row>
    <row r="916" customFormat="false" ht="15" hidden="false" customHeight="true" outlineLevel="0" collapsed="false">
      <c r="A916" s="5" t="n">
        <v>187</v>
      </c>
      <c r="B916" s="5" t="s">
        <v>780</v>
      </c>
      <c r="C916" s="5" t="s">
        <v>519</v>
      </c>
      <c r="D916" s="5" t="s">
        <v>520</v>
      </c>
      <c r="E916" s="5" t="s">
        <v>520</v>
      </c>
    </row>
    <row r="917" customFormat="false" ht="15" hidden="false" customHeight="true" outlineLevel="0" collapsed="false">
      <c r="A917" s="5" t="n">
        <v>187</v>
      </c>
      <c r="B917" s="5" t="s">
        <v>780</v>
      </c>
      <c r="C917" s="5" t="s">
        <v>519</v>
      </c>
      <c r="D917" s="5" t="s">
        <v>112</v>
      </c>
      <c r="E917" s="5" t="s">
        <v>113</v>
      </c>
    </row>
    <row r="918" customFormat="false" ht="15" hidden="false" customHeight="true" outlineLevel="0" collapsed="false">
      <c r="A918" s="5" t="n">
        <v>187</v>
      </c>
      <c r="B918" s="5" t="s">
        <v>780</v>
      </c>
      <c r="C918" s="5" t="s">
        <v>519</v>
      </c>
      <c r="D918" s="5" t="s">
        <v>465</v>
      </c>
      <c r="E918" s="5" t="s">
        <v>466</v>
      </c>
    </row>
    <row r="919" customFormat="false" ht="15" hidden="false" customHeight="true" outlineLevel="0" collapsed="false">
      <c r="A919" s="5" t="n">
        <v>187</v>
      </c>
      <c r="B919" s="5" t="s">
        <v>780</v>
      </c>
      <c r="C919" s="5" t="s">
        <v>519</v>
      </c>
      <c r="D919" s="5" t="s">
        <v>263</v>
      </c>
      <c r="E919" s="5" t="s">
        <v>264</v>
      </c>
    </row>
    <row r="920" customFormat="false" ht="15" hidden="false" customHeight="true" outlineLevel="0" collapsed="false">
      <c r="A920" s="5" t="n">
        <v>187</v>
      </c>
      <c r="B920" s="5" t="s">
        <v>780</v>
      </c>
      <c r="C920" s="5" t="s">
        <v>519</v>
      </c>
      <c r="D920" s="5" t="s">
        <v>300</v>
      </c>
      <c r="E920" s="5" t="s">
        <v>781</v>
      </c>
    </row>
    <row r="921" customFormat="false" ht="15" hidden="false" customHeight="true" outlineLevel="0" collapsed="false">
      <c r="A921" s="5" t="n">
        <v>188</v>
      </c>
      <c r="B921" s="5" t="s">
        <v>782</v>
      </c>
      <c r="C921" s="5" t="s">
        <v>239</v>
      </c>
      <c r="D921" s="5" t="s">
        <v>601</v>
      </c>
      <c r="E921" s="5" t="s">
        <v>601</v>
      </c>
    </row>
    <row r="922" customFormat="false" ht="15" hidden="false" customHeight="true" outlineLevel="0" collapsed="false">
      <c r="A922" s="5" t="n">
        <v>188</v>
      </c>
      <c r="B922" s="5" t="s">
        <v>782</v>
      </c>
      <c r="C922" s="5" t="s">
        <v>239</v>
      </c>
      <c r="D922" s="5" t="s">
        <v>204</v>
      </c>
      <c r="E922" s="5" t="s">
        <v>243</v>
      </c>
    </row>
    <row r="923" customFormat="false" ht="15" hidden="false" customHeight="true" outlineLevel="0" collapsed="false">
      <c r="A923" s="5" t="n">
        <v>188</v>
      </c>
      <c r="B923" s="5" t="s">
        <v>782</v>
      </c>
      <c r="C923" s="5" t="s">
        <v>239</v>
      </c>
      <c r="D923" s="5" t="s">
        <v>223</v>
      </c>
      <c r="E923" s="5" t="s">
        <v>224</v>
      </c>
    </row>
    <row r="924" customFormat="false" ht="15" hidden="false" customHeight="true" outlineLevel="0" collapsed="false">
      <c r="A924" s="5" t="n">
        <v>188</v>
      </c>
      <c r="B924" s="5" t="s">
        <v>782</v>
      </c>
      <c r="C924" s="5" t="s">
        <v>239</v>
      </c>
      <c r="D924" s="5" t="s">
        <v>118</v>
      </c>
      <c r="E924" s="5" t="s">
        <v>206</v>
      </c>
    </row>
    <row r="925" customFormat="false" ht="15" hidden="false" customHeight="true" outlineLevel="0" collapsed="false">
      <c r="A925" s="5" t="n">
        <v>189</v>
      </c>
      <c r="B925" s="5" t="s">
        <v>783</v>
      </c>
      <c r="C925" s="5" t="s">
        <v>286</v>
      </c>
      <c r="D925" s="5" t="s">
        <v>287</v>
      </c>
      <c r="E925" s="5" t="s">
        <v>287</v>
      </c>
    </row>
    <row r="926" customFormat="false" ht="15" hidden="false" customHeight="true" outlineLevel="0" collapsed="false">
      <c r="A926" s="5" t="n">
        <v>189</v>
      </c>
      <c r="B926" s="5" t="s">
        <v>783</v>
      </c>
      <c r="C926" s="5" t="s">
        <v>286</v>
      </c>
      <c r="D926" s="5" t="s">
        <v>91</v>
      </c>
      <c r="E926" s="5" t="s">
        <v>92</v>
      </c>
    </row>
    <row r="927" customFormat="false" ht="15" hidden="false" customHeight="true" outlineLevel="0" collapsed="false">
      <c r="A927" s="5" t="n">
        <v>189</v>
      </c>
      <c r="B927" s="5" t="s">
        <v>783</v>
      </c>
      <c r="C927" s="5" t="s">
        <v>286</v>
      </c>
      <c r="D927" s="5" t="s">
        <v>27</v>
      </c>
      <c r="E927" s="5" t="s">
        <v>28</v>
      </c>
    </row>
    <row r="928" customFormat="false" ht="15" hidden="false" customHeight="true" outlineLevel="0" collapsed="false">
      <c r="A928" s="5" t="n">
        <v>189</v>
      </c>
      <c r="B928" s="5" t="s">
        <v>783</v>
      </c>
      <c r="C928" s="5" t="s">
        <v>286</v>
      </c>
      <c r="D928" s="5" t="s">
        <v>89</v>
      </c>
      <c r="E928" s="5" t="s">
        <v>90</v>
      </c>
    </row>
    <row r="929" customFormat="false" ht="15" hidden="false" customHeight="true" outlineLevel="0" collapsed="false">
      <c r="A929" s="5" t="n">
        <v>190</v>
      </c>
      <c r="B929" s="5" t="s">
        <v>784</v>
      </c>
      <c r="C929" s="5" t="s">
        <v>84</v>
      </c>
      <c r="D929" s="5" t="s">
        <v>26</v>
      </c>
      <c r="E929" s="5" t="s">
        <v>26</v>
      </c>
    </row>
    <row r="930" customFormat="false" ht="15" hidden="false" customHeight="true" outlineLevel="0" collapsed="false">
      <c r="A930" s="5" t="n">
        <v>190</v>
      </c>
      <c r="B930" s="5" t="s">
        <v>784</v>
      </c>
      <c r="C930" s="5" t="s">
        <v>84</v>
      </c>
      <c r="D930" s="5" t="s">
        <v>441</v>
      </c>
      <c r="E930" s="5" t="s">
        <v>442</v>
      </c>
    </row>
    <row r="931" customFormat="false" ht="15" hidden="false" customHeight="true" outlineLevel="0" collapsed="false">
      <c r="A931" s="5" t="n">
        <v>190</v>
      </c>
      <c r="B931" s="5" t="s">
        <v>784</v>
      </c>
      <c r="C931" s="5" t="s">
        <v>84</v>
      </c>
      <c r="D931" s="5" t="s">
        <v>428</v>
      </c>
      <c r="E931" s="5" t="s">
        <v>429</v>
      </c>
    </row>
    <row r="932" customFormat="false" ht="15" hidden="false" customHeight="true" outlineLevel="0" collapsed="false">
      <c r="A932" s="5" t="n">
        <v>191</v>
      </c>
      <c r="B932" s="5" t="s">
        <v>785</v>
      </c>
      <c r="C932" s="5" t="s">
        <v>96</v>
      </c>
      <c r="D932" s="5" t="s">
        <v>444</v>
      </c>
      <c r="E932" s="5" t="s">
        <v>444</v>
      </c>
    </row>
    <row r="933" customFormat="false" ht="15" hidden="false" customHeight="true" outlineLevel="0" collapsed="false">
      <c r="A933" s="5" t="n">
        <v>191</v>
      </c>
      <c r="B933" s="5" t="s">
        <v>785</v>
      </c>
      <c r="C933" s="5" t="s">
        <v>96</v>
      </c>
      <c r="D933" s="5" t="s">
        <v>27</v>
      </c>
      <c r="E933" s="5" t="s">
        <v>28</v>
      </c>
    </row>
    <row r="934" customFormat="false" ht="15" hidden="false" customHeight="true" outlineLevel="0" collapsed="false">
      <c r="A934" s="5" t="n">
        <v>191</v>
      </c>
      <c r="B934" s="5" t="s">
        <v>785</v>
      </c>
      <c r="C934" s="5" t="s">
        <v>96</v>
      </c>
      <c r="D934" s="5" t="s">
        <v>786</v>
      </c>
      <c r="E934" s="5" t="s">
        <v>787</v>
      </c>
    </row>
    <row r="935" customFormat="false" ht="15" hidden="false" customHeight="true" outlineLevel="0" collapsed="false">
      <c r="A935" s="5" t="n">
        <v>191</v>
      </c>
      <c r="B935" s="5" t="s">
        <v>785</v>
      </c>
      <c r="C935" s="5" t="s">
        <v>96</v>
      </c>
      <c r="D935" s="5" t="s">
        <v>35</v>
      </c>
      <c r="E935" s="5" t="s">
        <v>36</v>
      </c>
    </row>
    <row r="936" customFormat="false" ht="15" hidden="false" customHeight="true" outlineLevel="0" collapsed="false">
      <c r="A936" s="5" t="n">
        <v>192</v>
      </c>
      <c r="B936" s="5" t="s">
        <v>788</v>
      </c>
      <c r="C936" s="5" t="s">
        <v>260</v>
      </c>
      <c r="D936" s="5" t="s">
        <v>789</v>
      </c>
      <c r="E936" s="5" t="s">
        <v>789</v>
      </c>
    </row>
    <row r="937" customFormat="false" ht="15" hidden="false" customHeight="true" outlineLevel="0" collapsed="false">
      <c r="A937" s="5" t="n">
        <v>192</v>
      </c>
      <c r="B937" s="5" t="s">
        <v>788</v>
      </c>
      <c r="C937" s="5" t="s">
        <v>260</v>
      </c>
      <c r="D937" s="5" t="s">
        <v>219</v>
      </c>
      <c r="E937" s="5" t="s">
        <v>220</v>
      </c>
    </row>
    <row r="938" customFormat="false" ht="15" hidden="false" customHeight="true" outlineLevel="0" collapsed="false">
      <c r="A938" s="5" t="n">
        <v>193</v>
      </c>
      <c r="B938" s="5" t="s">
        <v>790</v>
      </c>
      <c r="C938" s="5" t="s">
        <v>154</v>
      </c>
      <c r="D938" s="5" t="s">
        <v>349</v>
      </c>
      <c r="E938" s="5" t="s">
        <v>349</v>
      </c>
    </row>
    <row r="939" customFormat="false" ht="15" hidden="false" customHeight="true" outlineLevel="0" collapsed="false">
      <c r="A939" s="5" t="n">
        <v>193</v>
      </c>
      <c r="B939" s="5" t="s">
        <v>790</v>
      </c>
      <c r="C939" s="5" t="s">
        <v>154</v>
      </c>
      <c r="D939" s="5" t="s">
        <v>424</v>
      </c>
      <c r="E939" s="5" t="s">
        <v>425</v>
      </c>
    </row>
    <row r="940" customFormat="false" ht="15" hidden="false" customHeight="true" outlineLevel="0" collapsed="false">
      <c r="A940" s="5" t="n">
        <v>193</v>
      </c>
      <c r="B940" s="5" t="s">
        <v>790</v>
      </c>
      <c r="C940" s="5" t="s">
        <v>154</v>
      </c>
      <c r="D940" s="5" t="s">
        <v>460</v>
      </c>
      <c r="E940" s="5" t="s">
        <v>461</v>
      </c>
    </row>
    <row r="941" customFormat="false" ht="15" hidden="false" customHeight="true" outlineLevel="0" collapsed="false">
      <c r="A941" s="5" t="n">
        <v>193</v>
      </c>
      <c r="B941" s="5" t="s">
        <v>790</v>
      </c>
      <c r="C941" s="5" t="s">
        <v>154</v>
      </c>
      <c r="D941" s="5" t="s">
        <v>74</v>
      </c>
      <c r="E941" s="5" t="s">
        <v>75</v>
      </c>
    </row>
    <row r="942" customFormat="false" ht="15" hidden="false" customHeight="true" outlineLevel="0" collapsed="false">
      <c r="A942" s="5" t="n">
        <v>194</v>
      </c>
      <c r="B942" s="5" t="s">
        <v>791</v>
      </c>
      <c r="C942" s="5" t="s">
        <v>106</v>
      </c>
      <c r="D942" s="5" t="s">
        <v>792</v>
      </c>
      <c r="E942" s="5" t="s">
        <v>792</v>
      </c>
    </row>
    <row r="943" customFormat="false" ht="15" hidden="false" customHeight="true" outlineLevel="0" collapsed="false">
      <c r="A943" s="5" t="n">
        <v>194</v>
      </c>
      <c r="B943" s="5" t="s">
        <v>791</v>
      </c>
      <c r="C943" s="5" t="s">
        <v>106</v>
      </c>
      <c r="D943" s="5" t="s">
        <v>107</v>
      </c>
      <c r="E943" s="5" t="s">
        <v>108</v>
      </c>
    </row>
    <row r="944" customFormat="false" ht="15" hidden="false" customHeight="true" outlineLevel="0" collapsed="false">
      <c r="A944" s="5" t="n">
        <v>194</v>
      </c>
      <c r="B944" s="5" t="s">
        <v>791</v>
      </c>
      <c r="C944" s="5" t="s">
        <v>106</v>
      </c>
      <c r="D944" s="5" t="s">
        <v>251</v>
      </c>
      <c r="E944" s="5" t="s">
        <v>252</v>
      </c>
    </row>
    <row r="945" customFormat="false" ht="15" hidden="false" customHeight="true" outlineLevel="0" collapsed="false">
      <c r="A945" s="5" t="n">
        <v>195</v>
      </c>
      <c r="B945" s="5" t="s">
        <v>793</v>
      </c>
      <c r="C945" s="5" t="s">
        <v>125</v>
      </c>
      <c r="D945" s="5" t="s">
        <v>126</v>
      </c>
      <c r="E945" s="5" t="s">
        <v>126</v>
      </c>
    </row>
    <row r="946" customFormat="false" ht="15" hidden="false" customHeight="true" outlineLevel="0" collapsed="false">
      <c r="A946" s="5" t="n">
        <v>195</v>
      </c>
      <c r="B946" s="5" t="s">
        <v>793</v>
      </c>
      <c r="C946" s="5" t="s">
        <v>125</v>
      </c>
      <c r="D946" s="5" t="s">
        <v>465</v>
      </c>
      <c r="E946" s="5" t="s">
        <v>466</v>
      </c>
    </row>
    <row r="947" customFormat="false" ht="15" hidden="false" customHeight="true" outlineLevel="0" collapsed="false">
      <c r="A947" s="5" t="n">
        <v>195</v>
      </c>
      <c r="B947" s="5" t="s">
        <v>793</v>
      </c>
      <c r="C947" s="5" t="s">
        <v>125</v>
      </c>
      <c r="D947" s="5" t="s">
        <v>107</v>
      </c>
      <c r="E947" s="5" t="s">
        <v>108</v>
      </c>
    </row>
    <row r="948" customFormat="false" ht="15" hidden="false" customHeight="true" outlineLevel="0" collapsed="false">
      <c r="A948" s="5" t="n">
        <v>195</v>
      </c>
      <c r="B948" s="5" t="s">
        <v>793</v>
      </c>
      <c r="C948" s="5" t="s">
        <v>125</v>
      </c>
      <c r="D948" s="5" t="s">
        <v>35</v>
      </c>
      <c r="E948" s="5" t="s">
        <v>36</v>
      </c>
    </row>
    <row r="949" customFormat="false" ht="15" hidden="false" customHeight="true" outlineLevel="0" collapsed="false">
      <c r="A949" s="5" t="n">
        <v>196</v>
      </c>
      <c r="B949" s="5" t="s">
        <v>794</v>
      </c>
      <c r="C949" s="5" t="s">
        <v>51</v>
      </c>
      <c r="D949" s="5" t="s">
        <v>341</v>
      </c>
      <c r="E949" s="5" t="s">
        <v>341</v>
      </c>
    </row>
    <row r="950" customFormat="false" ht="15" hidden="false" customHeight="true" outlineLevel="0" collapsed="false">
      <c r="A950" s="5" t="n">
        <v>196</v>
      </c>
      <c r="B950" s="5" t="s">
        <v>794</v>
      </c>
      <c r="C950" s="5" t="s">
        <v>51</v>
      </c>
      <c r="D950" s="5" t="s">
        <v>193</v>
      </c>
      <c r="E950" s="5" t="s">
        <v>194</v>
      </c>
    </row>
    <row r="951" customFormat="false" ht="15" hidden="false" customHeight="true" outlineLevel="0" collapsed="false">
      <c r="A951" s="5" t="n">
        <v>196</v>
      </c>
      <c r="B951" s="5" t="s">
        <v>794</v>
      </c>
      <c r="C951" s="5" t="s">
        <v>51</v>
      </c>
      <c r="D951" s="5" t="s">
        <v>195</v>
      </c>
      <c r="E951" s="5" t="s">
        <v>196</v>
      </c>
    </row>
    <row r="952" customFormat="false" ht="15" hidden="false" customHeight="true" outlineLevel="0" collapsed="false">
      <c r="A952" s="5" t="n">
        <v>196</v>
      </c>
      <c r="B952" s="5" t="s">
        <v>794</v>
      </c>
      <c r="C952" s="5" t="s">
        <v>51</v>
      </c>
      <c r="D952" s="5" t="s">
        <v>111</v>
      </c>
      <c r="E952" s="5" t="s">
        <v>213</v>
      </c>
    </row>
    <row r="953" customFormat="false" ht="15" hidden="false" customHeight="true" outlineLevel="0" collapsed="false">
      <c r="A953" s="5" t="n">
        <v>196</v>
      </c>
      <c r="B953" s="5" t="s">
        <v>794</v>
      </c>
      <c r="C953" s="5" t="s">
        <v>51</v>
      </c>
      <c r="D953" s="5" t="s">
        <v>118</v>
      </c>
      <c r="E953" s="5" t="s">
        <v>206</v>
      </c>
    </row>
    <row r="954" customFormat="false" ht="15" hidden="false" customHeight="true" outlineLevel="0" collapsed="false">
      <c r="A954" s="5" t="n">
        <v>197</v>
      </c>
      <c r="B954" s="5" t="s">
        <v>795</v>
      </c>
      <c r="C954" s="5" t="s">
        <v>181</v>
      </c>
      <c r="D954" s="5" t="s">
        <v>118</v>
      </c>
      <c r="E954" s="5" t="s">
        <v>118</v>
      </c>
    </row>
    <row r="955" customFormat="false" ht="15" hidden="false" customHeight="true" outlineLevel="0" collapsed="false">
      <c r="A955" s="5" t="n">
        <v>197</v>
      </c>
      <c r="B955" s="5" t="s">
        <v>795</v>
      </c>
      <c r="C955" s="5" t="s">
        <v>181</v>
      </c>
      <c r="D955" s="5" t="s">
        <v>132</v>
      </c>
      <c r="E955" s="5" t="s">
        <v>133</v>
      </c>
    </row>
    <row r="956" customFormat="false" ht="15" hidden="false" customHeight="true" outlineLevel="0" collapsed="false">
      <c r="A956" s="5" t="n">
        <v>197</v>
      </c>
      <c r="B956" s="5" t="s">
        <v>795</v>
      </c>
      <c r="C956" s="5" t="s">
        <v>181</v>
      </c>
      <c r="D956" s="5" t="s">
        <v>46</v>
      </c>
      <c r="E956" s="5" t="s">
        <v>47</v>
      </c>
    </row>
    <row r="957" customFormat="false" ht="15" hidden="false" customHeight="true" outlineLevel="0" collapsed="false">
      <c r="A957" s="5" t="n">
        <v>197</v>
      </c>
      <c r="B957" s="5" t="s">
        <v>795</v>
      </c>
      <c r="C957" s="5" t="s">
        <v>181</v>
      </c>
      <c r="D957" s="5" t="s">
        <v>112</v>
      </c>
      <c r="E957" s="5" t="s">
        <v>113</v>
      </c>
    </row>
    <row r="958" customFormat="false" ht="15" hidden="false" customHeight="true" outlineLevel="0" collapsed="false">
      <c r="A958" s="5" t="n">
        <v>197</v>
      </c>
      <c r="B958" s="5" t="s">
        <v>795</v>
      </c>
      <c r="C958" s="5" t="s">
        <v>181</v>
      </c>
      <c r="D958" s="5" t="s">
        <v>61</v>
      </c>
      <c r="E958" s="5" t="s">
        <v>104</v>
      </c>
    </row>
    <row r="959" customFormat="false" ht="15" hidden="false" customHeight="true" outlineLevel="0" collapsed="false">
      <c r="A959" s="5" t="n">
        <v>198</v>
      </c>
      <c r="B959" s="5" t="s">
        <v>796</v>
      </c>
      <c r="C959" s="5" t="s">
        <v>77</v>
      </c>
      <c r="D959" s="5" t="s">
        <v>797</v>
      </c>
      <c r="E959" s="5" t="s">
        <v>797</v>
      </c>
    </row>
    <row r="960" customFormat="false" ht="15" hidden="false" customHeight="true" outlineLevel="0" collapsed="false">
      <c r="A960" s="5" t="n">
        <v>198</v>
      </c>
      <c r="B960" s="5" t="s">
        <v>796</v>
      </c>
      <c r="C960" s="5" t="s">
        <v>77</v>
      </c>
      <c r="D960" s="5" t="s">
        <v>27</v>
      </c>
      <c r="E960" s="5" t="s">
        <v>28</v>
      </c>
    </row>
    <row r="961" customFormat="false" ht="15" hidden="false" customHeight="true" outlineLevel="0" collapsed="false">
      <c r="A961" s="5" t="n">
        <v>198</v>
      </c>
      <c r="B961" s="5" t="s">
        <v>796</v>
      </c>
      <c r="C961" s="5" t="s">
        <v>77</v>
      </c>
      <c r="D961" s="5" t="s">
        <v>532</v>
      </c>
      <c r="E961" s="5" t="s">
        <v>533</v>
      </c>
    </row>
    <row r="962" customFormat="false" ht="15" hidden="false" customHeight="true" outlineLevel="0" collapsed="false">
      <c r="A962" s="5" t="n">
        <v>198</v>
      </c>
      <c r="B962" s="5" t="s">
        <v>796</v>
      </c>
      <c r="C962" s="5" t="s">
        <v>77</v>
      </c>
      <c r="D962" s="5" t="s">
        <v>667</v>
      </c>
      <c r="E962" s="5" t="s">
        <v>798</v>
      </c>
    </row>
    <row r="963" customFormat="false" ht="15" hidden="false" customHeight="true" outlineLevel="0" collapsed="false">
      <c r="A963" s="5" t="n">
        <v>199</v>
      </c>
      <c r="B963" s="5" t="s">
        <v>799</v>
      </c>
      <c r="C963" s="5" t="s">
        <v>25</v>
      </c>
      <c r="D963" s="5" t="s">
        <v>310</v>
      </c>
      <c r="E963" s="5" t="s">
        <v>310</v>
      </c>
    </row>
    <row r="964" customFormat="false" ht="15" hidden="false" customHeight="true" outlineLevel="0" collapsed="false">
      <c r="A964" s="5" t="n">
        <v>199</v>
      </c>
      <c r="B964" s="5" t="s">
        <v>799</v>
      </c>
      <c r="C964" s="5" t="s">
        <v>25</v>
      </c>
      <c r="D964" s="5" t="s">
        <v>349</v>
      </c>
      <c r="E964" s="5" t="s">
        <v>412</v>
      </c>
    </row>
    <row r="965" customFormat="false" ht="15" hidden="false" customHeight="true" outlineLevel="0" collapsed="false">
      <c r="A965" s="5" t="n">
        <v>199</v>
      </c>
      <c r="B965" s="5" t="s">
        <v>799</v>
      </c>
      <c r="C965" s="5" t="s">
        <v>25</v>
      </c>
      <c r="D965" s="5" t="s">
        <v>353</v>
      </c>
      <c r="E965" s="5" t="s">
        <v>354</v>
      </c>
    </row>
    <row r="966" customFormat="false" ht="15" hidden="false" customHeight="true" outlineLevel="0" collapsed="false">
      <c r="A966" s="5" t="n">
        <v>199</v>
      </c>
      <c r="B966" s="5" t="s">
        <v>799</v>
      </c>
      <c r="C966" s="5" t="s">
        <v>25</v>
      </c>
      <c r="D966" s="5" t="s">
        <v>289</v>
      </c>
      <c r="E966" s="5" t="s">
        <v>290</v>
      </c>
    </row>
    <row r="967" customFormat="false" ht="15" hidden="false" customHeight="true" outlineLevel="0" collapsed="false">
      <c r="A967" s="5" t="n">
        <v>199</v>
      </c>
      <c r="B967" s="5" t="s">
        <v>799</v>
      </c>
      <c r="C967" s="5" t="s">
        <v>25</v>
      </c>
      <c r="D967" s="5" t="s">
        <v>74</v>
      </c>
      <c r="E967" s="5" t="s">
        <v>75</v>
      </c>
    </row>
    <row r="968" customFormat="false" ht="15" hidden="false" customHeight="true" outlineLevel="0" collapsed="false">
      <c r="A968" s="5" t="n">
        <v>200</v>
      </c>
      <c r="B968" s="5" t="s">
        <v>800</v>
      </c>
      <c r="C968" s="5" t="s">
        <v>110</v>
      </c>
      <c r="D968" s="5" t="s">
        <v>207</v>
      </c>
      <c r="E968" s="5" t="s">
        <v>207</v>
      </c>
    </row>
    <row r="969" customFormat="false" ht="15" hidden="false" customHeight="true" outlineLevel="0" collapsed="false">
      <c r="A969" s="5" t="n">
        <v>200</v>
      </c>
      <c r="B969" s="5" t="s">
        <v>800</v>
      </c>
      <c r="C969" s="5" t="s">
        <v>110</v>
      </c>
      <c r="D969" s="5" t="s">
        <v>561</v>
      </c>
      <c r="E969" s="5" t="s">
        <v>583</v>
      </c>
    </row>
    <row r="970" customFormat="false" ht="15" hidden="false" customHeight="true" outlineLevel="0" collapsed="false">
      <c r="A970" s="5" t="n">
        <v>200</v>
      </c>
      <c r="B970" s="5" t="s">
        <v>800</v>
      </c>
      <c r="C970" s="5" t="s">
        <v>110</v>
      </c>
      <c r="D970" s="5" t="s">
        <v>195</v>
      </c>
      <c r="E970" s="5" t="s">
        <v>196</v>
      </c>
    </row>
    <row r="971" customFormat="false" ht="15" hidden="false" customHeight="true" outlineLevel="0" collapsed="false">
      <c r="A971" s="5" t="n">
        <v>200</v>
      </c>
      <c r="B971" s="5" t="s">
        <v>800</v>
      </c>
      <c r="C971" s="5" t="s">
        <v>110</v>
      </c>
      <c r="D971" s="5" t="s">
        <v>118</v>
      </c>
      <c r="E971" s="5" t="s">
        <v>119</v>
      </c>
    </row>
    <row r="972" customFormat="false" ht="15" hidden="false" customHeight="true" outlineLevel="0" collapsed="false">
      <c r="A972" s="5" t="n">
        <v>201</v>
      </c>
      <c r="B972" s="5" t="s">
        <v>801</v>
      </c>
      <c r="C972" s="5" t="s">
        <v>191</v>
      </c>
      <c r="D972" s="5" t="s">
        <v>192</v>
      </c>
      <c r="E972" s="5" t="s">
        <v>192</v>
      </c>
    </row>
    <row r="973" customFormat="false" ht="15" hidden="false" customHeight="true" outlineLevel="0" collapsed="false">
      <c r="A973" s="5" t="n">
        <v>201</v>
      </c>
      <c r="B973" s="5" t="s">
        <v>801</v>
      </c>
      <c r="C973" s="5" t="s">
        <v>191</v>
      </c>
      <c r="D973" s="5" t="s">
        <v>44</v>
      </c>
      <c r="E973" s="5" t="s">
        <v>99</v>
      </c>
    </row>
    <row r="974" customFormat="false" ht="15" hidden="false" customHeight="true" outlineLevel="0" collapsed="false">
      <c r="A974" s="5" t="n">
        <v>201</v>
      </c>
      <c r="B974" s="5" t="s">
        <v>801</v>
      </c>
      <c r="C974" s="5" t="s">
        <v>191</v>
      </c>
      <c r="D974" s="5" t="s">
        <v>501</v>
      </c>
      <c r="E974" s="5" t="s">
        <v>502</v>
      </c>
    </row>
    <row r="975" customFormat="false" ht="15" hidden="false" customHeight="true" outlineLevel="0" collapsed="false">
      <c r="A975" s="5" t="n">
        <v>201</v>
      </c>
      <c r="B975" s="5" t="s">
        <v>801</v>
      </c>
      <c r="C975" s="5" t="s">
        <v>191</v>
      </c>
      <c r="D975" s="5" t="s">
        <v>193</v>
      </c>
      <c r="E975" s="5" t="s">
        <v>802</v>
      </c>
    </row>
    <row r="976" customFormat="false" ht="15" hidden="false" customHeight="true" outlineLevel="0" collapsed="false">
      <c r="A976" s="5" t="n">
        <v>201</v>
      </c>
      <c r="B976" s="5" t="s">
        <v>801</v>
      </c>
      <c r="C976" s="5" t="s">
        <v>191</v>
      </c>
      <c r="D976" s="5" t="s">
        <v>195</v>
      </c>
      <c r="E976" s="5" t="s">
        <v>802</v>
      </c>
    </row>
    <row r="977" customFormat="false" ht="15" hidden="false" customHeight="true" outlineLevel="0" collapsed="false">
      <c r="A977" s="5" t="n">
        <v>202</v>
      </c>
      <c r="B977" s="5" t="s">
        <v>803</v>
      </c>
      <c r="C977" s="5" t="s">
        <v>137</v>
      </c>
      <c r="D977" s="5" t="s">
        <v>137</v>
      </c>
      <c r="E977" s="5" t="s">
        <v>137</v>
      </c>
    </row>
    <row r="978" customFormat="false" ht="15" hidden="false" customHeight="true" outlineLevel="0" collapsed="false">
      <c r="A978" s="5" t="n">
        <v>202</v>
      </c>
      <c r="B978" s="5" t="s">
        <v>803</v>
      </c>
      <c r="C978" s="5" t="s">
        <v>137</v>
      </c>
      <c r="D978" s="5" t="s">
        <v>33</v>
      </c>
      <c r="E978" s="5" t="s">
        <v>34</v>
      </c>
    </row>
    <row r="979" customFormat="false" ht="15" hidden="false" customHeight="true" outlineLevel="0" collapsed="false">
      <c r="A979" s="5" t="n">
        <v>202</v>
      </c>
      <c r="B979" s="5" t="s">
        <v>803</v>
      </c>
      <c r="C979" s="5" t="s">
        <v>137</v>
      </c>
      <c r="D979" s="5" t="s">
        <v>27</v>
      </c>
      <c r="E979" s="5" t="s">
        <v>28</v>
      </c>
    </row>
    <row r="980" customFormat="false" ht="15" hidden="false" customHeight="true" outlineLevel="0" collapsed="false">
      <c r="A980" s="5" t="n">
        <v>203</v>
      </c>
      <c r="B980" s="5" t="s">
        <v>804</v>
      </c>
      <c r="C980" s="5" t="s">
        <v>135</v>
      </c>
      <c r="D980" s="5" t="s">
        <v>141</v>
      </c>
      <c r="E980" s="5" t="s">
        <v>141</v>
      </c>
    </row>
    <row r="981" customFormat="false" ht="15" hidden="false" customHeight="true" outlineLevel="0" collapsed="false">
      <c r="A981" s="5" t="n">
        <v>203</v>
      </c>
      <c r="B981" s="5" t="s">
        <v>804</v>
      </c>
      <c r="C981" s="5" t="s">
        <v>135</v>
      </c>
      <c r="D981" s="5" t="s">
        <v>137</v>
      </c>
      <c r="E981" s="5" t="s">
        <v>138</v>
      </c>
    </row>
    <row r="982" customFormat="false" ht="15" hidden="false" customHeight="true" outlineLevel="0" collapsed="false">
      <c r="A982" s="5" t="n">
        <v>203</v>
      </c>
      <c r="B982" s="5" t="s">
        <v>804</v>
      </c>
      <c r="C982" s="5" t="s">
        <v>135</v>
      </c>
      <c r="D982" s="5" t="s">
        <v>139</v>
      </c>
      <c r="E982" s="5" t="s">
        <v>140</v>
      </c>
    </row>
    <row r="983" customFormat="false" ht="15" hidden="false" customHeight="true" outlineLevel="0" collapsed="false">
      <c r="A983" s="5" t="n">
        <v>203</v>
      </c>
      <c r="B983" s="5" t="s">
        <v>804</v>
      </c>
      <c r="C983" s="5" t="s">
        <v>135</v>
      </c>
      <c r="D983" s="5" t="s">
        <v>805</v>
      </c>
      <c r="E983" s="5" t="s">
        <v>806</v>
      </c>
    </row>
    <row r="984" customFormat="false" ht="15" hidden="false" customHeight="true" outlineLevel="0" collapsed="false">
      <c r="A984" s="5" t="n">
        <v>204</v>
      </c>
      <c r="B984" s="5" t="s">
        <v>807</v>
      </c>
      <c r="C984" s="5" t="s">
        <v>148</v>
      </c>
      <c r="D984" s="5" t="s">
        <v>149</v>
      </c>
      <c r="E984" s="5" t="s">
        <v>149</v>
      </c>
    </row>
    <row r="985" customFormat="false" ht="15" hidden="false" customHeight="true" outlineLevel="0" collapsed="false">
      <c r="A985" s="5" t="n">
        <v>204</v>
      </c>
      <c r="B985" s="5" t="s">
        <v>807</v>
      </c>
      <c r="C985" s="5" t="s">
        <v>148</v>
      </c>
      <c r="D985" s="5" t="s">
        <v>441</v>
      </c>
      <c r="E985" s="5" t="s">
        <v>442</v>
      </c>
    </row>
    <row r="986" customFormat="false" ht="15" hidden="false" customHeight="true" outlineLevel="0" collapsed="false">
      <c r="A986" s="5" t="n">
        <v>204</v>
      </c>
      <c r="B986" s="5" t="s">
        <v>807</v>
      </c>
      <c r="C986" s="5" t="s">
        <v>148</v>
      </c>
      <c r="D986" s="5" t="s">
        <v>587</v>
      </c>
      <c r="E986" s="5" t="s">
        <v>779</v>
      </c>
    </row>
    <row r="987" customFormat="false" ht="15" hidden="false" customHeight="true" outlineLevel="0" collapsed="false">
      <c r="A987" s="5" t="n">
        <v>205</v>
      </c>
      <c r="B987" s="5" t="s">
        <v>808</v>
      </c>
      <c r="C987" s="5" t="s">
        <v>279</v>
      </c>
      <c r="D987" s="5" t="s">
        <v>129</v>
      </c>
      <c r="E987" s="5" t="s">
        <v>129</v>
      </c>
    </row>
    <row r="988" customFormat="false" ht="15" hidden="false" customHeight="true" outlineLevel="0" collapsed="false">
      <c r="A988" s="5" t="n">
        <v>205</v>
      </c>
      <c r="B988" s="5" t="s">
        <v>808</v>
      </c>
      <c r="C988" s="5" t="s">
        <v>279</v>
      </c>
      <c r="D988" s="5" t="s">
        <v>528</v>
      </c>
      <c r="E988" s="5" t="s">
        <v>529</v>
      </c>
    </row>
    <row r="989" customFormat="false" ht="15" hidden="false" customHeight="true" outlineLevel="0" collapsed="false">
      <c r="A989" s="5" t="n">
        <v>205</v>
      </c>
      <c r="B989" s="5" t="s">
        <v>808</v>
      </c>
      <c r="C989" s="5" t="s">
        <v>279</v>
      </c>
      <c r="D989" s="5" t="s">
        <v>241</v>
      </c>
      <c r="E989" s="5" t="s">
        <v>242</v>
      </c>
    </row>
    <row r="990" customFormat="false" ht="15" hidden="false" customHeight="true" outlineLevel="0" collapsed="false">
      <c r="A990" s="5" t="n">
        <v>206</v>
      </c>
      <c r="B990" s="5" t="s">
        <v>809</v>
      </c>
      <c r="C990" s="5" t="s">
        <v>348</v>
      </c>
      <c r="D990" s="5" t="s">
        <v>189</v>
      </c>
      <c r="E990" s="5" t="s">
        <v>189</v>
      </c>
    </row>
    <row r="991" customFormat="false" ht="15" hidden="false" customHeight="true" outlineLevel="0" collapsed="false">
      <c r="A991" s="5" t="n">
        <v>206</v>
      </c>
      <c r="B991" s="5" t="s">
        <v>809</v>
      </c>
      <c r="C991" s="5" t="s">
        <v>348</v>
      </c>
      <c r="D991" s="5" t="s">
        <v>719</v>
      </c>
      <c r="E991" s="5" t="s">
        <v>720</v>
      </c>
    </row>
    <row r="992" customFormat="false" ht="15" hidden="false" customHeight="true" outlineLevel="0" collapsed="false">
      <c r="A992" s="5" t="n">
        <v>206</v>
      </c>
      <c r="B992" s="5" t="s">
        <v>809</v>
      </c>
      <c r="C992" s="5" t="s">
        <v>348</v>
      </c>
      <c r="D992" s="5" t="s">
        <v>394</v>
      </c>
      <c r="E992" s="5" t="s">
        <v>395</v>
      </c>
    </row>
    <row r="993" customFormat="false" ht="15" hidden="false" customHeight="true" outlineLevel="0" collapsed="false">
      <c r="A993" s="5" t="n">
        <v>206</v>
      </c>
      <c r="B993" s="5" t="s">
        <v>809</v>
      </c>
      <c r="C993" s="5" t="s">
        <v>348</v>
      </c>
      <c r="D993" s="5" t="s">
        <v>219</v>
      </c>
      <c r="E993" s="5" t="s">
        <v>810</v>
      </c>
    </row>
    <row r="994" customFormat="false" ht="15" hidden="false" customHeight="true" outlineLevel="0" collapsed="false">
      <c r="A994" s="5" t="n">
        <v>207</v>
      </c>
      <c r="B994" s="5" t="s">
        <v>811</v>
      </c>
      <c r="C994" s="5" t="s">
        <v>260</v>
      </c>
      <c r="D994" s="5" t="s">
        <v>427</v>
      </c>
      <c r="E994" s="5" t="s">
        <v>427</v>
      </c>
    </row>
    <row r="995" customFormat="false" ht="15" hidden="false" customHeight="true" outlineLevel="0" collapsed="false">
      <c r="A995" s="5" t="n">
        <v>207</v>
      </c>
      <c r="B995" s="5" t="s">
        <v>811</v>
      </c>
      <c r="C995" s="5" t="s">
        <v>260</v>
      </c>
      <c r="D995" s="5" t="s">
        <v>236</v>
      </c>
      <c r="E995" s="5" t="s">
        <v>812</v>
      </c>
    </row>
    <row r="996" customFormat="false" ht="15" hidden="false" customHeight="true" outlineLevel="0" collapsed="false">
      <c r="A996" s="5" t="n">
        <v>207</v>
      </c>
      <c r="B996" s="5" t="s">
        <v>811</v>
      </c>
      <c r="C996" s="5" t="s">
        <v>260</v>
      </c>
      <c r="D996" s="5" t="s">
        <v>689</v>
      </c>
      <c r="E996" s="5" t="s">
        <v>690</v>
      </c>
    </row>
    <row r="997" customFormat="false" ht="15" hidden="false" customHeight="true" outlineLevel="0" collapsed="false">
      <c r="A997" s="5" t="n">
        <v>208</v>
      </c>
      <c r="B997" s="5" t="s">
        <v>813</v>
      </c>
      <c r="C997" s="5" t="s">
        <v>239</v>
      </c>
      <c r="D997" s="5" t="s">
        <v>204</v>
      </c>
      <c r="E997" s="5" t="s">
        <v>204</v>
      </c>
    </row>
    <row r="998" customFormat="false" ht="15" hidden="false" customHeight="true" outlineLevel="0" collapsed="false">
      <c r="A998" s="5" t="n">
        <v>208</v>
      </c>
      <c r="B998" s="5" t="s">
        <v>813</v>
      </c>
      <c r="C998" s="5" t="s">
        <v>239</v>
      </c>
      <c r="D998" s="5" t="s">
        <v>465</v>
      </c>
      <c r="E998" s="5" t="s">
        <v>466</v>
      </c>
    </row>
    <row r="999" customFormat="false" ht="15" hidden="false" customHeight="true" outlineLevel="0" collapsed="false">
      <c r="A999" s="5" t="n">
        <v>208</v>
      </c>
      <c r="B999" s="5" t="s">
        <v>813</v>
      </c>
      <c r="C999" s="5" t="s">
        <v>239</v>
      </c>
      <c r="D999" s="5" t="s">
        <v>116</v>
      </c>
      <c r="E999" s="5" t="s">
        <v>117</v>
      </c>
    </row>
    <row r="1000" customFormat="false" ht="15" hidden="false" customHeight="true" outlineLevel="0" collapsed="false">
      <c r="A1000" s="5" t="n">
        <v>209</v>
      </c>
      <c r="B1000" s="5" t="s">
        <v>814</v>
      </c>
      <c r="C1000" s="5" t="s">
        <v>38</v>
      </c>
      <c r="D1000" s="5" t="s">
        <v>35</v>
      </c>
      <c r="E1000" s="5" t="s">
        <v>35</v>
      </c>
    </row>
    <row r="1001" customFormat="false" ht="15" hidden="false" customHeight="true" outlineLevel="0" collapsed="false">
      <c r="A1001" s="5" t="n">
        <v>209</v>
      </c>
      <c r="B1001" s="5" t="s">
        <v>814</v>
      </c>
      <c r="C1001" s="5" t="s">
        <v>38</v>
      </c>
      <c r="D1001" s="5" t="s">
        <v>251</v>
      </c>
      <c r="E1001" s="5" t="s">
        <v>252</v>
      </c>
    </row>
    <row r="1002" customFormat="false" ht="15" hidden="false" customHeight="true" outlineLevel="0" collapsed="false">
      <c r="A1002" s="5" t="n">
        <v>209</v>
      </c>
      <c r="B1002" s="5" t="s">
        <v>814</v>
      </c>
      <c r="C1002" s="5" t="s">
        <v>38</v>
      </c>
      <c r="D1002" s="5" t="s">
        <v>61</v>
      </c>
      <c r="E1002" s="5" t="s">
        <v>104</v>
      </c>
    </row>
    <row r="1003" customFormat="false" ht="15" hidden="false" customHeight="true" outlineLevel="0" collapsed="false">
      <c r="A1003" s="5" t="n">
        <v>210</v>
      </c>
      <c r="B1003" s="5" t="s">
        <v>815</v>
      </c>
      <c r="C1003" s="5" t="s">
        <v>106</v>
      </c>
      <c r="D1003" s="5" t="s">
        <v>465</v>
      </c>
      <c r="E1003" s="5" t="s">
        <v>465</v>
      </c>
    </row>
    <row r="1004" customFormat="false" ht="15" hidden="false" customHeight="true" outlineLevel="0" collapsed="false">
      <c r="A1004" s="5" t="n">
        <v>210</v>
      </c>
      <c r="B1004" s="5" t="s">
        <v>815</v>
      </c>
      <c r="C1004" s="5" t="s">
        <v>106</v>
      </c>
      <c r="D1004" s="5" t="s">
        <v>469</v>
      </c>
      <c r="E1004" s="5" t="s">
        <v>470</v>
      </c>
    </row>
    <row r="1005" customFormat="false" ht="15" hidden="false" customHeight="true" outlineLevel="0" collapsed="false">
      <c r="A1005" s="5" t="n">
        <v>210</v>
      </c>
      <c r="B1005" s="5" t="s">
        <v>815</v>
      </c>
      <c r="C1005" s="5" t="s">
        <v>106</v>
      </c>
      <c r="D1005" s="5" t="s">
        <v>251</v>
      </c>
      <c r="E1005" s="5" t="s">
        <v>252</v>
      </c>
    </row>
    <row r="1006" customFormat="false" ht="15" hidden="false" customHeight="true" outlineLevel="0" collapsed="false">
      <c r="A1006" s="5" t="n">
        <v>210</v>
      </c>
      <c r="B1006" s="5" t="s">
        <v>815</v>
      </c>
      <c r="C1006" s="5" t="s">
        <v>106</v>
      </c>
      <c r="D1006" s="5" t="s">
        <v>33</v>
      </c>
      <c r="E1006" s="5" t="s">
        <v>34</v>
      </c>
    </row>
    <row r="1007" customFormat="false" ht="15" hidden="false" customHeight="true" outlineLevel="0" collapsed="false">
      <c r="A1007" s="5" t="n">
        <v>211</v>
      </c>
      <c r="B1007" s="5" t="s">
        <v>816</v>
      </c>
      <c r="C1007" s="5" t="s">
        <v>84</v>
      </c>
      <c r="D1007" s="5" t="s">
        <v>384</v>
      </c>
      <c r="E1007" s="5" t="s">
        <v>384</v>
      </c>
    </row>
    <row r="1008" customFormat="false" ht="15" hidden="false" customHeight="true" outlineLevel="0" collapsed="false">
      <c r="A1008" s="5" t="n">
        <v>211</v>
      </c>
      <c r="B1008" s="5" t="s">
        <v>816</v>
      </c>
      <c r="C1008" s="5" t="s">
        <v>84</v>
      </c>
      <c r="D1008" s="5" t="s">
        <v>460</v>
      </c>
      <c r="E1008" s="5" t="s">
        <v>461</v>
      </c>
    </row>
    <row r="1009" customFormat="false" ht="15" hidden="false" customHeight="true" outlineLevel="0" collapsed="false">
      <c r="A1009" s="5" t="n">
        <v>211</v>
      </c>
      <c r="B1009" s="5" t="s">
        <v>816</v>
      </c>
      <c r="C1009" s="5" t="s">
        <v>84</v>
      </c>
      <c r="D1009" s="5" t="s">
        <v>457</v>
      </c>
      <c r="E1009" s="5" t="s">
        <v>458</v>
      </c>
    </row>
    <row r="1010" customFormat="false" ht="15" hidden="false" customHeight="true" outlineLevel="0" collapsed="false">
      <c r="A1010" s="5" t="n">
        <v>211</v>
      </c>
      <c r="B1010" s="5" t="s">
        <v>816</v>
      </c>
      <c r="C1010" s="5" t="s">
        <v>84</v>
      </c>
      <c r="D1010" s="5" t="s">
        <v>26</v>
      </c>
      <c r="E1010" s="5" t="s">
        <v>26</v>
      </c>
    </row>
    <row r="1011" customFormat="false" ht="15" hidden="false" customHeight="true" outlineLevel="0" collapsed="false">
      <c r="A1011" s="5" t="n">
        <v>212</v>
      </c>
      <c r="B1011" s="5" t="s">
        <v>817</v>
      </c>
      <c r="C1011" s="5" t="s">
        <v>64</v>
      </c>
      <c r="D1011" s="5" t="s">
        <v>423</v>
      </c>
      <c r="E1011" s="5" t="s">
        <v>423</v>
      </c>
    </row>
    <row r="1012" customFormat="false" ht="15" hidden="false" customHeight="true" outlineLevel="0" collapsed="false">
      <c r="A1012" s="5" t="n">
        <v>212</v>
      </c>
      <c r="B1012" s="5" t="s">
        <v>817</v>
      </c>
      <c r="C1012" s="5" t="s">
        <v>64</v>
      </c>
      <c r="D1012" s="5" t="s">
        <v>357</v>
      </c>
      <c r="E1012" s="5" t="s">
        <v>358</v>
      </c>
    </row>
    <row r="1013" customFormat="false" ht="15" hidden="false" customHeight="true" outlineLevel="0" collapsed="false">
      <c r="A1013" s="5" t="n">
        <v>212</v>
      </c>
      <c r="B1013" s="5" t="s">
        <v>817</v>
      </c>
      <c r="C1013" s="5" t="s">
        <v>64</v>
      </c>
      <c r="D1013" s="5" t="s">
        <v>72</v>
      </c>
      <c r="E1013" s="5" t="s">
        <v>73</v>
      </c>
    </row>
    <row r="1014" customFormat="false" ht="15" hidden="false" customHeight="true" outlineLevel="0" collapsed="false">
      <c r="A1014" s="5" t="n">
        <v>212</v>
      </c>
      <c r="B1014" s="5" t="s">
        <v>817</v>
      </c>
      <c r="C1014" s="5" t="s">
        <v>64</v>
      </c>
      <c r="D1014" s="5" t="s">
        <v>81</v>
      </c>
      <c r="E1014" s="5" t="s">
        <v>82</v>
      </c>
    </row>
    <row r="1015" customFormat="false" ht="15" hidden="false" customHeight="true" outlineLevel="0" collapsed="false">
      <c r="A1015" s="5" t="n">
        <v>213</v>
      </c>
      <c r="B1015" s="5" t="s">
        <v>818</v>
      </c>
      <c r="C1015" s="5" t="s">
        <v>210</v>
      </c>
      <c r="D1015" s="5" t="s">
        <v>642</v>
      </c>
      <c r="E1015" s="5" t="s">
        <v>736</v>
      </c>
    </row>
    <row r="1016" customFormat="false" ht="15" hidden="false" customHeight="true" outlineLevel="0" collapsed="false">
      <c r="A1016" s="5" t="n">
        <v>213</v>
      </c>
      <c r="B1016" s="5" t="s">
        <v>818</v>
      </c>
      <c r="C1016" s="5" t="s">
        <v>210</v>
      </c>
      <c r="D1016" s="5" t="s">
        <v>375</v>
      </c>
      <c r="E1016" s="5" t="s">
        <v>376</v>
      </c>
    </row>
    <row r="1017" customFormat="false" ht="15" hidden="false" customHeight="true" outlineLevel="0" collapsed="false">
      <c r="A1017" s="5" t="n">
        <v>213</v>
      </c>
      <c r="B1017" s="5" t="s">
        <v>818</v>
      </c>
      <c r="C1017" s="5" t="s">
        <v>210</v>
      </c>
      <c r="D1017" s="5" t="s">
        <v>219</v>
      </c>
      <c r="E1017" s="5" t="s">
        <v>220</v>
      </c>
    </row>
    <row r="1018" customFormat="false" ht="15" hidden="false" customHeight="true" outlineLevel="0" collapsed="false">
      <c r="A1018" s="5" t="n">
        <v>213</v>
      </c>
      <c r="B1018" s="5" t="s">
        <v>818</v>
      </c>
      <c r="C1018" s="5" t="s">
        <v>210</v>
      </c>
      <c r="D1018" s="5" t="s">
        <v>503</v>
      </c>
      <c r="E1018" s="5" t="s">
        <v>504</v>
      </c>
    </row>
    <row r="1019" customFormat="false" ht="15" hidden="false" customHeight="true" outlineLevel="0" collapsed="false">
      <c r="A1019" s="5" t="n">
        <v>214</v>
      </c>
      <c r="B1019" s="5" t="s">
        <v>819</v>
      </c>
      <c r="C1019" s="5" t="s">
        <v>25</v>
      </c>
      <c r="D1019" s="5" t="s">
        <v>310</v>
      </c>
      <c r="E1019" s="5" t="s">
        <v>310</v>
      </c>
    </row>
    <row r="1020" customFormat="false" ht="15" hidden="false" customHeight="true" outlineLevel="0" collapsed="false">
      <c r="A1020" s="5" t="n">
        <v>214</v>
      </c>
      <c r="B1020" s="5" t="s">
        <v>819</v>
      </c>
      <c r="C1020" s="5" t="s">
        <v>25</v>
      </c>
      <c r="D1020" s="5" t="s">
        <v>29</v>
      </c>
      <c r="E1020" s="5" t="s">
        <v>820</v>
      </c>
    </row>
    <row r="1021" customFormat="false" ht="15" hidden="false" customHeight="true" outlineLevel="0" collapsed="false">
      <c r="A1021" s="5" t="n">
        <v>214</v>
      </c>
      <c r="B1021" s="5" t="s">
        <v>819</v>
      </c>
      <c r="C1021" s="5" t="s">
        <v>25</v>
      </c>
      <c r="D1021" s="5" t="s">
        <v>27</v>
      </c>
      <c r="E1021" s="5" t="s">
        <v>28</v>
      </c>
    </row>
    <row r="1022" customFormat="false" ht="15" hidden="false" customHeight="true" outlineLevel="0" collapsed="false">
      <c r="A1022" s="5" t="n">
        <v>214</v>
      </c>
      <c r="B1022" s="5" t="s">
        <v>819</v>
      </c>
      <c r="C1022" s="5" t="s">
        <v>25</v>
      </c>
      <c r="D1022" s="5" t="s">
        <v>33</v>
      </c>
      <c r="E1022" s="5" t="s">
        <v>34</v>
      </c>
    </row>
    <row r="1023" customFormat="false" ht="15" hidden="false" customHeight="true" outlineLevel="0" collapsed="false">
      <c r="A1023" s="5" t="n">
        <v>215</v>
      </c>
      <c r="B1023" s="5" t="s">
        <v>821</v>
      </c>
      <c r="C1023" s="5" t="s">
        <v>163</v>
      </c>
      <c r="D1023" s="5" t="s">
        <v>822</v>
      </c>
      <c r="E1023" s="5" t="s">
        <v>822</v>
      </c>
    </row>
    <row r="1024" customFormat="false" ht="15" hidden="false" customHeight="true" outlineLevel="0" collapsed="false">
      <c r="A1024" s="5" t="n">
        <v>215</v>
      </c>
      <c r="B1024" s="5" t="s">
        <v>821</v>
      </c>
      <c r="C1024" s="5" t="s">
        <v>163</v>
      </c>
      <c r="D1024" s="5" t="s">
        <v>311</v>
      </c>
      <c r="E1024" s="5" t="s">
        <v>312</v>
      </c>
    </row>
    <row r="1025" customFormat="false" ht="15" hidden="false" customHeight="true" outlineLevel="0" collapsed="false">
      <c r="A1025" s="5" t="n">
        <v>215</v>
      </c>
      <c r="B1025" s="5" t="s">
        <v>821</v>
      </c>
      <c r="C1025" s="5" t="s">
        <v>163</v>
      </c>
      <c r="D1025" s="5" t="s">
        <v>317</v>
      </c>
      <c r="E1025" s="5" t="s">
        <v>318</v>
      </c>
    </row>
    <row r="1026" customFormat="false" ht="15" hidden="false" customHeight="true" outlineLevel="0" collapsed="false">
      <c r="A1026" s="5" t="n">
        <v>215</v>
      </c>
      <c r="B1026" s="5" t="s">
        <v>821</v>
      </c>
      <c r="C1026" s="5" t="s">
        <v>163</v>
      </c>
      <c r="D1026" s="5" t="s">
        <v>370</v>
      </c>
      <c r="E1026" s="5" t="s">
        <v>381</v>
      </c>
    </row>
    <row r="1027" customFormat="false" ht="15" hidden="false" customHeight="true" outlineLevel="0" collapsed="false">
      <c r="A1027" s="5" t="n">
        <v>216</v>
      </c>
      <c r="B1027" s="5" t="s">
        <v>823</v>
      </c>
      <c r="C1027" s="5" t="s">
        <v>38</v>
      </c>
      <c r="D1027" s="5" t="s">
        <v>102</v>
      </c>
      <c r="E1027" s="5" t="s">
        <v>824</v>
      </c>
    </row>
    <row r="1028" customFormat="false" ht="15" hidden="false" customHeight="true" outlineLevel="0" collapsed="false">
      <c r="A1028" s="5" t="n">
        <v>216</v>
      </c>
      <c r="B1028" s="5" t="s">
        <v>823</v>
      </c>
      <c r="C1028" s="5" t="s">
        <v>38</v>
      </c>
      <c r="D1028" s="5" t="s">
        <v>27</v>
      </c>
      <c r="E1028" s="5" t="s">
        <v>28</v>
      </c>
    </row>
    <row r="1029" customFormat="false" ht="15" hidden="false" customHeight="true" outlineLevel="0" collapsed="false">
      <c r="A1029" s="5" t="n">
        <v>216</v>
      </c>
      <c r="B1029" s="5" t="s">
        <v>823</v>
      </c>
      <c r="C1029" s="5" t="s">
        <v>38</v>
      </c>
      <c r="D1029" s="5" t="s">
        <v>33</v>
      </c>
      <c r="E1029" s="5" t="s">
        <v>380</v>
      </c>
    </row>
    <row r="1030" customFormat="false" ht="15" hidden="false" customHeight="true" outlineLevel="0" collapsed="false">
      <c r="A1030" s="5" t="n">
        <v>216</v>
      </c>
      <c r="B1030" s="5" t="s">
        <v>823</v>
      </c>
      <c r="C1030" s="5" t="s">
        <v>38</v>
      </c>
      <c r="D1030" s="5" t="s">
        <v>61</v>
      </c>
      <c r="E1030" s="5" t="s">
        <v>104</v>
      </c>
    </row>
    <row r="1031" customFormat="false" ht="15" hidden="false" customHeight="true" outlineLevel="0" collapsed="false">
      <c r="A1031" s="5" t="n">
        <v>217</v>
      </c>
      <c r="B1031" s="5" t="s">
        <v>825</v>
      </c>
      <c r="C1031" s="5" t="s">
        <v>154</v>
      </c>
      <c r="D1031" s="5" t="s">
        <v>176</v>
      </c>
      <c r="E1031" s="5" t="s">
        <v>176</v>
      </c>
    </row>
    <row r="1032" customFormat="false" ht="15" hidden="false" customHeight="true" outlineLevel="0" collapsed="false">
      <c r="A1032" s="5" t="n">
        <v>217</v>
      </c>
      <c r="B1032" s="5" t="s">
        <v>825</v>
      </c>
      <c r="C1032" s="5" t="s">
        <v>154</v>
      </c>
      <c r="D1032" s="5" t="s">
        <v>31</v>
      </c>
      <c r="E1032" s="5" t="s">
        <v>826</v>
      </c>
    </row>
    <row r="1033" customFormat="false" ht="15" hidden="false" customHeight="true" outlineLevel="0" collapsed="false">
      <c r="A1033" s="5" t="n">
        <v>217</v>
      </c>
      <c r="B1033" s="5" t="s">
        <v>825</v>
      </c>
      <c r="C1033" s="5" t="s">
        <v>154</v>
      </c>
      <c r="D1033" s="5" t="s">
        <v>394</v>
      </c>
      <c r="E1033" s="5" t="s">
        <v>395</v>
      </c>
    </row>
    <row r="1034" customFormat="false" ht="15" hidden="false" customHeight="true" outlineLevel="0" collapsed="false">
      <c r="A1034" s="5" t="n">
        <v>218</v>
      </c>
      <c r="B1034" s="5" t="s">
        <v>827</v>
      </c>
      <c r="C1034" s="5" t="s">
        <v>148</v>
      </c>
      <c r="D1034" s="5" t="s">
        <v>149</v>
      </c>
      <c r="E1034" s="5" t="s">
        <v>149</v>
      </c>
    </row>
    <row r="1035" customFormat="false" ht="15" hidden="false" customHeight="true" outlineLevel="0" collapsed="false">
      <c r="A1035" s="5" t="n">
        <v>218</v>
      </c>
      <c r="B1035" s="5" t="s">
        <v>827</v>
      </c>
      <c r="C1035" s="5" t="s">
        <v>148</v>
      </c>
      <c r="D1035" s="5" t="s">
        <v>93</v>
      </c>
      <c r="E1035" s="5" t="s">
        <v>94</v>
      </c>
    </row>
    <row r="1036" customFormat="false" ht="15" hidden="false" customHeight="true" outlineLevel="0" collapsed="false">
      <c r="A1036" s="5" t="n">
        <v>218</v>
      </c>
      <c r="B1036" s="5" t="s">
        <v>827</v>
      </c>
      <c r="C1036" s="5" t="s">
        <v>148</v>
      </c>
      <c r="D1036" s="5" t="s">
        <v>447</v>
      </c>
      <c r="E1036" s="5" t="s">
        <v>448</v>
      </c>
    </row>
    <row r="1037" customFormat="false" ht="15" hidden="false" customHeight="true" outlineLevel="0" collapsed="false">
      <c r="A1037" s="5" t="n">
        <v>218</v>
      </c>
      <c r="B1037" s="5" t="s">
        <v>827</v>
      </c>
      <c r="C1037" s="5" t="s">
        <v>148</v>
      </c>
      <c r="D1037" s="5" t="s">
        <v>445</v>
      </c>
      <c r="E1037" s="5" t="s">
        <v>446</v>
      </c>
    </row>
    <row r="1038" customFormat="false" ht="15" hidden="false" customHeight="true" outlineLevel="0" collapsed="false">
      <c r="A1038" s="5" t="n">
        <v>219</v>
      </c>
      <c r="B1038" s="5" t="s">
        <v>828</v>
      </c>
      <c r="C1038" s="5" t="s">
        <v>96</v>
      </c>
      <c r="D1038" s="5" t="s">
        <v>100</v>
      </c>
      <c r="E1038" s="5" t="s">
        <v>100</v>
      </c>
    </row>
    <row r="1039" customFormat="false" ht="15" hidden="false" customHeight="true" outlineLevel="0" collapsed="false">
      <c r="A1039" s="5" t="n">
        <v>219</v>
      </c>
      <c r="B1039" s="5" t="s">
        <v>828</v>
      </c>
      <c r="C1039" s="5" t="s">
        <v>96</v>
      </c>
      <c r="D1039" s="5" t="s">
        <v>483</v>
      </c>
      <c r="E1039" s="5" t="s">
        <v>484</v>
      </c>
    </row>
    <row r="1040" customFormat="false" ht="15" hidden="false" customHeight="true" outlineLevel="0" collapsed="false">
      <c r="A1040" s="5" t="n">
        <v>219</v>
      </c>
      <c r="B1040" s="5" t="s">
        <v>828</v>
      </c>
      <c r="C1040" s="5" t="s">
        <v>96</v>
      </c>
      <c r="D1040" s="5" t="s">
        <v>232</v>
      </c>
      <c r="E1040" s="5" t="s">
        <v>233</v>
      </c>
    </row>
    <row r="1041" customFormat="false" ht="15" hidden="false" customHeight="true" outlineLevel="0" collapsed="false">
      <c r="A1041" s="5" t="n">
        <v>220</v>
      </c>
      <c r="B1041" s="5" t="s">
        <v>829</v>
      </c>
      <c r="C1041" s="5" t="s">
        <v>135</v>
      </c>
      <c r="D1041" s="5" t="s">
        <v>141</v>
      </c>
      <c r="E1041" s="5" t="s">
        <v>141</v>
      </c>
    </row>
    <row r="1042" customFormat="false" ht="15" hidden="false" customHeight="true" outlineLevel="0" collapsed="false">
      <c r="A1042" s="5" t="n">
        <v>220</v>
      </c>
      <c r="B1042" s="5" t="s">
        <v>829</v>
      </c>
      <c r="C1042" s="5" t="s">
        <v>135</v>
      </c>
      <c r="D1042" s="5" t="s">
        <v>137</v>
      </c>
      <c r="E1042" s="5" t="s">
        <v>138</v>
      </c>
    </row>
    <row r="1043" customFormat="false" ht="15" hidden="false" customHeight="true" outlineLevel="0" collapsed="false">
      <c r="A1043" s="5" t="n">
        <v>220</v>
      </c>
      <c r="B1043" s="5" t="s">
        <v>829</v>
      </c>
      <c r="C1043" s="5" t="s">
        <v>135</v>
      </c>
      <c r="D1043" s="5" t="s">
        <v>139</v>
      </c>
      <c r="E1043" s="5" t="s">
        <v>140</v>
      </c>
    </row>
    <row r="1044" customFormat="false" ht="15" hidden="false" customHeight="true" outlineLevel="0" collapsed="false">
      <c r="A1044" s="5" t="n">
        <v>220</v>
      </c>
      <c r="B1044" s="5" t="s">
        <v>829</v>
      </c>
      <c r="C1044" s="5" t="s">
        <v>135</v>
      </c>
      <c r="D1044" s="5" t="s">
        <v>70</v>
      </c>
      <c r="E1044" s="5" t="s">
        <v>71</v>
      </c>
    </row>
    <row r="1045" customFormat="false" ht="15" hidden="false" customHeight="true" outlineLevel="0" collapsed="false">
      <c r="A1045" s="5" t="n">
        <v>220</v>
      </c>
      <c r="B1045" s="5" t="s">
        <v>829</v>
      </c>
      <c r="C1045" s="5" t="s">
        <v>135</v>
      </c>
      <c r="D1045" s="5" t="s">
        <v>68</v>
      </c>
      <c r="E1045" s="5" t="s">
        <v>69</v>
      </c>
    </row>
    <row r="1046" customFormat="false" ht="15" hidden="false" customHeight="true" outlineLevel="0" collapsed="false">
      <c r="A1046" s="5" t="n">
        <v>221</v>
      </c>
      <c r="B1046" s="5" t="s">
        <v>830</v>
      </c>
      <c r="C1046" s="5" t="s">
        <v>239</v>
      </c>
      <c r="D1046" s="5" t="s">
        <v>44</v>
      </c>
      <c r="E1046" s="5" t="s">
        <v>44</v>
      </c>
    </row>
    <row r="1047" customFormat="false" ht="15" hidden="false" customHeight="true" outlineLevel="0" collapsed="false">
      <c r="A1047" s="5" t="n">
        <v>221</v>
      </c>
      <c r="B1047" s="5" t="s">
        <v>830</v>
      </c>
      <c r="C1047" s="5" t="s">
        <v>239</v>
      </c>
      <c r="D1047" s="5" t="s">
        <v>321</v>
      </c>
      <c r="E1047" s="5" t="s">
        <v>322</v>
      </c>
    </row>
    <row r="1048" customFormat="false" ht="15" hidden="false" customHeight="true" outlineLevel="0" collapsed="false">
      <c r="A1048" s="5" t="n">
        <v>221</v>
      </c>
      <c r="B1048" s="5" t="s">
        <v>830</v>
      </c>
      <c r="C1048" s="5" t="s">
        <v>239</v>
      </c>
      <c r="D1048" s="5" t="s">
        <v>240</v>
      </c>
      <c r="E1048" s="5" t="s">
        <v>544</v>
      </c>
    </row>
    <row r="1049" customFormat="false" ht="15" hidden="false" customHeight="true" outlineLevel="0" collapsed="false">
      <c r="A1049" s="5" t="n">
        <v>222</v>
      </c>
      <c r="B1049" s="5" t="s">
        <v>831</v>
      </c>
      <c r="C1049" s="5" t="s">
        <v>84</v>
      </c>
      <c r="D1049" s="5" t="s">
        <v>26</v>
      </c>
      <c r="E1049" s="5" t="s">
        <v>26</v>
      </c>
    </row>
    <row r="1050" customFormat="false" ht="15" hidden="false" customHeight="true" outlineLevel="0" collapsed="false">
      <c r="A1050" s="5" t="n">
        <v>222</v>
      </c>
      <c r="B1050" s="5" t="s">
        <v>831</v>
      </c>
      <c r="C1050" s="5" t="s">
        <v>84</v>
      </c>
      <c r="D1050" s="5" t="s">
        <v>87</v>
      </c>
      <c r="E1050" s="5" t="s">
        <v>88</v>
      </c>
    </row>
    <row r="1051" customFormat="false" ht="15" hidden="false" customHeight="true" outlineLevel="0" collapsed="false">
      <c r="A1051" s="5" t="n">
        <v>222</v>
      </c>
      <c r="B1051" s="5" t="s">
        <v>831</v>
      </c>
      <c r="C1051" s="5" t="s">
        <v>84</v>
      </c>
      <c r="D1051" s="5" t="s">
        <v>89</v>
      </c>
      <c r="E1051" s="5" t="s">
        <v>90</v>
      </c>
    </row>
    <row r="1052" customFormat="false" ht="15" hidden="false" customHeight="true" outlineLevel="0" collapsed="false">
      <c r="A1052" s="5" t="n">
        <v>222</v>
      </c>
      <c r="B1052" s="5" t="s">
        <v>831</v>
      </c>
      <c r="C1052" s="5" t="s">
        <v>84</v>
      </c>
      <c r="D1052" s="5" t="s">
        <v>384</v>
      </c>
      <c r="E1052" s="5" t="s">
        <v>385</v>
      </c>
    </row>
    <row r="1053" customFormat="false" ht="15" hidden="false" customHeight="true" outlineLevel="0" collapsed="false">
      <c r="A1053" s="5" t="n">
        <v>223</v>
      </c>
      <c r="B1053" s="5" t="s">
        <v>832</v>
      </c>
      <c r="C1053" s="5" t="s">
        <v>348</v>
      </c>
      <c r="D1053" s="5" t="s">
        <v>310</v>
      </c>
      <c r="E1053" s="5" t="s">
        <v>310</v>
      </c>
    </row>
    <row r="1054" customFormat="false" ht="15" hidden="false" customHeight="true" outlineLevel="0" collapsed="false">
      <c r="A1054" s="5" t="n">
        <v>223</v>
      </c>
      <c r="B1054" s="5" t="s">
        <v>832</v>
      </c>
      <c r="C1054" s="5" t="s">
        <v>348</v>
      </c>
      <c r="D1054" s="5" t="s">
        <v>349</v>
      </c>
      <c r="E1054" s="5" t="s">
        <v>412</v>
      </c>
    </row>
    <row r="1055" customFormat="false" ht="15" hidden="false" customHeight="true" outlineLevel="0" collapsed="false">
      <c r="A1055" s="5" t="n">
        <v>223</v>
      </c>
      <c r="B1055" s="5" t="s">
        <v>832</v>
      </c>
      <c r="C1055" s="5" t="s">
        <v>348</v>
      </c>
      <c r="D1055" s="5" t="s">
        <v>528</v>
      </c>
      <c r="E1055" s="5" t="s">
        <v>529</v>
      </c>
    </row>
    <row r="1056" customFormat="false" ht="15" hidden="false" customHeight="true" outlineLevel="0" collapsed="false">
      <c r="A1056" s="5" t="n">
        <v>223</v>
      </c>
      <c r="B1056" s="5" t="s">
        <v>832</v>
      </c>
      <c r="C1056" s="5" t="s">
        <v>348</v>
      </c>
      <c r="D1056" s="5" t="s">
        <v>719</v>
      </c>
      <c r="E1056" s="5" t="s">
        <v>720</v>
      </c>
    </row>
    <row r="1057" customFormat="false" ht="15" hidden="false" customHeight="true" outlineLevel="0" collapsed="false">
      <c r="A1057" s="5" t="n">
        <v>224</v>
      </c>
      <c r="B1057" s="5" t="s">
        <v>833</v>
      </c>
      <c r="C1057" s="5" t="s">
        <v>181</v>
      </c>
      <c r="D1057" s="5" t="s">
        <v>89</v>
      </c>
      <c r="E1057" s="5" t="s">
        <v>834</v>
      </c>
    </row>
    <row r="1058" customFormat="false" ht="15" hidden="false" customHeight="true" outlineLevel="0" collapsed="false">
      <c r="A1058" s="5" t="n">
        <v>224</v>
      </c>
      <c r="B1058" s="5" t="s">
        <v>833</v>
      </c>
      <c r="C1058" s="5" t="s">
        <v>181</v>
      </c>
      <c r="D1058" s="5" t="s">
        <v>276</v>
      </c>
      <c r="E1058" s="5" t="s">
        <v>277</v>
      </c>
    </row>
    <row r="1059" customFormat="false" ht="15" hidden="false" customHeight="true" outlineLevel="0" collapsed="false">
      <c r="A1059" s="5" t="n">
        <v>224</v>
      </c>
      <c r="B1059" s="5" t="s">
        <v>833</v>
      </c>
      <c r="C1059" s="5" t="s">
        <v>181</v>
      </c>
      <c r="D1059" s="5" t="s">
        <v>475</v>
      </c>
      <c r="E1059" s="5" t="s">
        <v>476</v>
      </c>
    </row>
    <row r="1060" customFormat="false" ht="15" hidden="false" customHeight="true" outlineLevel="0" collapsed="false">
      <c r="A1060" s="5" t="n">
        <v>225</v>
      </c>
      <c r="B1060" s="5" t="s">
        <v>835</v>
      </c>
      <c r="C1060" s="5" t="s">
        <v>51</v>
      </c>
      <c r="D1060" s="5" t="s">
        <v>341</v>
      </c>
      <c r="E1060" s="5" t="s">
        <v>341</v>
      </c>
    </row>
    <row r="1061" customFormat="false" ht="15" hidden="false" customHeight="true" outlineLevel="0" collapsed="false">
      <c r="A1061" s="5" t="n">
        <v>225</v>
      </c>
      <c r="B1061" s="5" t="s">
        <v>835</v>
      </c>
      <c r="C1061" s="5" t="s">
        <v>51</v>
      </c>
      <c r="D1061" s="5" t="s">
        <v>369</v>
      </c>
      <c r="E1061" s="5" t="s">
        <v>836</v>
      </c>
    </row>
    <row r="1062" customFormat="false" ht="15" hidden="false" customHeight="true" outlineLevel="0" collapsed="false">
      <c r="A1062" s="5" t="n">
        <v>225</v>
      </c>
      <c r="B1062" s="5" t="s">
        <v>835</v>
      </c>
      <c r="C1062" s="5" t="s">
        <v>51</v>
      </c>
      <c r="D1062" s="5" t="s">
        <v>375</v>
      </c>
      <c r="E1062" s="5" t="s">
        <v>376</v>
      </c>
    </row>
    <row r="1063" customFormat="false" ht="15" hidden="false" customHeight="true" outlineLevel="0" collapsed="false">
      <c r="A1063" s="5" t="n">
        <v>225</v>
      </c>
      <c r="B1063" s="5" t="s">
        <v>835</v>
      </c>
      <c r="C1063" s="5" t="s">
        <v>51</v>
      </c>
      <c r="D1063" s="5" t="s">
        <v>217</v>
      </c>
      <c r="E1063" s="5" t="s">
        <v>837</v>
      </c>
    </row>
    <row r="1064" customFormat="false" ht="15" hidden="false" customHeight="true" outlineLevel="0" collapsed="false">
      <c r="A1064" s="5" t="n">
        <v>225</v>
      </c>
      <c r="B1064" s="5" t="s">
        <v>835</v>
      </c>
      <c r="C1064" s="5" t="s">
        <v>51</v>
      </c>
      <c r="D1064" s="5" t="s">
        <v>317</v>
      </c>
      <c r="E1064" s="5" t="s">
        <v>318</v>
      </c>
    </row>
    <row r="1065" customFormat="false" ht="15" hidden="false" customHeight="true" outlineLevel="0" collapsed="false">
      <c r="A1065" s="5" t="n">
        <v>226</v>
      </c>
      <c r="B1065" s="5" t="s">
        <v>838</v>
      </c>
      <c r="C1065" s="5" t="s">
        <v>106</v>
      </c>
      <c r="D1065" s="5" t="s">
        <v>468</v>
      </c>
      <c r="E1065" s="5" t="s">
        <v>468</v>
      </c>
    </row>
    <row r="1066" customFormat="false" ht="15" hidden="false" customHeight="true" outlineLevel="0" collapsed="false">
      <c r="A1066" s="5" t="n">
        <v>226</v>
      </c>
      <c r="B1066" s="5" t="s">
        <v>838</v>
      </c>
      <c r="C1066" s="5" t="s">
        <v>106</v>
      </c>
      <c r="D1066" s="5" t="s">
        <v>839</v>
      </c>
      <c r="E1066" s="5" t="s">
        <v>840</v>
      </c>
    </row>
    <row r="1067" customFormat="false" ht="15" hidden="false" customHeight="true" outlineLevel="0" collapsed="false">
      <c r="A1067" s="5" t="n">
        <v>226</v>
      </c>
      <c r="B1067" s="5" t="s">
        <v>838</v>
      </c>
      <c r="C1067" s="5" t="s">
        <v>106</v>
      </c>
      <c r="D1067" s="5" t="s">
        <v>349</v>
      </c>
      <c r="E1067" s="5" t="s">
        <v>412</v>
      </c>
    </row>
    <row r="1068" customFormat="false" ht="15" hidden="false" customHeight="true" outlineLevel="0" collapsed="false">
      <c r="A1068" s="5" t="n">
        <v>227</v>
      </c>
      <c r="B1068" s="5" t="s">
        <v>841</v>
      </c>
      <c r="C1068" s="5" t="s">
        <v>191</v>
      </c>
      <c r="D1068" s="5" t="s">
        <v>805</v>
      </c>
      <c r="E1068" s="5" t="s">
        <v>805</v>
      </c>
    </row>
    <row r="1069" customFormat="false" ht="15" hidden="false" customHeight="true" outlineLevel="0" collapsed="false">
      <c r="A1069" s="5" t="n">
        <v>227</v>
      </c>
      <c r="B1069" s="5" t="s">
        <v>841</v>
      </c>
      <c r="C1069" s="5" t="s">
        <v>191</v>
      </c>
      <c r="D1069" s="5" t="s">
        <v>244</v>
      </c>
      <c r="E1069" s="5" t="s">
        <v>245</v>
      </c>
    </row>
    <row r="1070" customFormat="false" ht="15" hidden="false" customHeight="true" outlineLevel="0" collapsed="false">
      <c r="A1070" s="5" t="n">
        <v>227</v>
      </c>
      <c r="B1070" s="5" t="s">
        <v>841</v>
      </c>
      <c r="C1070" s="5" t="s">
        <v>191</v>
      </c>
      <c r="D1070" s="5" t="s">
        <v>53</v>
      </c>
      <c r="E1070" s="5" t="s">
        <v>54</v>
      </c>
    </row>
    <row r="1071" customFormat="false" ht="15" hidden="false" customHeight="true" outlineLevel="0" collapsed="false">
      <c r="A1071" s="5" t="n">
        <v>227</v>
      </c>
      <c r="B1071" s="5" t="s">
        <v>841</v>
      </c>
      <c r="C1071" s="5" t="s">
        <v>191</v>
      </c>
      <c r="D1071" s="5" t="s">
        <v>797</v>
      </c>
      <c r="E1071" s="5" t="s">
        <v>842</v>
      </c>
    </row>
    <row r="1072" customFormat="false" ht="15" hidden="false" customHeight="true" outlineLevel="0" collapsed="false">
      <c r="A1072" s="5" t="n">
        <v>228</v>
      </c>
      <c r="B1072" s="5" t="s">
        <v>843</v>
      </c>
      <c r="C1072" s="5" t="s">
        <v>260</v>
      </c>
      <c r="D1072" s="5" t="s">
        <v>317</v>
      </c>
      <c r="E1072" s="5" t="s">
        <v>317</v>
      </c>
    </row>
    <row r="1073" customFormat="false" ht="15" hidden="false" customHeight="true" outlineLevel="0" collapsed="false">
      <c r="A1073" s="5" t="n">
        <v>228</v>
      </c>
      <c r="B1073" s="5" t="s">
        <v>843</v>
      </c>
      <c r="C1073" s="5" t="s">
        <v>260</v>
      </c>
      <c r="D1073" s="5" t="s">
        <v>173</v>
      </c>
      <c r="E1073" s="5" t="s">
        <v>174</v>
      </c>
    </row>
    <row r="1074" customFormat="false" ht="15" hidden="false" customHeight="true" outlineLevel="0" collapsed="false">
      <c r="A1074" s="5" t="n">
        <v>228</v>
      </c>
      <c r="B1074" s="5" t="s">
        <v>843</v>
      </c>
      <c r="C1074" s="5" t="s">
        <v>260</v>
      </c>
      <c r="D1074" s="5" t="s">
        <v>394</v>
      </c>
      <c r="E1074" s="5" t="s">
        <v>395</v>
      </c>
    </row>
    <row r="1075" customFormat="false" ht="15" hidden="false" customHeight="true" outlineLevel="0" collapsed="false">
      <c r="A1075" s="5" t="n">
        <v>229</v>
      </c>
      <c r="B1075" s="5" t="s">
        <v>844</v>
      </c>
      <c r="C1075" s="5" t="s">
        <v>171</v>
      </c>
      <c r="D1075" s="5" t="s">
        <v>172</v>
      </c>
      <c r="E1075" s="5" t="s">
        <v>172</v>
      </c>
    </row>
    <row r="1076" customFormat="false" ht="15" hidden="false" customHeight="true" outlineLevel="0" collapsed="false">
      <c r="A1076" s="5" t="n">
        <v>229</v>
      </c>
      <c r="B1076" s="5" t="s">
        <v>844</v>
      </c>
      <c r="C1076" s="5" t="s">
        <v>171</v>
      </c>
      <c r="D1076" s="5" t="s">
        <v>572</v>
      </c>
      <c r="E1076" s="5" t="s">
        <v>573</v>
      </c>
    </row>
    <row r="1077" customFormat="false" ht="15" hidden="false" customHeight="true" outlineLevel="0" collapsed="false">
      <c r="A1077" s="5" t="n">
        <v>230</v>
      </c>
      <c r="B1077" s="5" t="s">
        <v>845</v>
      </c>
      <c r="C1077" s="5" t="s">
        <v>110</v>
      </c>
      <c r="D1077" s="5" t="s">
        <v>485</v>
      </c>
      <c r="E1077" s="5" t="s">
        <v>846</v>
      </c>
    </row>
    <row r="1078" customFormat="false" ht="15" hidden="false" customHeight="true" outlineLevel="0" collapsed="false">
      <c r="A1078" s="5" t="n">
        <v>230</v>
      </c>
      <c r="B1078" s="5" t="s">
        <v>845</v>
      </c>
      <c r="C1078" s="5" t="s">
        <v>110</v>
      </c>
      <c r="D1078" s="5" t="s">
        <v>102</v>
      </c>
      <c r="E1078" s="5" t="s">
        <v>103</v>
      </c>
    </row>
    <row r="1079" customFormat="false" ht="15" hidden="false" customHeight="true" outlineLevel="0" collapsed="false">
      <c r="A1079" s="5" t="n">
        <v>230</v>
      </c>
      <c r="B1079" s="5" t="s">
        <v>845</v>
      </c>
      <c r="C1079" s="5" t="s">
        <v>110</v>
      </c>
      <c r="D1079" s="5" t="s">
        <v>506</v>
      </c>
      <c r="E1079" s="5" t="s">
        <v>507</v>
      </c>
    </row>
    <row r="1080" customFormat="false" ht="15" hidden="false" customHeight="true" outlineLevel="0" collapsed="false">
      <c r="A1080" s="5" t="n">
        <v>230</v>
      </c>
      <c r="B1080" s="5" t="s">
        <v>845</v>
      </c>
      <c r="C1080" s="5" t="s">
        <v>110</v>
      </c>
      <c r="D1080" s="5" t="s">
        <v>172</v>
      </c>
      <c r="E1080" s="5" t="s">
        <v>847</v>
      </c>
    </row>
    <row r="1081" customFormat="false" ht="15" hidden="false" customHeight="true" outlineLevel="0" collapsed="false">
      <c r="A1081" s="5" t="n">
        <v>231</v>
      </c>
      <c r="B1081" s="5" t="s">
        <v>848</v>
      </c>
      <c r="C1081" s="5" t="s">
        <v>163</v>
      </c>
      <c r="D1081" s="5" t="s">
        <v>164</v>
      </c>
      <c r="E1081" s="5" t="s">
        <v>164</v>
      </c>
    </row>
    <row r="1082" customFormat="false" ht="15" hidden="false" customHeight="true" outlineLevel="0" collapsed="false">
      <c r="A1082" s="5" t="n">
        <v>231</v>
      </c>
      <c r="B1082" s="5" t="s">
        <v>848</v>
      </c>
      <c r="C1082" s="5" t="s">
        <v>163</v>
      </c>
      <c r="D1082" s="5" t="s">
        <v>236</v>
      </c>
      <c r="E1082" s="5" t="s">
        <v>237</v>
      </c>
    </row>
    <row r="1083" customFormat="false" ht="15" hidden="false" customHeight="true" outlineLevel="0" collapsed="false">
      <c r="A1083" s="5" t="n">
        <v>231</v>
      </c>
      <c r="B1083" s="5" t="s">
        <v>848</v>
      </c>
      <c r="C1083" s="5" t="s">
        <v>163</v>
      </c>
      <c r="D1083" s="5" t="s">
        <v>849</v>
      </c>
      <c r="E1083" s="5" t="s">
        <v>850</v>
      </c>
    </row>
    <row r="1084" customFormat="false" ht="15" hidden="false" customHeight="true" outlineLevel="0" collapsed="false">
      <c r="A1084" s="5" t="n">
        <v>231</v>
      </c>
      <c r="B1084" s="5" t="s">
        <v>848</v>
      </c>
      <c r="C1084" s="5" t="s">
        <v>163</v>
      </c>
      <c r="D1084" s="5" t="s">
        <v>565</v>
      </c>
      <c r="E1084" s="5" t="s">
        <v>566</v>
      </c>
    </row>
    <row r="1085" customFormat="false" ht="15" hidden="false" customHeight="true" outlineLevel="0" collapsed="false">
      <c r="A1085" s="5" t="n">
        <v>232</v>
      </c>
      <c r="B1085" s="5" t="s">
        <v>851</v>
      </c>
      <c r="C1085" s="5" t="s">
        <v>38</v>
      </c>
      <c r="D1085" s="5" t="s">
        <v>42</v>
      </c>
      <c r="E1085" s="5" t="s">
        <v>42</v>
      </c>
    </row>
    <row r="1086" customFormat="false" ht="15" hidden="false" customHeight="true" outlineLevel="0" collapsed="false">
      <c r="A1086" s="5" t="n">
        <v>232</v>
      </c>
      <c r="B1086" s="5" t="s">
        <v>851</v>
      </c>
      <c r="C1086" s="5" t="s">
        <v>38</v>
      </c>
      <c r="D1086" s="5" t="s">
        <v>59</v>
      </c>
      <c r="E1086" s="5" t="s">
        <v>60</v>
      </c>
    </row>
    <row r="1087" customFormat="false" ht="15" hidden="false" customHeight="true" outlineLevel="0" collapsed="false">
      <c r="A1087" s="5" t="n">
        <v>232</v>
      </c>
      <c r="B1087" s="5" t="s">
        <v>851</v>
      </c>
      <c r="C1087" s="5" t="s">
        <v>38</v>
      </c>
      <c r="D1087" s="5" t="s">
        <v>852</v>
      </c>
      <c r="E1087" s="5" t="s">
        <v>853</v>
      </c>
    </row>
    <row r="1088" customFormat="false" ht="15" hidden="false" customHeight="true" outlineLevel="0" collapsed="false">
      <c r="A1088" s="5" t="n">
        <v>233</v>
      </c>
      <c r="B1088" s="5" t="s">
        <v>854</v>
      </c>
      <c r="C1088" s="5" t="s">
        <v>84</v>
      </c>
      <c r="D1088" s="5" t="s">
        <v>719</v>
      </c>
      <c r="E1088" s="5" t="s">
        <v>719</v>
      </c>
    </row>
    <row r="1089" customFormat="false" ht="15" hidden="false" customHeight="true" outlineLevel="0" collapsed="false">
      <c r="A1089" s="5" t="n">
        <v>233</v>
      </c>
      <c r="B1089" s="5" t="s">
        <v>854</v>
      </c>
      <c r="C1089" s="5" t="s">
        <v>84</v>
      </c>
      <c r="D1089" s="5" t="s">
        <v>716</v>
      </c>
      <c r="E1089" s="5" t="s">
        <v>717</v>
      </c>
    </row>
    <row r="1090" customFormat="false" ht="15" hidden="false" customHeight="true" outlineLevel="0" collapsed="false">
      <c r="A1090" s="5" t="n">
        <v>233</v>
      </c>
      <c r="B1090" s="5" t="s">
        <v>854</v>
      </c>
      <c r="C1090" s="5" t="s">
        <v>84</v>
      </c>
      <c r="D1090" s="5" t="s">
        <v>26</v>
      </c>
      <c r="E1090" s="5" t="s">
        <v>26</v>
      </c>
    </row>
    <row r="1091" customFormat="false" ht="15" hidden="false" customHeight="true" outlineLevel="0" collapsed="false">
      <c r="A1091" s="5" t="n">
        <v>234</v>
      </c>
      <c r="B1091" s="5" t="s">
        <v>855</v>
      </c>
      <c r="C1091" s="5" t="s">
        <v>77</v>
      </c>
      <c r="D1091" s="5" t="s">
        <v>78</v>
      </c>
      <c r="E1091" s="5" t="s">
        <v>78</v>
      </c>
    </row>
    <row r="1092" customFormat="false" ht="15" hidden="false" customHeight="true" outlineLevel="0" collapsed="false">
      <c r="A1092" s="5" t="n">
        <v>234</v>
      </c>
      <c r="B1092" s="5" t="s">
        <v>855</v>
      </c>
      <c r="C1092" s="5" t="s">
        <v>77</v>
      </c>
      <c r="D1092" s="5" t="s">
        <v>44</v>
      </c>
      <c r="E1092" s="5" t="s">
        <v>99</v>
      </c>
    </row>
    <row r="1093" customFormat="false" ht="15" hidden="false" customHeight="true" outlineLevel="0" collapsed="false">
      <c r="A1093" s="5" t="n">
        <v>234</v>
      </c>
      <c r="B1093" s="5" t="s">
        <v>855</v>
      </c>
      <c r="C1093" s="5" t="s">
        <v>77</v>
      </c>
      <c r="D1093" s="5" t="s">
        <v>761</v>
      </c>
      <c r="E1093" s="5" t="s">
        <v>762</v>
      </c>
    </row>
    <row r="1094" customFormat="false" ht="15" hidden="false" customHeight="true" outlineLevel="0" collapsed="false">
      <c r="A1094" s="5" t="n">
        <v>234</v>
      </c>
      <c r="B1094" s="5" t="s">
        <v>855</v>
      </c>
      <c r="C1094" s="5" t="s">
        <v>77</v>
      </c>
      <c r="D1094" s="5" t="s">
        <v>31</v>
      </c>
      <c r="E1094" s="5" t="s">
        <v>143</v>
      </c>
    </row>
    <row r="1095" customFormat="false" ht="15" hidden="false" customHeight="true" outlineLevel="0" collapsed="false">
      <c r="A1095" s="5" t="n">
        <v>235</v>
      </c>
      <c r="B1095" s="5" t="s">
        <v>856</v>
      </c>
      <c r="C1095" s="5" t="s">
        <v>137</v>
      </c>
      <c r="D1095" s="5" t="s">
        <v>137</v>
      </c>
      <c r="E1095" s="5" t="s">
        <v>137</v>
      </c>
    </row>
    <row r="1096" customFormat="false" ht="15" hidden="false" customHeight="true" outlineLevel="0" collapsed="false">
      <c r="A1096" s="5" t="n">
        <v>235</v>
      </c>
      <c r="B1096" s="5" t="s">
        <v>856</v>
      </c>
      <c r="C1096" s="5" t="s">
        <v>137</v>
      </c>
      <c r="D1096" s="5" t="s">
        <v>33</v>
      </c>
      <c r="E1096" s="5" t="s">
        <v>34</v>
      </c>
    </row>
    <row r="1097" customFormat="false" ht="15" hidden="false" customHeight="true" outlineLevel="0" collapsed="false">
      <c r="A1097" s="5" t="n">
        <v>235</v>
      </c>
      <c r="B1097" s="5" t="s">
        <v>856</v>
      </c>
      <c r="C1097" s="5" t="s">
        <v>137</v>
      </c>
      <c r="D1097" s="5" t="s">
        <v>68</v>
      </c>
      <c r="E1097" s="5" t="s">
        <v>69</v>
      </c>
    </row>
    <row r="1098" customFormat="false" ht="15" hidden="false" customHeight="true" outlineLevel="0" collapsed="false">
      <c r="A1098" s="5" t="n">
        <v>235</v>
      </c>
      <c r="B1098" s="5" t="s">
        <v>856</v>
      </c>
      <c r="C1098" s="5" t="s">
        <v>137</v>
      </c>
      <c r="D1098" s="5" t="s">
        <v>857</v>
      </c>
      <c r="E1098" s="5" t="s">
        <v>858</v>
      </c>
    </row>
    <row r="1099" customFormat="false" ht="15" hidden="false" customHeight="true" outlineLevel="0" collapsed="false">
      <c r="A1099" s="5" t="n">
        <v>236</v>
      </c>
      <c r="B1099" s="5" t="s">
        <v>859</v>
      </c>
      <c r="C1099" s="5" t="s">
        <v>25</v>
      </c>
      <c r="D1099" s="5" t="s">
        <v>310</v>
      </c>
      <c r="E1099" s="5" t="s">
        <v>310</v>
      </c>
    </row>
    <row r="1100" customFormat="false" ht="15" hidden="false" customHeight="true" outlineLevel="0" collapsed="false">
      <c r="A1100" s="5" t="n">
        <v>236</v>
      </c>
      <c r="B1100" s="5" t="s">
        <v>859</v>
      </c>
      <c r="C1100" s="5" t="s">
        <v>25</v>
      </c>
      <c r="D1100" s="5" t="s">
        <v>839</v>
      </c>
      <c r="E1100" s="5" t="s">
        <v>840</v>
      </c>
    </row>
    <row r="1101" customFormat="false" ht="15" hidden="false" customHeight="true" outlineLevel="0" collapsed="false">
      <c r="A1101" s="5" t="n">
        <v>236</v>
      </c>
      <c r="B1101" s="5" t="s">
        <v>859</v>
      </c>
      <c r="C1101" s="5" t="s">
        <v>25</v>
      </c>
      <c r="D1101" s="5" t="s">
        <v>31</v>
      </c>
      <c r="E1101" s="5" t="s">
        <v>143</v>
      </c>
    </row>
    <row r="1102" customFormat="false" ht="15" hidden="false" customHeight="true" outlineLevel="0" collapsed="false">
      <c r="A1102" s="5" t="n">
        <v>237</v>
      </c>
      <c r="B1102" s="5" t="s">
        <v>860</v>
      </c>
      <c r="C1102" s="5" t="s">
        <v>210</v>
      </c>
      <c r="D1102" s="5" t="s">
        <v>849</v>
      </c>
      <c r="E1102" s="5" t="s">
        <v>861</v>
      </c>
    </row>
    <row r="1103" customFormat="false" ht="15" hidden="false" customHeight="true" outlineLevel="0" collapsed="false">
      <c r="A1103" s="5" t="n">
        <v>237</v>
      </c>
      <c r="B1103" s="5" t="s">
        <v>860</v>
      </c>
      <c r="C1103" s="5" t="s">
        <v>210</v>
      </c>
      <c r="D1103" s="5" t="s">
        <v>375</v>
      </c>
      <c r="E1103" s="5" t="s">
        <v>376</v>
      </c>
    </row>
    <row r="1104" customFormat="false" ht="15" hidden="false" customHeight="true" outlineLevel="0" collapsed="false">
      <c r="A1104" s="5" t="n">
        <v>237</v>
      </c>
      <c r="B1104" s="5" t="s">
        <v>860</v>
      </c>
      <c r="C1104" s="5" t="s">
        <v>210</v>
      </c>
      <c r="D1104" s="5" t="s">
        <v>508</v>
      </c>
      <c r="E1104" s="5" t="s">
        <v>509</v>
      </c>
    </row>
    <row r="1105" customFormat="false" ht="15" hidden="false" customHeight="true" outlineLevel="0" collapsed="false">
      <c r="A1105" s="5" t="n">
        <v>238</v>
      </c>
      <c r="B1105" s="5" t="s">
        <v>862</v>
      </c>
      <c r="C1105" s="5" t="s">
        <v>125</v>
      </c>
      <c r="D1105" s="5" t="s">
        <v>126</v>
      </c>
      <c r="E1105" s="5" t="s">
        <v>126</v>
      </c>
    </row>
    <row r="1106" customFormat="false" ht="15" hidden="false" customHeight="true" outlineLevel="0" collapsed="false">
      <c r="A1106" s="5" t="n">
        <v>238</v>
      </c>
      <c r="B1106" s="5" t="s">
        <v>862</v>
      </c>
      <c r="C1106" s="5" t="s">
        <v>125</v>
      </c>
      <c r="D1106" s="5" t="s">
        <v>29</v>
      </c>
      <c r="E1106" s="5" t="s">
        <v>820</v>
      </c>
    </row>
    <row r="1107" customFormat="false" ht="15" hidden="false" customHeight="true" outlineLevel="0" collapsed="false">
      <c r="A1107" s="5" t="n">
        <v>238</v>
      </c>
      <c r="B1107" s="5" t="s">
        <v>862</v>
      </c>
      <c r="C1107" s="5" t="s">
        <v>125</v>
      </c>
      <c r="D1107" s="5" t="s">
        <v>27</v>
      </c>
      <c r="E1107" s="5" t="s">
        <v>28</v>
      </c>
    </row>
    <row r="1108" customFormat="false" ht="15" hidden="false" customHeight="true" outlineLevel="0" collapsed="false">
      <c r="A1108" s="5" t="n">
        <v>239</v>
      </c>
      <c r="B1108" s="5" t="s">
        <v>863</v>
      </c>
      <c r="C1108" s="5" t="s">
        <v>279</v>
      </c>
      <c r="D1108" s="5" t="s">
        <v>39</v>
      </c>
      <c r="E1108" s="5" t="s">
        <v>39</v>
      </c>
    </row>
    <row r="1109" customFormat="false" ht="15" hidden="false" customHeight="true" outlineLevel="0" collapsed="false">
      <c r="A1109" s="5" t="n">
        <v>239</v>
      </c>
      <c r="B1109" s="5" t="s">
        <v>863</v>
      </c>
      <c r="C1109" s="5" t="s">
        <v>279</v>
      </c>
      <c r="D1109" s="5" t="s">
        <v>85</v>
      </c>
      <c r="E1109" s="5" t="s">
        <v>86</v>
      </c>
    </row>
    <row r="1110" customFormat="false" ht="15" hidden="false" customHeight="true" outlineLevel="0" collapsed="false">
      <c r="A1110" s="5" t="n">
        <v>239</v>
      </c>
      <c r="B1110" s="5" t="s">
        <v>863</v>
      </c>
      <c r="C1110" s="5" t="s">
        <v>279</v>
      </c>
      <c r="D1110" s="5" t="s">
        <v>27</v>
      </c>
      <c r="E1110" s="5" t="s">
        <v>864</v>
      </c>
    </row>
    <row r="1111" customFormat="false" ht="15" hidden="false" customHeight="true" outlineLevel="0" collapsed="false">
      <c r="A1111" s="5" t="n">
        <v>240</v>
      </c>
      <c r="B1111" s="5" t="s">
        <v>865</v>
      </c>
      <c r="C1111" s="5" t="s">
        <v>154</v>
      </c>
      <c r="D1111" s="5" t="s">
        <v>552</v>
      </c>
      <c r="E1111" s="5" t="s">
        <v>552</v>
      </c>
    </row>
    <row r="1112" customFormat="false" ht="15" hidden="false" customHeight="true" outlineLevel="0" collapsed="false">
      <c r="A1112" s="5" t="n">
        <v>240</v>
      </c>
      <c r="B1112" s="5" t="s">
        <v>865</v>
      </c>
      <c r="C1112" s="5" t="s">
        <v>154</v>
      </c>
      <c r="D1112" s="5" t="s">
        <v>68</v>
      </c>
      <c r="E1112" s="5" t="s">
        <v>69</v>
      </c>
    </row>
    <row r="1113" customFormat="false" ht="15" hidden="false" customHeight="true" outlineLevel="0" collapsed="false">
      <c r="A1113" s="5" t="n">
        <v>240</v>
      </c>
      <c r="B1113" s="5" t="s">
        <v>865</v>
      </c>
      <c r="C1113" s="5" t="s">
        <v>154</v>
      </c>
      <c r="D1113" s="5" t="s">
        <v>321</v>
      </c>
      <c r="E1113" s="5" t="s">
        <v>322</v>
      </c>
    </row>
    <row r="1114" customFormat="false" ht="15" hidden="false" customHeight="true" outlineLevel="0" collapsed="false">
      <c r="A1114" s="5" t="n">
        <v>240</v>
      </c>
      <c r="B1114" s="5" t="s">
        <v>865</v>
      </c>
      <c r="C1114" s="5" t="s">
        <v>154</v>
      </c>
      <c r="D1114" s="5" t="s">
        <v>74</v>
      </c>
      <c r="E1114" s="5" t="s">
        <v>75</v>
      </c>
    </row>
  </sheetData>
  <autoFilter ref="A1:E11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30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20"/>
    <col collapsed="false" customWidth="true" hidden="false" outlineLevel="0" max="7" min="7" style="1" width="45"/>
  </cols>
  <sheetData>
    <row r="1" customFormat="false" ht="21.75" hidden="false" customHeight="true" outlineLevel="0" collapsed="false">
      <c r="A1" s="10" t="s">
        <v>19</v>
      </c>
      <c r="B1" s="10" t="s">
        <v>866</v>
      </c>
      <c r="C1" s="10" t="s">
        <v>20</v>
      </c>
      <c r="D1" s="10" t="s">
        <v>21</v>
      </c>
      <c r="E1" s="10" t="s">
        <v>867</v>
      </c>
      <c r="F1" s="10" t="s">
        <v>10</v>
      </c>
      <c r="G1" s="10" t="s">
        <v>868</v>
      </c>
    </row>
    <row r="2" customFormat="false" ht="15" hidden="false" customHeight="true" outlineLevel="0" collapsed="false">
      <c r="A2" s="5" t="n">
        <v>1</v>
      </c>
      <c r="B2" s="5" t="s">
        <v>869</v>
      </c>
      <c r="C2" s="5" t="s">
        <v>24</v>
      </c>
      <c r="D2" s="5" t="s">
        <v>25</v>
      </c>
      <c r="E2" s="5" t="s">
        <v>870</v>
      </c>
      <c r="F2" s="5" t="s">
        <v>871</v>
      </c>
      <c r="G2" s="5" t="s">
        <v>872</v>
      </c>
    </row>
    <row r="3" customFormat="false" ht="15" hidden="false" customHeight="true" outlineLevel="0" collapsed="false">
      <c r="A3" s="5" t="n">
        <v>2</v>
      </c>
      <c r="B3" s="5" t="s">
        <v>869</v>
      </c>
      <c r="C3" s="5" t="s">
        <v>37</v>
      </c>
      <c r="D3" s="5" t="s">
        <v>38</v>
      </c>
      <c r="E3" s="5" t="s">
        <v>873</v>
      </c>
      <c r="F3" s="5" t="s">
        <v>871</v>
      </c>
      <c r="G3" s="5" t="s">
        <v>874</v>
      </c>
    </row>
    <row r="4" customFormat="false" ht="15" hidden="false" customHeight="true" outlineLevel="0" collapsed="false">
      <c r="A4" s="5" t="n">
        <v>3</v>
      </c>
      <c r="B4" s="5" t="s">
        <v>869</v>
      </c>
      <c r="C4" s="5" t="s">
        <v>50</v>
      </c>
      <c r="D4" s="5" t="s">
        <v>51</v>
      </c>
      <c r="E4" s="5" t="s">
        <v>870</v>
      </c>
      <c r="F4" s="5" t="s">
        <v>871</v>
      </c>
      <c r="G4" s="5" t="s">
        <v>875</v>
      </c>
    </row>
    <row r="5" customFormat="false" ht="15" hidden="false" customHeight="true" outlineLevel="0" collapsed="false">
      <c r="A5" s="5" t="n">
        <v>4</v>
      </c>
      <c r="B5" s="5" t="s">
        <v>869</v>
      </c>
      <c r="C5" s="5" t="s">
        <v>63</v>
      </c>
      <c r="D5" s="5" t="s">
        <v>64</v>
      </c>
      <c r="E5" s="5" t="s">
        <v>873</v>
      </c>
      <c r="F5" s="5" t="s">
        <v>876</v>
      </c>
      <c r="G5" s="5" t="s">
        <v>877</v>
      </c>
    </row>
    <row r="6" customFormat="false" ht="15" hidden="false" customHeight="true" outlineLevel="0" collapsed="false">
      <c r="A6" s="5" t="n">
        <v>5</v>
      </c>
      <c r="B6" s="5" t="s">
        <v>869</v>
      </c>
      <c r="C6" s="5" t="s">
        <v>76</v>
      </c>
      <c r="D6" s="5" t="s">
        <v>77</v>
      </c>
      <c r="E6" s="5" t="s">
        <v>870</v>
      </c>
      <c r="F6" s="5" t="s">
        <v>878</v>
      </c>
      <c r="G6" s="5" t="s">
        <v>879</v>
      </c>
    </row>
    <row r="7" customFormat="false" ht="15" hidden="false" customHeight="true" outlineLevel="0" collapsed="false">
      <c r="A7" s="5" t="n">
        <v>6</v>
      </c>
      <c r="B7" s="5" t="s">
        <v>869</v>
      </c>
      <c r="C7" s="5" t="s">
        <v>83</v>
      </c>
      <c r="D7" s="5" t="s">
        <v>84</v>
      </c>
      <c r="E7" s="5" t="s">
        <v>880</v>
      </c>
      <c r="F7" s="5" t="s">
        <v>881</v>
      </c>
      <c r="G7" s="5" t="s">
        <v>882</v>
      </c>
    </row>
    <row r="8" customFormat="false" ht="15" hidden="false" customHeight="true" outlineLevel="0" collapsed="false">
      <c r="A8" s="5" t="n">
        <v>7</v>
      </c>
      <c r="B8" s="5" t="s">
        <v>869</v>
      </c>
      <c r="C8" s="5" t="s">
        <v>95</v>
      </c>
      <c r="D8" s="5" t="s">
        <v>96</v>
      </c>
      <c r="E8" s="5" t="s">
        <v>870</v>
      </c>
      <c r="F8" s="5" t="s">
        <v>871</v>
      </c>
      <c r="G8" s="5" t="s">
        <v>874</v>
      </c>
    </row>
    <row r="9" customFormat="false" ht="15" hidden="false" customHeight="true" outlineLevel="0" collapsed="false">
      <c r="A9" s="5" t="n">
        <v>8</v>
      </c>
      <c r="B9" s="5" t="s">
        <v>869</v>
      </c>
      <c r="C9" s="5" t="s">
        <v>105</v>
      </c>
      <c r="D9" s="5" t="s">
        <v>106</v>
      </c>
      <c r="E9" s="5" t="s">
        <v>883</v>
      </c>
      <c r="F9" s="5" t="s">
        <v>884</v>
      </c>
      <c r="G9" s="5" t="s">
        <v>885</v>
      </c>
    </row>
    <row r="10" customFormat="false" ht="15" hidden="false" customHeight="true" outlineLevel="0" collapsed="false">
      <c r="A10" s="5" t="n">
        <v>9</v>
      </c>
      <c r="B10" s="5" t="s">
        <v>869</v>
      </c>
      <c r="C10" s="5" t="s">
        <v>109</v>
      </c>
      <c r="D10" s="5" t="s">
        <v>110</v>
      </c>
      <c r="E10" s="5" t="s">
        <v>886</v>
      </c>
      <c r="F10" s="5" t="s">
        <v>887</v>
      </c>
      <c r="G10" s="5" t="s">
        <v>888</v>
      </c>
    </row>
    <row r="11" customFormat="false" ht="15" hidden="false" customHeight="true" outlineLevel="0" collapsed="false">
      <c r="A11" s="5" t="n">
        <v>10</v>
      </c>
      <c r="B11" s="5" t="s">
        <v>869</v>
      </c>
      <c r="C11" s="5" t="s">
        <v>124</v>
      </c>
      <c r="D11" s="5" t="s">
        <v>125</v>
      </c>
      <c r="E11" s="5" t="s">
        <v>870</v>
      </c>
      <c r="F11" s="5" t="s">
        <v>889</v>
      </c>
      <c r="G11" s="5" t="s">
        <v>890</v>
      </c>
    </row>
    <row r="12" customFormat="false" ht="15" hidden="false" customHeight="true" outlineLevel="0" collapsed="false">
      <c r="A12" s="5" t="n">
        <v>11</v>
      </c>
      <c r="B12" s="5" t="s">
        <v>869</v>
      </c>
      <c r="C12" s="5" t="s">
        <v>134</v>
      </c>
      <c r="D12" s="5" t="s">
        <v>135</v>
      </c>
      <c r="E12" s="5" t="s">
        <v>880</v>
      </c>
      <c r="F12" s="5" t="s">
        <v>880</v>
      </c>
      <c r="G12" s="5" t="s">
        <v>891</v>
      </c>
    </row>
    <row r="13" customFormat="false" ht="15" hidden="false" customHeight="true" outlineLevel="0" collapsed="false">
      <c r="A13" s="5" t="n">
        <v>12</v>
      </c>
      <c r="B13" s="5" t="s">
        <v>869</v>
      </c>
      <c r="C13" s="5" t="s">
        <v>147</v>
      </c>
      <c r="D13" s="5" t="s">
        <v>148</v>
      </c>
      <c r="E13" s="5" t="s">
        <v>870</v>
      </c>
      <c r="F13" s="5" t="s">
        <v>881</v>
      </c>
      <c r="G13" s="5" t="s">
        <v>892</v>
      </c>
    </row>
    <row r="14" customFormat="false" ht="15" hidden="false" customHeight="true" outlineLevel="0" collapsed="false">
      <c r="A14" s="5" t="n">
        <v>13</v>
      </c>
      <c r="B14" s="5" t="s">
        <v>869</v>
      </c>
      <c r="C14" s="5" t="s">
        <v>153</v>
      </c>
      <c r="D14" s="5" t="s">
        <v>154</v>
      </c>
      <c r="E14" s="5" t="s">
        <v>873</v>
      </c>
      <c r="F14" s="5" t="s">
        <v>876</v>
      </c>
      <c r="G14" s="5" t="s">
        <v>893</v>
      </c>
    </row>
    <row r="15" customFormat="false" ht="15" hidden="false" customHeight="true" outlineLevel="0" collapsed="false">
      <c r="A15" s="5" t="n">
        <v>14</v>
      </c>
      <c r="B15" s="5" t="s">
        <v>869</v>
      </c>
      <c r="C15" s="5" t="s">
        <v>162</v>
      </c>
      <c r="D15" s="5" t="s">
        <v>163</v>
      </c>
      <c r="E15" s="5" t="s">
        <v>894</v>
      </c>
      <c r="F15" s="5" t="s">
        <v>895</v>
      </c>
      <c r="G15" s="5" t="s">
        <v>892</v>
      </c>
    </row>
    <row r="16" customFormat="false" ht="15" hidden="false" customHeight="true" outlineLevel="0" collapsed="false">
      <c r="A16" s="5" t="n">
        <v>15</v>
      </c>
      <c r="B16" s="5" t="s">
        <v>869</v>
      </c>
      <c r="C16" s="5" t="s">
        <v>170</v>
      </c>
      <c r="D16" s="5" t="s">
        <v>171</v>
      </c>
      <c r="E16" s="5" t="s">
        <v>870</v>
      </c>
      <c r="F16" s="5" t="s">
        <v>878</v>
      </c>
      <c r="G16" s="5" t="s">
        <v>896</v>
      </c>
    </row>
    <row r="17" customFormat="false" ht="15" hidden="false" customHeight="true" outlineLevel="0" collapsed="false">
      <c r="A17" s="5" t="n">
        <v>16</v>
      </c>
      <c r="B17" s="5" t="s">
        <v>897</v>
      </c>
      <c r="C17" s="5" t="s">
        <v>180</v>
      </c>
      <c r="D17" s="5" t="s">
        <v>181</v>
      </c>
      <c r="E17" s="5" t="s">
        <v>898</v>
      </c>
      <c r="F17" s="5" t="s">
        <v>899</v>
      </c>
      <c r="G17" s="5" t="s">
        <v>900</v>
      </c>
    </row>
    <row r="18" customFormat="false" ht="15" hidden="false" customHeight="true" outlineLevel="0" collapsed="false">
      <c r="A18" s="5" t="n">
        <v>17</v>
      </c>
      <c r="B18" s="5" t="s">
        <v>897</v>
      </c>
      <c r="C18" s="5" t="s">
        <v>190</v>
      </c>
      <c r="D18" s="5" t="s">
        <v>191</v>
      </c>
      <c r="E18" s="5" t="s">
        <v>886</v>
      </c>
      <c r="F18" s="5" t="s">
        <v>899</v>
      </c>
      <c r="G18" s="5" t="s">
        <v>901</v>
      </c>
    </row>
    <row r="19" customFormat="false" ht="15" hidden="false" customHeight="true" outlineLevel="0" collapsed="false">
      <c r="A19" s="5" t="n">
        <v>18</v>
      </c>
      <c r="B19" s="5" t="s">
        <v>897</v>
      </c>
      <c r="C19" s="5" t="s">
        <v>201</v>
      </c>
      <c r="D19" s="5" t="s">
        <v>171</v>
      </c>
      <c r="E19" s="5" t="s">
        <v>886</v>
      </c>
      <c r="F19" s="5" t="s">
        <v>880</v>
      </c>
      <c r="G19" s="5" t="s">
        <v>902</v>
      </c>
    </row>
    <row r="20" customFormat="false" ht="15" hidden="false" customHeight="true" outlineLevel="0" collapsed="false">
      <c r="A20" s="5" t="n">
        <v>19</v>
      </c>
      <c r="B20" s="5" t="s">
        <v>897</v>
      </c>
      <c r="C20" s="5" t="s">
        <v>209</v>
      </c>
      <c r="D20" s="5" t="s">
        <v>210</v>
      </c>
      <c r="E20" s="5" t="s">
        <v>873</v>
      </c>
      <c r="F20" s="5" t="s">
        <v>899</v>
      </c>
      <c r="G20" s="5" t="s">
        <v>903</v>
      </c>
    </row>
    <row r="21" customFormat="false" ht="15" hidden="false" customHeight="true" outlineLevel="0" collapsed="false">
      <c r="A21" s="5" t="n">
        <v>20</v>
      </c>
      <c r="B21" s="5" t="s">
        <v>897</v>
      </c>
      <c r="C21" s="5" t="s">
        <v>216</v>
      </c>
      <c r="D21" s="5" t="s">
        <v>38</v>
      </c>
      <c r="E21" s="5" t="s">
        <v>894</v>
      </c>
      <c r="F21" s="5" t="s">
        <v>880</v>
      </c>
      <c r="G21" s="5" t="s">
        <v>904</v>
      </c>
    </row>
    <row r="22" customFormat="false" ht="15" hidden="false" customHeight="true" outlineLevel="0" collapsed="false">
      <c r="A22" s="5" t="n">
        <v>21</v>
      </c>
      <c r="B22" s="5" t="s">
        <v>897</v>
      </c>
      <c r="C22" s="5" t="s">
        <v>227</v>
      </c>
      <c r="D22" s="5" t="s">
        <v>163</v>
      </c>
      <c r="E22" s="5" t="s">
        <v>898</v>
      </c>
      <c r="F22" s="5" t="s">
        <v>905</v>
      </c>
      <c r="G22" s="5" t="s">
        <v>906</v>
      </c>
    </row>
    <row r="23" customFormat="false" ht="15" hidden="false" customHeight="true" outlineLevel="0" collapsed="false">
      <c r="A23" s="5" t="n">
        <v>22</v>
      </c>
      <c r="B23" s="5" t="s">
        <v>897</v>
      </c>
      <c r="C23" s="5" t="s">
        <v>238</v>
      </c>
      <c r="D23" s="5" t="s">
        <v>239</v>
      </c>
      <c r="E23" s="5" t="s">
        <v>898</v>
      </c>
      <c r="F23" s="5" t="s">
        <v>880</v>
      </c>
      <c r="G23" s="5" t="s">
        <v>907</v>
      </c>
    </row>
    <row r="24" customFormat="false" ht="15" hidden="false" customHeight="true" outlineLevel="0" collapsed="false">
      <c r="A24" s="5" t="n">
        <v>23</v>
      </c>
      <c r="B24" s="5" t="s">
        <v>897</v>
      </c>
      <c r="C24" s="5" t="s">
        <v>250</v>
      </c>
      <c r="D24" s="5" t="s">
        <v>96</v>
      </c>
      <c r="E24" s="5" t="s">
        <v>44</v>
      </c>
      <c r="F24" s="5" t="s">
        <v>908</v>
      </c>
      <c r="G24" s="5" t="s">
        <v>909</v>
      </c>
    </row>
    <row r="25" customFormat="false" ht="15" hidden="false" customHeight="true" outlineLevel="0" collapsed="false">
      <c r="A25" s="5" t="n">
        <v>24</v>
      </c>
      <c r="B25" s="5" t="s">
        <v>897</v>
      </c>
      <c r="C25" s="5" t="s">
        <v>259</v>
      </c>
      <c r="D25" s="5" t="s">
        <v>260</v>
      </c>
      <c r="E25" s="5" t="s">
        <v>910</v>
      </c>
      <c r="F25" s="5" t="s">
        <v>899</v>
      </c>
      <c r="G25" s="5" t="s">
        <v>911</v>
      </c>
    </row>
    <row r="26" customFormat="false" ht="15" hidden="false" customHeight="true" outlineLevel="0" collapsed="false">
      <c r="A26" s="5" t="n">
        <v>25</v>
      </c>
      <c r="B26" s="5" t="s">
        <v>897</v>
      </c>
      <c r="C26" s="5" t="s">
        <v>271</v>
      </c>
      <c r="D26" s="5" t="s">
        <v>110</v>
      </c>
      <c r="E26" s="5" t="s">
        <v>910</v>
      </c>
      <c r="F26" s="5" t="s">
        <v>880</v>
      </c>
      <c r="G26" s="5" t="s">
        <v>912</v>
      </c>
    </row>
    <row r="27" customFormat="false" ht="15" hidden="false" customHeight="true" outlineLevel="0" collapsed="false">
      <c r="A27" s="5" t="n">
        <v>26</v>
      </c>
      <c r="B27" s="5" t="s">
        <v>897</v>
      </c>
      <c r="C27" s="5" t="s">
        <v>278</v>
      </c>
      <c r="D27" s="5" t="s">
        <v>279</v>
      </c>
      <c r="E27" s="5" t="s">
        <v>883</v>
      </c>
      <c r="F27" s="5" t="s">
        <v>889</v>
      </c>
      <c r="G27" s="5" t="s">
        <v>909</v>
      </c>
    </row>
    <row r="28" customFormat="false" ht="15" hidden="false" customHeight="true" outlineLevel="0" collapsed="false">
      <c r="A28" s="5" t="n">
        <v>27</v>
      </c>
      <c r="B28" s="5" t="s">
        <v>897</v>
      </c>
      <c r="C28" s="5" t="s">
        <v>285</v>
      </c>
      <c r="D28" s="5" t="s">
        <v>286</v>
      </c>
      <c r="E28" s="5" t="s">
        <v>913</v>
      </c>
      <c r="F28" s="5" t="s">
        <v>914</v>
      </c>
      <c r="G28" s="5" t="s">
        <v>885</v>
      </c>
    </row>
    <row r="29" customFormat="false" ht="15" hidden="false" customHeight="true" outlineLevel="0" collapsed="false">
      <c r="A29" s="5" t="n">
        <v>28</v>
      </c>
      <c r="B29" s="5" t="s">
        <v>897</v>
      </c>
      <c r="C29" s="5" t="s">
        <v>293</v>
      </c>
      <c r="D29" s="5" t="s">
        <v>154</v>
      </c>
      <c r="E29" s="5" t="s">
        <v>898</v>
      </c>
      <c r="F29" s="5" t="s">
        <v>915</v>
      </c>
      <c r="G29" s="5" t="s">
        <v>916</v>
      </c>
    </row>
    <row r="30" customFormat="false" ht="15" hidden="false" customHeight="true" outlineLevel="0" collapsed="false">
      <c r="A30" s="5" t="n">
        <v>29</v>
      </c>
      <c r="B30" s="5" t="s">
        <v>897</v>
      </c>
      <c r="C30" s="5" t="s">
        <v>297</v>
      </c>
      <c r="D30" s="5" t="s">
        <v>51</v>
      </c>
      <c r="E30" s="5" t="s">
        <v>886</v>
      </c>
      <c r="F30" s="5" t="s">
        <v>917</v>
      </c>
      <c r="G30" s="5" t="s">
        <v>918</v>
      </c>
    </row>
    <row r="31" customFormat="false" ht="15" hidden="false" customHeight="true" outlineLevel="0" collapsed="false">
      <c r="A31" s="5" t="n">
        <v>30</v>
      </c>
      <c r="B31" s="5" t="s">
        <v>897</v>
      </c>
      <c r="C31" s="5" t="s">
        <v>304</v>
      </c>
      <c r="D31" s="5" t="s">
        <v>137</v>
      </c>
      <c r="E31" s="5" t="s">
        <v>910</v>
      </c>
      <c r="F31" s="5" t="s">
        <v>871</v>
      </c>
      <c r="G31" s="5" t="s">
        <v>919</v>
      </c>
    </row>
    <row r="32" customFormat="false" ht="15" hidden="false" customHeight="true" outlineLevel="0" collapsed="false">
      <c r="A32" s="5" t="n">
        <v>31</v>
      </c>
      <c r="B32" s="5" t="s">
        <v>920</v>
      </c>
      <c r="C32" s="5" t="s">
        <v>309</v>
      </c>
      <c r="D32" s="5" t="s">
        <v>25</v>
      </c>
      <c r="E32" s="5" t="s">
        <v>921</v>
      </c>
      <c r="F32" s="5" t="s">
        <v>922</v>
      </c>
      <c r="G32" s="5" t="s">
        <v>923</v>
      </c>
    </row>
    <row r="33" customFormat="false" ht="15" hidden="false" customHeight="true" outlineLevel="0" collapsed="false">
      <c r="A33" s="5" t="n">
        <v>32</v>
      </c>
      <c r="B33" s="5" t="s">
        <v>920</v>
      </c>
      <c r="C33" s="5" t="s">
        <v>319</v>
      </c>
      <c r="D33" s="5" t="s">
        <v>64</v>
      </c>
      <c r="E33" s="5" t="s">
        <v>924</v>
      </c>
      <c r="F33" s="5" t="s">
        <v>917</v>
      </c>
      <c r="G33" s="5" t="s">
        <v>925</v>
      </c>
    </row>
    <row r="34" customFormat="false" ht="15" hidden="false" customHeight="true" outlineLevel="0" collapsed="false">
      <c r="A34" s="5" t="n">
        <v>33</v>
      </c>
      <c r="B34" s="5" t="s">
        <v>920</v>
      </c>
      <c r="C34" s="5" t="s">
        <v>329</v>
      </c>
      <c r="D34" s="5" t="s">
        <v>181</v>
      </c>
      <c r="E34" s="5" t="s">
        <v>921</v>
      </c>
      <c r="F34" s="5" t="s">
        <v>922</v>
      </c>
      <c r="G34" s="5" t="s">
        <v>926</v>
      </c>
    </row>
    <row r="35" customFormat="false" ht="15" hidden="false" customHeight="true" outlineLevel="0" collapsed="false">
      <c r="A35" s="5" t="n">
        <v>34</v>
      </c>
      <c r="B35" s="5" t="s">
        <v>920</v>
      </c>
      <c r="C35" s="5" t="s">
        <v>335</v>
      </c>
      <c r="D35" s="5" t="s">
        <v>260</v>
      </c>
      <c r="E35" s="5" t="s">
        <v>924</v>
      </c>
      <c r="F35" s="5" t="s">
        <v>905</v>
      </c>
      <c r="G35" s="5" t="s">
        <v>926</v>
      </c>
    </row>
    <row r="36" customFormat="false" ht="15" hidden="false" customHeight="true" outlineLevel="0" collapsed="false">
      <c r="A36" s="5" t="n">
        <v>35</v>
      </c>
      <c r="B36" s="5" t="s">
        <v>920</v>
      </c>
      <c r="C36" s="5" t="s">
        <v>340</v>
      </c>
      <c r="D36" s="5" t="s">
        <v>51</v>
      </c>
      <c r="E36" s="5" t="s">
        <v>921</v>
      </c>
      <c r="F36" s="5" t="s">
        <v>922</v>
      </c>
      <c r="G36" s="5" t="s">
        <v>927</v>
      </c>
    </row>
    <row r="37" customFormat="false" ht="15" hidden="false" customHeight="true" outlineLevel="0" collapsed="false">
      <c r="A37" s="5" t="n">
        <v>36</v>
      </c>
      <c r="B37" s="5" t="s">
        <v>920</v>
      </c>
      <c r="C37" s="5" t="s">
        <v>347</v>
      </c>
      <c r="D37" s="5" t="s">
        <v>348</v>
      </c>
      <c r="E37" s="5" t="s">
        <v>924</v>
      </c>
      <c r="F37" s="5" t="s">
        <v>905</v>
      </c>
      <c r="G37" s="5" t="s">
        <v>928</v>
      </c>
    </row>
    <row r="38" customFormat="false" ht="15" hidden="false" customHeight="true" outlineLevel="0" collapsed="false">
      <c r="A38" s="5" t="n">
        <v>37</v>
      </c>
      <c r="B38" s="5" t="s">
        <v>920</v>
      </c>
      <c r="C38" s="5" t="s">
        <v>355</v>
      </c>
      <c r="D38" s="5" t="s">
        <v>106</v>
      </c>
      <c r="E38" s="5" t="s">
        <v>921</v>
      </c>
      <c r="F38" s="5" t="s">
        <v>881</v>
      </c>
      <c r="G38" s="5" t="s">
        <v>929</v>
      </c>
    </row>
    <row r="39" customFormat="false" ht="15" hidden="false" customHeight="true" outlineLevel="0" collapsed="false">
      <c r="A39" s="5" t="n">
        <v>38</v>
      </c>
      <c r="B39" s="5" t="s">
        <v>920</v>
      </c>
      <c r="C39" s="5" t="s">
        <v>361</v>
      </c>
      <c r="D39" s="5" t="s">
        <v>135</v>
      </c>
      <c r="E39" s="5" t="s">
        <v>880</v>
      </c>
      <c r="F39" s="5" t="s">
        <v>880</v>
      </c>
      <c r="G39" s="5" t="s">
        <v>930</v>
      </c>
    </row>
    <row r="40" customFormat="false" ht="15" hidden="false" customHeight="true" outlineLevel="0" collapsed="false">
      <c r="A40" s="5" t="n">
        <v>39</v>
      </c>
      <c r="B40" s="5" t="s">
        <v>920</v>
      </c>
      <c r="C40" s="5" t="s">
        <v>368</v>
      </c>
      <c r="D40" s="5" t="s">
        <v>210</v>
      </c>
      <c r="E40" s="5" t="s">
        <v>622</v>
      </c>
      <c r="F40" s="5" t="s">
        <v>922</v>
      </c>
      <c r="G40" s="5" t="s">
        <v>931</v>
      </c>
    </row>
    <row r="41" customFormat="false" ht="15" hidden="false" customHeight="true" outlineLevel="0" collapsed="false">
      <c r="A41" s="5" t="n">
        <v>40</v>
      </c>
      <c r="B41" s="5" t="s">
        <v>920</v>
      </c>
      <c r="C41" s="5" t="s">
        <v>377</v>
      </c>
      <c r="D41" s="5" t="s">
        <v>38</v>
      </c>
      <c r="E41" s="5" t="s">
        <v>921</v>
      </c>
      <c r="F41" s="5" t="s">
        <v>881</v>
      </c>
      <c r="G41" s="5" t="s">
        <v>932</v>
      </c>
    </row>
    <row r="42" customFormat="false" ht="15" hidden="false" customHeight="true" outlineLevel="0" collapsed="false">
      <c r="A42" s="5" t="n">
        <v>41</v>
      </c>
      <c r="B42" s="5" t="s">
        <v>920</v>
      </c>
      <c r="C42" s="5" t="s">
        <v>382</v>
      </c>
      <c r="D42" s="5" t="s">
        <v>84</v>
      </c>
      <c r="E42" s="5" t="s">
        <v>924</v>
      </c>
      <c r="F42" s="5" t="s">
        <v>917</v>
      </c>
      <c r="G42" s="5" t="s">
        <v>933</v>
      </c>
    </row>
    <row r="43" customFormat="false" ht="15" hidden="false" customHeight="true" outlineLevel="0" collapsed="false">
      <c r="A43" s="5" t="n">
        <v>42</v>
      </c>
      <c r="B43" s="5" t="s">
        <v>920</v>
      </c>
      <c r="C43" s="5" t="s">
        <v>388</v>
      </c>
      <c r="D43" s="5" t="s">
        <v>191</v>
      </c>
      <c r="E43" s="5" t="s">
        <v>910</v>
      </c>
      <c r="F43" s="5" t="s">
        <v>899</v>
      </c>
      <c r="G43" s="5" t="s">
        <v>934</v>
      </c>
    </row>
    <row r="44" customFormat="false" ht="15" hidden="false" customHeight="true" outlineLevel="0" collapsed="false">
      <c r="A44" s="5" t="n">
        <v>43</v>
      </c>
      <c r="B44" s="5" t="s">
        <v>920</v>
      </c>
      <c r="C44" s="5" t="s">
        <v>392</v>
      </c>
      <c r="D44" s="5" t="s">
        <v>148</v>
      </c>
      <c r="E44" s="5" t="s">
        <v>935</v>
      </c>
      <c r="F44" s="5" t="s">
        <v>922</v>
      </c>
      <c r="G44" s="5" t="s">
        <v>909</v>
      </c>
    </row>
    <row r="45" customFormat="false" ht="15" hidden="false" customHeight="true" outlineLevel="0" collapsed="false">
      <c r="A45" s="5" t="n">
        <v>44</v>
      </c>
      <c r="B45" s="5" t="s">
        <v>920</v>
      </c>
      <c r="C45" s="5" t="s">
        <v>396</v>
      </c>
      <c r="D45" s="5" t="s">
        <v>77</v>
      </c>
      <c r="E45" s="5" t="s">
        <v>924</v>
      </c>
      <c r="F45" s="5" t="s">
        <v>936</v>
      </c>
      <c r="G45" s="5" t="s">
        <v>937</v>
      </c>
    </row>
    <row r="46" customFormat="false" ht="15" hidden="false" customHeight="true" outlineLevel="0" collapsed="false">
      <c r="A46" s="5" t="n">
        <v>45</v>
      </c>
      <c r="B46" s="5" t="s">
        <v>920</v>
      </c>
      <c r="C46" s="5" t="s">
        <v>404</v>
      </c>
      <c r="D46" s="5" t="s">
        <v>96</v>
      </c>
      <c r="E46" s="5" t="s">
        <v>910</v>
      </c>
      <c r="F46" s="5" t="s">
        <v>881</v>
      </c>
      <c r="G46" s="5" t="s">
        <v>938</v>
      </c>
    </row>
    <row r="47" customFormat="false" ht="15" hidden="false" customHeight="true" outlineLevel="0" collapsed="false">
      <c r="A47" s="5" t="n">
        <v>46</v>
      </c>
      <c r="B47" s="5" t="s">
        <v>939</v>
      </c>
      <c r="C47" s="5" t="s">
        <v>411</v>
      </c>
      <c r="D47" s="5" t="s">
        <v>125</v>
      </c>
      <c r="E47" s="5" t="s">
        <v>622</v>
      </c>
      <c r="F47" s="5" t="s">
        <v>940</v>
      </c>
      <c r="G47" s="5" t="s">
        <v>941</v>
      </c>
    </row>
    <row r="48" customFormat="false" ht="15" hidden="false" customHeight="true" outlineLevel="0" collapsed="false">
      <c r="A48" s="5" t="n">
        <v>47</v>
      </c>
      <c r="B48" s="5" t="s">
        <v>939</v>
      </c>
      <c r="C48" s="5" t="s">
        <v>413</v>
      </c>
      <c r="D48" s="5" t="s">
        <v>148</v>
      </c>
      <c r="E48" s="5" t="s">
        <v>870</v>
      </c>
      <c r="F48" s="5" t="s">
        <v>881</v>
      </c>
      <c r="G48" s="5" t="s">
        <v>892</v>
      </c>
    </row>
    <row r="49" customFormat="false" ht="15" hidden="false" customHeight="true" outlineLevel="0" collapsed="false">
      <c r="A49" s="5" t="n">
        <v>48</v>
      </c>
      <c r="B49" s="5" t="s">
        <v>939</v>
      </c>
      <c r="C49" s="5" t="s">
        <v>416</v>
      </c>
      <c r="D49" s="5" t="s">
        <v>84</v>
      </c>
      <c r="E49" s="5" t="s">
        <v>924</v>
      </c>
      <c r="F49" s="5" t="s">
        <v>876</v>
      </c>
      <c r="G49" s="5" t="s">
        <v>942</v>
      </c>
    </row>
    <row r="50" customFormat="false" ht="15" hidden="false" customHeight="true" outlineLevel="0" collapsed="false">
      <c r="A50" s="5" t="n">
        <v>49</v>
      </c>
      <c r="B50" s="5" t="s">
        <v>939</v>
      </c>
      <c r="C50" s="5" t="s">
        <v>418</v>
      </c>
      <c r="D50" s="5" t="s">
        <v>171</v>
      </c>
      <c r="E50" s="5" t="s">
        <v>894</v>
      </c>
      <c r="F50" s="5" t="s">
        <v>936</v>
      </c>
      <c r="G50" s="5" t="s">
        <v>943</v>
      </c>
    </row>
    <row r="51" customFormat="false" ht="15" hidden="false" customHeight="true" outlineLevel="0" collapsed="false">
      <c r="A51" s="5" t="n">
        <v>50</v>
      </c>
      <c r="B51" s="5" t="s">
        <v>939</v>
      </c>
      <c r="C51" s="5" t="s">
        <v>422</v>
      </c>
      <c r="D51" s="5" t="s">
        <v>64</v>
      </c>
      <c r="E51" s="5" t="s">
        <v>873</v>
      </c>
      <c r="F51" s="5" t="s">
        <v>940</v>
      </c>
      <c r="G51" s="5" t="s">
        <v>944</v>
      </c>
    </row>
    <row r="52" customFormat="false" ht="15" hidden="false" customHeight="true" outlineLevel="0" collapsed="false">
      <c r="A52" s="5" t="n">
        <v>51</v>
      </c>
      <c r="B52" s="5" t="s">
        <v>939</v>
      </c>
      <c r="C52" s="5" t="s">
        <v>426</v>
      </c>
      <c r="D52" s="5" t="s">
        <v>260</v>
      </c>
      <c r="E52" s="5" t="s">
        <v>935</v>
      </c>
      <c r="F52" s="5" t="s">
        <v>878</v>
      </c>
      <c r="G52" s="5" t="s">
        <v>945</v>
      </c>
    </row>
    <row r="53" customFormat="false" ht="15" hidden="false" customHeight="true" outlineLevel="0" collapsed="false">
      <c r="A53" s="5" t="n">
        <v>52</v>
      </c>
      <c r="B53" s="5" t="s">
        <v>939</v>
      </c>
      <c r="C53" s="5" t="s">
        <v>436</v>
      </c>
      <c r="D53" s="5" t="s">
        <v>286</v>
      </c>
      <c r="E53" s="5" t="s">
        <v>898</v>
      </c>
      <c r="F53" s="5" t="s">
        <v>889</v>
      </c>
      <c r="G53" s="5" t="s">
        <v>946</v>
      </c>
    </row>
    <row r="54" customFormat="false" ht="15" hidden="false" customHeight="true" outlineLevel="0" collapsed="false">
      <c r="A54" s="5" t="n">
        <v>53</v>
      </c>
      <c r="B54" s="5" t="s">
        <v>939</v>
      </c>
      <c r="C54" s="5" t="s">
        <v>443</v>
      </c>
      <c r="D54" s="5" t="s">
        <v>38</v>
      </c>
      <c r="E54" s="5" t="s">
        <v>622</v>
      </c>
      <c r="F54" s="5" t="s">
        <v>917</v>
      </c>
      <c r="G54" s="5" t="s">
        <v>947</v>
      </c>
    </row>
    <row r="55" customFormat="false" ht="15" hidden="false" customHeight="true" outlineLevel="0" collapsed="false">
      <c r="A55" s="5" t="n">
        <v>54</v>
      </c>
      <c r="B55" s="5" t="s">
        <v>939</v>
      </c>
      <c r="C55" s="5" t="s">
        <v>451</v>
      </c>
      <c r="D55" s="5" t="s">
        <v>110</v>
      </c>
      <c r="E55" s="5" t="s">
        <v>913</v>
      </c>
      <c r="F55" s="5" t="s">
        <v>948</v>
      </c>
      <c r="G55" s="5" t="s">
        <v>949</v>
      </c>
    </row>
    <row r="56" customFormat="false" ht="15" hidden="false" customHeight="true" outlineLevel="0" collapsed="false">
      <c r="A56" s="5" t="n">
        <v>55</v>
      </c>
      <c r="B56" s="5" t="s">
        <v>939</v>
      </c>
      <c r="C56" s="5" t="s">
        <v>456</v>
      </c>
      <c r="D56" s="5" t="s">
        <v>154</v>
      </c>
      <c r="E56" s="5" t="s">
        <v>924</v>
      </c>
      <c r="F56" s="5" t="s">
        <v>936</v>
      </c>
      <c r="G56" s="5" t="s">
        <v>950</v>
      </c>
    </row>
    <row r="57" customFormat="false" ht="15" hidden="false" customHeight="true" outlineLevel="0" collapsed="false">
      <c r="A57" s="5" t="n">
        <v>56</v>
      </c>
      <c r="B57" s="5" t="s">
        <v>939</v>
      </c>
      <c r="C57" s="5" t="s">
        <v>459</v>
      </c>
      <c r="D57" s="5" t="s">
        <v>25</v>
      </c>
      <c r="E57" s="5" t="s">
        <v>873</v>
      </c>
      <c r="F57" s="5" t="s">
        <v>940</v>
      </c>
      <c r="G57" s="5" t="s">
        <v>951</v>
      </c>
    </row>
    <row r="58" customFormat="false" ht="15" hidden="false" customHeight="true" outlineLevel="0" collapsed="false">
      <c r="A58" s="5" t="n">
        <v>57</v>
      </c>
      <c r="B58" s="5" t="s">
        <v>939</v>
      </c>
      <c r="C58" s="5" t="s">
        <v>463</v>
      </c>
      <c r="D58" s="5" t="s">
        <v>163</v>
      </c>
      <c r="E58" s="5" t="s">
        <v>935</v>
      </c>
      <c r="F58" s="5" t="s">
        <v>948</v>
      </c>
      <c r="G58" s="5" t="s">
        <v>879</v>
      </c>
    </row>
    <row r="59" customFormat="false" ht="15" hidden="false" customHeight="true" outlineLevel="0" collapsed="false">
      <c r="A59" s="5" t="n">
        <v>58</v>
      </c>
      <c r="B59" s="5" t="s">
        <v>939</v>
      </c>
      <c r="C59" s="5" t="s">
        <v>467</v>
      </c>
      <c r="D59" s="5" t="s">
        <v>106</v>
      </c>
      <c r="E59" s="5" t="s">
        <v>883</v>
      </c>
      <c r="F59" s="5" t="s">
        <v>940</v>
      </c>
      <c r="G59" s="5" t="s">
        <v>952</v>
      </c>
    </row>
    <row r="60" customFormat="false" ht="15" hidden="false" customHeight="true" outlineLevel="0" collapsed="false">
      <c r="A60" s="5" t="n">
        <v>59</v>
      </c>
      <c r="B60" s="5" t="s">
        <v>939</v>
      </c>
      <c r="C60" s="5" t="s">
        <v>471</v>
      </c>
      <c r="D60" s="5" t="s">
        <v>96</v>
      </c>
      <c r="E60" s="5" t="s">
        <v>935</v>
      </c>
      <c r="F60" s="5" t="s">
        <v>953</v>
      </c>
      <c r="G60" s="5" t="s">
        <v>954</v>
      </c>
    </row>
    <row r="61" customFormat="false" ht="15" hidden="false" customHeight="true" outlineLevel="0" collapsed="false">
      <c r="A61" s="5" t="n">
        <v>60</v>
      </c>
      <c r="B61" s="5" t="s">
        <v>939</v>
      </c>
      <c r="C61" s="5" t="s">
        <v>477</v>
      </c>
      <c r="D61" s="5" t="s">
        <v>77</v>
      </c>
      <c r="E61" s="5" t="s">
        <v>935</v>
      </c>
      <c r="F61" s="5" t="s">
        <v>878</v>
      </c>
      <c r="G61" s="5" t="s">
        <v>896</v>
      </c>
    </row>
    <row r="62" customFormat="false" ht="15" hidden="false" customHeight="true" outlineLevel="0" collapsed="false">
      <c r="A62" s="5" t="n">
        <v>61</v>
      </c>
      <c r="B62" s="5" t="s">
        <v>955</v>
      </c>
      <c r="C62" s="5" t="s">
        <v>480</v>
      </c>
      <c r="D62" s="5" t="s">
        <v>96</v>
      </c>
      <c r="E62" s="5" t="s">
        <v>870</v>
      </c>
      <c r="F62" s="5" t="s">
        <v>876</v>
      </c>
      <c r="G62" s="5" t="s">
        <v>956</v>
      </c>
    </row>
    <row r="63" customFormat="false" ht="15" hidden="false" customHeight="true" outlineLevel="0" collapsed="false">
      <c r="A63" s="5" t="n">
        <v>62</v>
      </c>
      <c r="B63" s="5" t="s">
        <v>955</v>
      </c>
      <c r="C63" s="5" t="s">
        <v>487</v>
      </c>
      <c r="D63" s="5" t="s">
        <v>110</v>
      </c>
      <c r="E63" s="5" t="s">
        <v>870</v>
      </c>
      <c r="F63" s="5" t="s">
        <v>895</v>
      </c>
      <c r="G63" s="5" t="s">
        <v>892</v>
      </c>
    </row>
    <row r="64" customFormat="false" ht="15" hidden="false" customHeight="true" outlineLevel="0" collapsed="false">
      <c r="A64" s="5" t="n">
        <v>63</v>
      </c>
      <c r="B64" s="5" t="s">
        <v>955</v>
      </c>
      <c r="C64" s="5" t="s">
        <v>492</v>
      </c>
      <c r="D64" s="5" t="s">
        <v>51</v>
      </c>
      <c r="E64" s="5" t="s">
        <v>935</v>
      </c>
      <c r="F64" s="5" t="s">
        <v>878</v>
      </c>
      <c r="G64" s="5" t="s">
        <v>896</v>
      </c>
    </row>
    <row r="65" customFormat="false" ht="15" hidden="false" customHeight="true" outlineLevel="0" collapsed="false">
      <c r="A65" s="5" t="n">
        <v>64</v>
      </c>
      <c r="B65" s="5" t="s">
        <v>955</v>
      </c>
      <c r="C65" s="5" t="s">
        <v>496</v>
      </c>
      <c r="D65" s="5" t="s">
        <v>348</v>
      </c>
      <c r="E65" s="5" t="s">
        <v>883</v>
      </c>
      <c r="F65" s="5" t="s">
        <v>940</v>
      </c>
      <c r="G65" s="5" t="s">
        <v>957</v>
      </c>
    </row>
    <row r="66" customFormat="false" ht="15" hidden="false" customHeight="true" outlineLevel="0" collapsed="false">
      <c r="A66" s="5" t="n">
        <v>65</v>
      </c>
      <c r="B66" s="5" t="s">
        <v>955</v>
      </c>
      <c r="C66" s="5" t="s">
        <v>498</v>
      </c>
      <c r="D66" s="5" t="s">
        <v>106</v>
      </c>
      <c r="E66" s="5" t="s">
        <v>883</v>
      </c>
      <c r="F66" s="5" t="s">
        <v>871</v>
      </c>
      <c r="G66" s="5" t="s">
        <v>958</v>
      </c>
    </row>
    <row r="67" customFormat="false" ht="15" hidden="false" customHeight="true" outlineLevel="0" collapsed="false">
      <c r="A67" s="5" t="n">
        <v>66</v>
      </c>
      <c r="B67" s="5" t="s">
        <v>955</v>
      </c>
      <c r="C67" s="5" t="s">
        <v>500</v>
      </c>
      <c r="D67" s="5" t="s">
        <v>279</v>
      </c>
      <c r="E67" s="5" t="s">
        <v>883</v>
      </c>
      <c r="F67" s="5" t="s">
        <v>889</v>
      </c>
      <c r="G67" s="5" t="s">
        <v>959</v>
      </c>
    </row>
    <row r="68" customFormat="false" ht="15" hidden="false" customHeight="true" outlineLevel="0" collapsed="false">
      <c r="A68" s="5" t="n">
        <v>67</v>
      </c>
      <c r="B68" s="5" t="s">
        <v>955</v>
      </c>
      <c r="C68" s="5" t="s">
        <v>505</v>
      </c>
      <c r="D68" s="5" t="s">
        <v>38</v>
      </c>
      <c r="E68" s="5" t="s">
        <v>622</v>
      </c>
      <c r="F68" s="5" t="s">
        <v>917</v>
      </c>
      <c r="G68" s="5" t="s">
        <v>879</v>
      </c>
    </row>
    <row r="69" customFormat="false" ht="15" hidden="false" customHeight="true" outlineLevel="0" collapsed="false">
      <c r="A69" s="5" t="n">
        <v>68</v>
      </c>
      <c r="B69" s="5" t="s">
        <v>955</v>
      </c>
      <c r="C69" s="5" t="s">
        <v>510</v>
      </c>
      <c r="D69" s="5" t="s">
        <v>239</v>
      </c>
      <c r="E69" s="5" t="s">
        <v>960</v>
      </c>
      <c r="F69" s="5" t="s">
        <v>871</v>
      </c>
      <c r="G69" s="5" t="s">
        <v>961</v>
      </c>
    </row>
    <row r="70" customFormat="false" ht="15" hidden="false" customHeight="true" outlineLevel="0" collapsed="false">
      <c r="A70" s="5" t="n">
        <v>69</v>
      </c>
      <c r="B70" s="5" t="s">
        <v>955</v>
      </c>
      <c r="C70" s="5" t="s">
        <v>514</v>
      </c>
      <c r="D70" s="5" t="s">
        <v>25</v>
      </c>
      <c r="E70" s="5" t="s">
        <v>913</v>
      </c>
      <c r="F70" s="5" t="s">
        <v>962</v>
      </c>
      <c r="G70" s="5" t="s">
        <v>879</v>
      </c>
    </row>
    <row r="71" customFormat="false" ht="15" hidden="false" customHeight="true" outlineLevel="0" collapsed="false">
      <c r="A71" s="5" t="n">
        <v>70</v>
      </c>
      <c r="B71" s="5" t="s">
        <v>955</v>
      </c>
      <c r="C71" s="5" t="s">
        <v>518</v>
      </c>
      <c r="D71" s="5" t="s">
        <v>519</v>
      </c>
      <c r="E71" s="5" t="s">
        <v>963</v>
      </c>
      <c r="F71" s="5" t="s">
        <v>887</v>
      </c>
      <c r="G71" s="5" t="s">
        <v>964</v>
      </c>
    </row>
    <row r="72" customFormat="false" ht="15" hidden="false" customHeight="true" outlineLevel="0" collapsed="false">
      <c r="A72" s="5" t="n">
        <v>71</v>
      </c>
      <c r="B72" s="5" t="s">
        <v>955</v>
      </c>
      <c r="C72" s="5" t="s">
        <v>521</v>
      </c>
      <c r="D72" s="5" t="s">
        <v>163</v>
      </c>
      <c r="E72" s="5" t="s">
        <v>913</v>
      </c>
      <c r="F72" s="5" t="s">
        <v>895</v>
      </c>
      <c r="G72" s="5" t="s">
        <v>965</v>
      </c>
    </row>
    <row r="73" customFormat="false" ht="15" hidden="false" customHeight="true" outlineLevel="0" collapsed="false">
      <c r="A73" s="5" t="n">
        <v>72</v>
      </c>
      <c r="B73" s="5" t="s">
        <v>955</v>
      </c>
      <c r="C73" s="5" t="s">
        <v>525</v>
      </c>
      <c r="D73" s="5" t="s">
        <v>135</v>
      </c>
      <c r="E73" s="5" t="s">
        <v>880</v>
      </c>
      <c r="F73" s="5" t="s">
        <v>880</v>
      </c>
      <c r="G73" s="5" t="s">
        <v>966</v>
      </c>
    </row>
    <row r="74" customFormat="false" ht="15" hidden="false" customHeight="true" outlineLevel="0" collapsed="false">
      <c r="A74" s="5" t="n">
        <v>73</v>
      </c>
      <c r="B74" s="5" t="s">
        <v>955</v>
      </c>
      <c r="C74" s="5" t="s">
        <v>527</v>
      </c>
      <c r="D74" s="5" t="s">
        <v>286</v>
      </c>
      <c r="E74" s="5" t="s">
        <v>880</v>
      </c>
      <c r="F74" s="5" t="s">
        <v>884</v>
      </c>
      <c r="G74" s="5" t="s">
        <v>964</v>
      </c>
    </row>
    <row r="75" customFormat="false" ht="15" hidden="false" customHeight="true" outlineLevel="0" collapsed="false">
      <c r="A75" s="5" t="n">
        <v>74</v>
      </c>
      <c r="B75" s="5" t="s">
        <v>955</v>
      </c>
      <c r="C75" s="5" t="s">
        <v>530</v>
      </c>
      <c r="D75" s="5" t="s">
        <v>181</v>
      </c>
      <c r="E75" s="5" t="s">
        <v>883</v>
      </c>
      <c r="F75" s="5" t="s">
        <v>953</v>
      </c>
      <c r="G75" s="5" t="s">
        <v>967</v>
      </c>
    </row>
    <row r="76" customFormat="false" ht="15" hidden="false" customHeight="true" outlineLevel="0" collapsed="false">
      <c r="A76" s="5" t="n">
        <v>75</v>
      </c>
      <c r="B76" s="5" t="s">
        <v>955</v>
      </c>
      <c r="C76" s="5" t="s">
        <v>536</v>
      </c>
      <c r="D76" s="5" t="s">
        <v>137</v>
      </c>
      <c r="E76" s="5" t="s">
        <v>960</v>
      </c>
      <c r="F76" s="5" t="s">
        <v>936</v>
      </c>
      <c r="G76" s="5" t="s">
        <v>968</v>
      </c>
    </row>
    <row r="77" customFormat="false" ht="15" hidden="false" customHeight="true" outlineLevel="0" collapsed="false">
      <c r="A77" s="5" t="n">
        <v>76</v>
      </c>
      <c r="B77" s="5" t="s">
        <v>969</v>
      </c>
      <c r="C77" s="5" t="s">
        <v>541</v>
      </c>
      <c r="D77" s="5" t="s">
        <v>239</v>
      </c>
      <c r="E77" s="5" t="s">
        <v>622</v>
      </c>
      <c r="F77" s="5" t="s">
        <v>970</v>
      </c>
      <c r="G77" s="5" t="s">
        <v>971</v>
      </c>
    </row>
    <row r="78" customFormat="false" ht="15" hidden="false" customHeight="true" outlineLevel="0" collapsed="false">
      <c r="A78" s="5" t="n">
        <v>77</v>
      </c>
      <c r="B78" s="5" t="s">
        <v>969</v>
      </c>
      <c r="C78" s="5" t="s">
        <v>547</v>
      </c>
      <c r="D78" s="5" t="s">
        <v>154</v>
      </c>
      <c r="E78" s="5" t="s">
        <v>960</v>
      </c>
      <c r="F78" s="5" t="s">
        <v>917</v>
      </c>
      <c r="G78" s="5" t="s">
        <v>972</v>
      </c>
    </row>
    <row r="79" customFormat="false" ht="15" hidden="false" customHeight="true" outlineLevel="0" collapsed="false">
      <c r="A79" s="5" t="n">
        <v>78</v>
      </c>
      <c r="B79" s="5" t="s">
        <v>969</v>
      </c>
      <c r="C79" s="5" t="s">
        <v>554</v>
      </c>
      <c r="D79" s="5" t="s">
        <v>110</v>
      </c>
      <c r="E79" s="5" t="s">
        <v>924</v>
      </c>
      <c r="F79" s="5" t="s">
        <v>962</v>
      </c>
      <c r="G79" s="5" t="s">
        <v>901</v>
      </c>
    </row>
    <row r="80" customFormat="false" ht="15" hidden="false" customHeight="true" outlineLevel="0" collapsed="false">
      <c r="A80" s="5" t="n">
        <v>79</v>
      </c>
      <c r="B80" s="5" t="s">
        <v>969</v>
      </c>
      <c r="C80" s="5" t="s">
        <v>558</v>
      </c>
      <c r="D80" s="5" t="s">
        <v>210</v>
      </c>
      <c r="E80" s="5" t="s">
        <v>935</v>
      </c>
      <c r="F80" s="5" t="s">
        <v>908</v>
      </c>
      <c r="G80" s="5" t="s">
        <v>973</v>
      </c>
    </row>
    <row r="81" customFormat="false" ht="15" hidden="false" customHeight="true" outlineLevel="0" collapsed="false">
      <c r="A81" s="5" t="n">
        <v>80</v>
      </c>
      <c r="B81" s="5" t="s">
        <v>969</v>
      </c>
      <c r="C81" s="5" t="s">
        <v>563</v>
      </c>
      <c r="D81" s="5" t="s">
        <v>51</v>
      </c>
      <c r="E81" s="5" t="s">
        <v>921</v>
      </c>
      <c r="F81" s="5" t="s">
        <v>917</v>
      </c>
      <c r="G81" s="5" t="s">
        <v>923</v>
      </c>
    </row>
    <row r="82" customFormat="false" ht="15" hidden="false" customHeight="true" outlineLevel="0" collapsed="false">
      <c r="A82" s="5" t="n">
        <v>81</v>
      </c>
      <c r="B82" s="5" t="s">
        <v>969</v>
      </c>
      <c r="C82" s="5" t="s">
        <v>567</v>
      </c>
      <c r="D82" s="5" t="s">
        <v>163</v>
      </c>
      <c r="E82" s="5" t="s">
        <v>910</v>
      </c>
      <c r="F82" s="5" t="s">
        <v>899</v>
      </c>
      <c r="G82" s="5" t="s">
        <v>958</v>
      </c>
    </row>
    <row r="83" customFormat="false" ht="15" hidden="false" customHeight="true" outlineLevel="0" collapsed="false">
      <c r="A83" s="5" t="n">
        <v>82</v>
      </c>
      <c r="B83" s="5" t="s">
        <v>969</v>
      </c>
      <c r="C83" s="5" t="s">
        <v>568</v>
      </c>
      <c r="D83" s="5" t="s">
        <v>25</v>
      </c>
      <c r="E83" s="5" t="s">
        <v>894</v>
      </c>
      <c r="F83" s="5" t="s">
        <v>974</v>
      </c>
      <c r="G83" s="5" t="s">
        <v>975</v>
      </c>
    </row>
    <row r="84" customFormat="false" ht="15" hidden="false" customHeight="true" outlineLevel="0" collapsed="false">
      <c r="A84" s="5" t="n">
        <v>83</v>
      </c>
      <c r="B84" s="5" t="s">
        <v>969</v>
      </c>
      <c r="C84" s="5" t="s">
        <v>571</v>
      </c>
      <c r="D84" s="5" t="s">
        <v>171</v>
      </c>
      <c r="E84" s="5" t="s">
        <v>924</v>
      </c>
      <c r="F84" s="5" t="s">
        <v>962</v>
      </c>
      <c r="G84" s="5" t="s">
        <v>937</v>
      </c>
    </row>
    <row r="85" customFormat="false" ht="15" hidden="false" customHeight="true" outlineLevel="0" collapsed="false">
      <c r="A85" s="5" t="n">
        <v>84</v>
      </c>
      <c r="B85" s="5" t="s">
        <v>969</v>
      </c>
      <c r="C85" s="5" t="s">
        <v>575</v>
      </c>
      <c r="D85" s="5" t="s">
        <v>84</v>
      </c>
      <c r="E85" s="5" t="s">
        <v>622</v>
      </c>
      <c r="F85" s="5" t="s">
        <v>940</v>
      </c>
      <c r="G85" s="5" t="s">
        <v>928</v>
      </c>
    </row>
    <row r="86" customFormat="false" ht="15" hidden="false" customHeight="true" outlineLevel="0" collapsed="false">
      <c r="A86" s="5" t="n">
        <v>85</v>
      </c>
      <c r="B86" s="5" t="s">
        <v>969</v>
      </c>
      <c r="C86" s="5" t="s">
        <v>577</v>
      </c>
      <c r="D86" s="5" t="s">
        <v>260</v>
      </c>
      <c r="E86" s="5" t="s">
        <v>873</v>
      </c>
      <c r="F86" s="5" t="s">
        <v>970</v>
      </c>
      <c r="G86" s="5" t="s">
        <v>976</v>
      </c>
    </row>
    <row r="87" customFormat="false" ht="15" hidden="false" customHeight="true" outlineLevel="0" collapsed="false">
      <c r="A87" s="5" t="n">
        <v>86</v>
      </c>
      <c r="B87" s="5" t="s">
        <v>969</v>
      </c>
      <c r="C87" s="5" t="s">
        <v>581</v>
      </c>
      <c r="D87" s="5" t="s">
        <v>106</v>
      </c>
      <c r="E87" s="5" t="s">
        <v>960</v>
      </c>
      <c r="F87" s="5" t="s">
        <v>895</v>
      </c>
      <c r="G87" s="5" t="s">
        <v>958</v>
      </c>
    </row>
    <row r="88" customFormat="false" ht="15" hidden="false" customHeight="true" outlineLevel="0" collapsed="false">
      <c r="A88" s="5" t="n">
        <v>87</v>
      </c>
      <c r="B88" s="5" t="s">
        <v>969</v>
      </c>
      <c r="C88" s="5" t="s">
        <v>582</v>
      </c>
      <c r="D88" s="5" t="s">
        <v>181</v>
      </c>
      <c r="E88" s="5" t="s">
        <v>873</v>
      </c>
      <c r="F88" s="5" t="s">
        <v>970</v>
      </c>
      <c r="G88" s="5" t="s">
        <v>977</v>
      </c>
    </row>
    <row r="89" customFormat="false" ht="15" hidden="false" customHeight="true" outlineLevel="0" collapsed="false">
      <c r="A89" s="5" t="n">
        <v>88</v>
      </c>
      <c r="B89" s="5" t="s">
        <v>969</v>
      </c>
      <c r="C89" s="5" t="s">
        <v>586</v>
      </c>
      <c r="D89" s="5" t="s">
        <v>38</v>
      </c>
      <c r="E89" s="5" t="s">
        <v>894</v>
      </c>
      <c r="F89" s="5" t="s">
        <v>914</v>
      </c>
      <c r="G89" s="5" t="s">
        <v>978</v>
      </c>
    </row>
    <row r="90" customFormat="false" ht="15" hidden="false" customHeight="true" outlineLevel="0" collapsed="false">
      <c r="A90" s="5" t="n">
        <v>89</v>
      </c>
      <c r="B90" s="5" t="s">
        <v>969</v>
      </c>
      <c r="C90" s="5" t="s">
        <v>588</v>
      </c>
      <c r="D90" s="5" t="s">
        <v>125</v>
      </c>
      <c r="E90" s="5" t="s">
        <v>44</v>
      </c>
      <c r="F90" s="5" t="s">
        <v>948</v>
      </c>
      <c r="G90" s="5" t="s">
        <v>964</v>
      </c>
    </row>
    <row r="91" customFormat="false" ht="15" hidden="false" customHeight="true" outlineLevel="0" collapsed="false">
      <c r="A91" s="5" t="n">
        <v>90</v>
      </c>
      <c r="B91" s="5" t="s">
        <v>969</v>
      </c>
      <c r="C91" s="5" t="s">
        <v>591</v>
      </c>
      <c r="D91" s="5" t="s">
        <v>135</v>
      </c>
      <c r="E91" s="5" t="s">
        <v>880</v>
      </c>
      <c r="F91" s="5" t="s">
        <v>880</v>
      </c>
      <c r="G91" s="5" t="s">
        <v>979</v>
      </c>
    </row>
    <row r="92" customFormat="false" ht="15" hidden="false" customHeight="true" outlineLevel="0" collapsed="false">
      <c r="A92" s="5" t="n">
        <v>91</v>
      </c>
      <c r="B92" s="5" t="s">
        <v>980</v>
      </c>
      <c r="C92" s="5" t="s">
        <v>595</v>
      </c>
      <c r="D92" s="5" t="s">
        <v>279</v>
      </c>
      <c r="E92" s="5" t="s">
        <v>894</v>
      </c>
      <c r="F92" s="5" t="s">
        <v>889</v>
      </c>
      <c r="G92" s="5" t="s">
        <v>981</v>
      </c>
    </row>
    <row r="93" customFormat="false" ht="15" hidden="false" customHeight="true" outlineLevel="0" collapsed="false">
      <c r="A93" s="5" t="n">
        <v>92</v>
      </c>
      <c r="B93" s="5" t="s">
        <v>980</v>
      </c>
      <c r="C93" s="5" t="s">
        <v>596</v>
      </c>
      <c r="D93" s="5" t="s">
        <v>77</v>
      </c>
      <c r="E93" s="5" t="s">
        <v>963</v>
      </c>
      <c r="F93" s="5" t="s">
        <v>915</v>
      </c>
      <c r="G93" s="5" t="s">
        <v>982</v>
      </c>
    </row>
    <row r="94" customFormat="false" ht="15" hidden="false" customHeight="true" outlineLevel="0" collapsed="false">
      <c r="A94" s="5" t="n">
        <v>93</v>
      </c>
      <c r="B94" s="5" t="s">
        <v>980</v>
      </c>
      <c r="C94" s="5" t="s">
        <v>600</v>
      </c>
      <c r="D94" s="5" t="s">
        <v>64</v>
      </c>
      <c r="E94" s="5" t="s">
        <v>886</v>
      </c>
      <c r="F94" s="5" t="s">
        <v>887</v>
      </c>
      <c r="G94" s="5" t="s">
        <v>964</v>
      </c>
    </row>
    <row r="95" customFormat="false" ht="15" hidden="false" customHeight="true" outlineLevel="0" collapsed="false">
      <c r="A95" s="5" t="n">
        <v>94</v>
      </c>
      <c r="B95" s="5" t="s">
        <v>980</v>
      </c>
      <c r="C95" s="5" t="s">
        <v>603</v>
      </c>
      <c r="D95" s="5" t="s">
        <v>125</v>
      </c>
      <c r="E95" s="5" t="s">
        <v>870</v>
      </c>
      <c r="F95" s="5" t="s">
        <v>915</v>
      </c>
      <c r="G95" s="5" t="s">
        <v>983</v>
      </c>
    </row>
    <row r="96" customFormat="false" ht="15" hidden="false" customHeight="true" outlineLevel="0" collapsed="false">
      <c r="A96" s="5" t="n">
        <v>95</v>
      </c>
      <c r="B96" s="5" t="s">
        <v>980</v>
      </c>
      <c r="C96" s="5" t="s">
        <v>604</v>
      </c>
      <c r="D96" s="5" t="s">
        <v>106</v>
      </c>
      <c r="E96" s="5" t="s">
        <v>44</v>
      </c>
      <c r="F96" s="5" t="s">
        <v>914</v>
      </c>
      <c r="G96" s="5" t="s">
        <v>984</v>
      </c>
    </row>
    <row r="97" customFormat="false" ht="15" hidden="false" customHeight="true" outlineLevel="0" collapsed="false">
      <c r="A97" s="5" t="n">
        <v>96</v>
      </c>
      <c r="B97" s="5" t="s">
        <v>980</v>
      </c>
      <c r="C97" s="5" t="s">
        <v>607</v>
      </c>
      <c r="D97" s="5" t="s">
        <v>239</v>
      </c>
      <c r="E97" s="5" t="s">
        <v>898</v>
      </c>
      <c r="F97" s="5" t="s">
        <v>880</v>
      </c>
      <c r="G97" s="5" t="s">
        <v>984</v>
      </c>
    </row>
    <row r="98" customFormat="false" ht="15" hidden="false" customHeight="true" outlineLevel="0" collapsed="false">
      <c r="A98" s="5" t="n">
        <v>97</v>
      </c>
      <c r="B98" s="5" t="s">
        <v>980</v>
      </c>
      <c r="C98" s="5" t="s">
        <v>611</v>
      </c>
      <c r="D98" s="5" t="s">
        <v>191</v>
      </c>
      <c r="E98" s="5" t="s">
        <v>910</v>
      </c>
      <c r="F98" s="5" t="s">
        <v>899</v>
      </c>
      <c r="G98" s="5" t="s">
        <v>911</v>
      </c>
    </row>
    <row r="99" customFormat="false" ht="15" hidden="false" customHeight="true" outlineLevel="0" collapsed="false">
      <c r="A99" s="5" t="n">
        <v>98</v>
      </c>
      <c r="B99" s="5" t="s">
        <v>980</v>
      </c>
      <c r="C99" s="5" t="s">
        <v>612</v>
      </c>
      <c r="D99" s="5" t="s">
        <v>286</v>
      </c>
      <c r="E99" s="5" t="s">
        <v>880</v>
      </c>
      <c r="F99" s="5" t="s">
        <v>880</v>
      </c>
      <c r="G99" s="5" t="s">
        <v>984</v>
      </c>
    </row>
    <row r="100" customFormat="false" ht="15" hidden="false" customHeight="true" outlineLevel="0" collapsed="false">
      <c r="A100" s="5" t="n">
        <v>99</v>
      </c>
      <c r="B100" s="5" t="s">
        <v>980</v>
      </c>
      <c r="C100" s="5" t="s">
        <v>614</v>
      </c>
      <c r="D100" s="5" t="s">
        <v>260</v>
      </c>
      <c r="E100" s="5" t="s">
        <v>898</v>
      </c>
      <c r="F100" s="5" t="s">
        <v>948</v>
      </c>
      <c r="G100" s="5" t="s">
        <v>964</v>
      </c>
    </row>
    <row r="101" customFormat="false" ht="15" hidden="false" customHeight="true" outlineLevel="0" collapsed="false">
      <c r="A101" s="5" t="n">
        <v>100</v>
      </c>
      <c r="B101" s="5" t="s">
        <v>980</v>
      </c>
      <c r="C101" s="5" t="s">
        <v>618</v>
      </c>
      <c r="D101" s="5" t="s">
        <v>519</v>
      </c>
      <c r="E101" s="5" t="s">
        <v>963</v>
      </c>
      <c r="F101" s="5" t="s">
        <v>915</v>
      </c>
      <c r="G101" s="5" t="s">
        <v>985</v>
      </c>
    </row>
    <row r="102" customFormat="false" ht="15" hidden="false" customHeight="true" outlineLevel="0" collapsed="false">
      <c r="A102" s="5" t="n">
        <v>101</v>
      </c>
      <c r="B102" s="5" t="s">
        <v>980</v>
      </c>
      <c r="C102" s="5" t="s">
        <v>621</v>
      </c>
      <c r="D102" s="5" t="s">
        <v>25</v>
      </c>
      <c r="E102" s="5" t="s">
        <v>960</v>
      </c>
      <c r="F102" s="5" t="s">
        <v>881</v>
      </c>
      <c r="G102" s="5" t="s">
        <v>965</v>
      </c>
    </row>
    <row r="103" customFormat="false" ht="15" hidden="false" customHeight="true" outlineLevel="0" collapsed="false">
      <c r="A103" s="5" t="n">
        <v>102</v>
      </c>
      <c r="B103" s="5" t="s">
        <v>980</v>
      </c>
      <c r="C103" s="5" t="s">
        <v>624</v>
      </c>
      <c r="D103" s="5" t="s">
        <v>96</v>
      </c>
      <c r="E103" s="5" t="s">
        <v>921</v>
      </c>
      <c r="F103" s="5" t="s">
        <v>948</v>
      </c>
      <c r="G103" s="5" t="s">
        <v>971</v>
      </c>
    </row>
    <row r="104" customFormat="false" ht="15" hidden="false" customHeight="true" outlineLevel="0" collapsed="false">
      <c r="A104" s="5" t="n">
        <v>103</v>
      </c>
      <c r="B104" s="5" t="s">
        <v>980</v>
      </c>
      <c r="C104" s="5" t="s">
        <v>627</v>
      </c>
      <c r="D104" s="5" t="s">
        <v>148</v>
      </c>
      <c r="E104" s="5" t="s">
        <v>913</v>
      </c>
      <c r="F104" s="5" t="s">
        <v>908</v>
      </c>
      <c r="G104" s="5" t="s">
        <v>986</v>
      </c>
    </row>
    <row r="105" customFormat="false" ht="15" hidden="false" customHeight="true" outlineLevel="0" collapsed="false">
      <c r="A105" s="5" t="n">
        <v>104</v>
      </c>
      <c r="B105" s="5" t="s">
        <v>980</v>
      </c>
      <c r="C105" s="5" t="s">
        <v>628</v>
      </c>
      <c r="D105" s="5" t="s">
        <v>51</v>
      </c>
      <c r="E105" s="5" t="s">
        <v>883</v>
      </c>
      <c r="F105" s="5" t="s">
        <v>915</v>
      </c>
      <c r="G105" s="5" t="s">
        <v>916</v>
      </c>
    </row>
    <row r="106" customFormat="false" ht="15" hidden="false" customHeight="true" outlineLevel="0" collapsed="false">
      <c r="A106" s="5" t="n">
        <v>105</v>
      </c>
      <c r="B106" s="5" t="s">
        <v>980</v>
      </c>
      <c r="C106" s="5" t="s">
        <v>630</v>
      </c>
      <c r="D106" s="5" t="s">
        <v>137</v>
      </c>
      <c r="E106" s="5" t="s">
        <v>44</v>
      </c>
      <c r="F106" s="5" t="s">
        <v>878</v>
      </c>
      <c r="G106" s="5" t="s">
        <v>987</v>
      </c>
    </row>
    <row r="107" customFormat="false" ht="15" hidden="false" customHeight="true" outlineLevel="0" collapsed="false">
      <c r="A107" s="5" t="n">
        <v>106</v>
      </c>
      <c r="B107" s="5" t="s">
        <v>988</v>
      </c>
      <c r="C107" s="5" t="s">
        <v>631</v>
      </c>
      <c r="D107" s="5" t="s">
        <v>96</v>
      </c>
      <c r="E107" s="5" t="s">
        <v>935</v>
      </c>
      <c r="F107" s="5" t="s">
        <v>953</v>
      </c>
      <c r="G107" s="5" t="s">
        <v>909</v>
      </c>
    </row>
    <row r="108" customFormat="false" ht="15" hidden="false" customHeight="true" outlineLevel="0" collapsed="false">
      <c r="A108" s="5" t="n">
        <v>107</v>
      </c>
      <c r="B108" s="5" t="s">
        <v>988</v>
      </c>
      <c r="C108" s="5" t="s">
        <v>634</v>
      </c>
      <c r="D108" s="5" t="s">
        <v>348</v>
      </c>
      <c r="E108" s="5" t="s">
        <v>913</v>
      </c>
      <c r="F108" s="5" t="s">
        <v>953</v>
      </c>
      <c r="G108" s="5" t="s">
        <v>875</v>
      </c>
    </row>
    <row r="109" customFormat="false" ht="15" hidden="false" customHeight="true" outlineLevel="0" collapsed="false">
      <c r="A109" s="5" t="n">
        <v>108</v>
      </c>
      <c r="B109" s="5" t="s">
        <v>988</v>
      </c>
      <c r="C109" s="5" t="s">
        <v>636</v>
      </c>
      <c r="D109" s="5" t="s">
        <v>181</v>
      </c>
      <c r="E109" s="5" t="s">
        <v>935</v>
      </c>
      <c r="F109" s="5" t="s">
        <v>914</v>
      </c>
      <c r="G109" s="5" t="s">
        <v>989</v>
      </c>
    </row>
    <row r="110" customFormat="false" ht="15" hidden="false" customHeight="true" outlineLevel="0" collapsed="false">
      <c r="A110" s="5" t="n">
        <v>109</v>
      </c>
      <c r="B110" s="5" t="s">
        <v>988</v>
      </c>
      <c r="C110" s="5" t="s">
        <v>637</v>
      </c>
      <c r="D110" s="5" t="s">
        <v>239</v>
      </c>
      <c r="E110" s="5" t="s">
        <v>898</v>
      </c>
      <c r="F110" s="5" t="s">
        <v>914</v>
      </c>
      <c r="G110" s="5" t="s">
        <v>990</v>
      </c>
    </row>
    <row r="111" customFormat="false" ht="15" hidden="false" customHeight="true" outlineLevel="0" collapsed="false">
      <c r="A111" s="5" t="n">
        <v>110</v>
      </c>
      <c r="B111" s="5" t="s">
        <v>988</v>
      </c>
      <c r="C111" s="5" t="s">
        <v>638</v>
      </c>
      <c r="D111" s="5" t="s">
        <v>279</v>
      </c>
      <c r="E111" s="5" t="s">
        <v>921</v>
      </c>
      <c r="F111" s="5" t="s">
        <v>962</v>
      </c>
      <c r="G111" s="5" t="s">
        <v>991</v>
      </c>
    </row>
    <row r="112" customFormat="false" ht="15" hidden="false" customHeight="true" outlineLevel="0" collapsed="false">
      <c r="A112" s="5" t="n">
        <v>111</v>
      </c>
      <c r="B112" s="5" t="s">
        <v>988</v>
      </c>
      <c r="C112" s="5" t="s">
        <v>639</v>
      </c>
      <c r="D112" s="5" t="s">
        <v>260</v>
      </c>
      <c r="E112" s="5" t="s">
        <v>935</v>
      </c>
      <c r="F112" s="5" t="s">
        <v>953</v>
      </c>
      <c r="G112" s="5" t="s">
        <v>992</v>
      </c>
    </row>
    <row r="113" customFormat="false" ht="15" hidden="false" customHeight="true" outlineLevel="0" collapsed="false">
      <c r="A113" s="5" t="n">
        <v>112</v>
      </c>
      <c r="B113" s="5" t="s">
        <v>988</v>
      </c>
      <c r="C113" s="5" t="s">
        <v>641</v>
      </c>
      <c r="D113" s="5" t="s">
        <v>210</v>
      </c>
      <c r="E113" s="5" t="s">
        <v>913</v>
      </c>
      <c r="F113" s="5" t="s">
        <v>908</v>
      </c>
      <c r="G113" s="5" t="s">
        <v>875</v>
      </c>
    </row>
    <row r="114" customFormat="false" ht="15" hidden="false" customHeight="true" outlineLevel="0" collapsed="false">
      <c r="A114" s="5" t="n">
        <v>113</v>
      </c>
      <c r="B114" s="5" t="s">
        <v>988</v>
      </c>
      <c r="C114" s="5" t="s">
        <v>646</v>
      </c>
      <c r="D114" s="5" t="s">
        <v>191</v>
      </c>
      <c r="E114" s="5" t="s">
        <v>898</v>
      </c>
      <c r="F114" s="5" t="s">
        <v>880</v>
      </c>
      <c r="G114" s="5" t="s">
        <v>885</v>
      </c>
    </row>
    <row r="115" customFormat="false" ht="15" hidden="false" customHeight="true" outlineLevel="0" collapsed="false">
      <c r="A115" s="5" t="n">
        <v>114</v>
      </c>
      <c r="B115" s="5" t="s">
        <v>988</v>
      </c>
      <c r="C115" s="5" t="s">
        <v>648</v>
      </c>
      <c r="D115" s="5" t="s">
        <v>171</v>
      </c>
      <c r="E115" s="5" t="s">
        <v>894</v>
      </c>
      <c r="F115" s="5" t="s">
        <v>914</v>
      </c>
      <c r="G115" s="5" t="s">
        <v>950</v>
      </c>
    </row>
    <row r="116" customFormat="false" ht="15" hidden="false" customHeight="true" outlineLevel="0" collapsed="false">
      <c r="A116" s="5" t="n">
        <v>115</v>
      </c>
      <c r="B116" s="5" t="s">
        <v>988</v>
      </c>
      <c r="C116" s="5" t="s">
        <v>651</v>
      </c>
      <c r="D116" s="5" t="s">
        <v>51</v>
      </c>
      <c r="E116" s="5" t="s">
        <v>935</v>
      </c>
      <c r="F116" s="5" t="s">
        <v>908</v>
      </c>
      <c r="G116" s="5" t="s">
        <v>993</v>
      </c>
    </row>
    <row r="117" customFormat="false" ht="15" hidden="false" customHeight="true" outlineLevel="0" collapsed="false">
      <c r="A117" s="5" t="n">
        <v>116</v>
      </c>
      <c r="B117" s="5" t="s">
        <v>994</v>
      </c>
      <c r="C117" s="5" t="s">
        <v>652</v>
      </c>
      <c r="D117" s="5" t="s">
        <v>25</v>
      </c>
      <c r="E117" s="5" t="s">
        <v>873</v>
      </c>
      <c r="F117" s="5" t="s">
        <v>915</v>
      </c>
      <c r="G117" s="5" t="s">
        <v>951</v>
      </c>
    </row>
    <row r="118" customFormat="false" ht="15" hidden="false" customHeight="true" outlineLevel="0" collapsed="false">
      <c r="A118" s="5" t="n">
        <v>117</v>
      </c>
      <c r="B118" s="5" t="s">
        <v>994</v>
      </c>
      <c r="C118" s="5" t="s">
        <v>656</v>
      </c>
      <c r="D118" s="5" t="s">
        <v>519</v>
      </c>
      <c r="E118" s="5" t="s">
        <v>886</v>
      </c>
      <c r="F118" s="5" t="s">
        <v>887</v>
      </c>
      <c r="G118" s="5" t="s">
        <v>985</v>
      </c>
    </row>
    <row r="119" customFormat="false" ht="15" hidden="false" customHeight="true" outlineLevel="0" collapsed="false">
      <c r="A119" s="5" t="n">
        <v>118</v>
      </c>
      <c r="B119" s="5" t="s">
        <v>994</v>
      </c>
      <c r="C119" s="5" t="s">
        <v>658</v>
      </c>
      <c r="D119" s="5" t="s">
        <v>110</v>
      </c>
      <c r="E119" s="5" t="s">
        <v>886</v>
      </c>
      <c r="F119" s="5" t="s">
        <v>974</v>
      </c>
      <c r="G119" s="5" t="s">
        <v>964</v>
      </c>
    </row>
    <row r="120" customFormat="false" ht="15" hidden="false" customHeight="true" outlineLevel="0" collapsed="false">
      <c r="A120" s="5" t="n">
        <v>119</v>
      </c>
      <c r="B120" s="5" t="s">
        <v>994</v>
      </c>
      <c r="C120" s="5" t="s">
        <v>659</v>
      </c>
      <c r="D120" s="5" t="s">
        <v>84</v>
      </c>
      <c r="E120" s="5" t="s">
        <v>935</v>
      </c>
      <c r="F120" s="5" t="s">
        <v>922</v>
      </c>
      <c r="G120" s="5" t="s">
        <v>995</v>
      </c>
    </row>
    <row r="121" customFormat="false" ht="15" hidden="false" customHeight="true" outlineLevel="0" collapsed="false">
      <c r="A121" s="5" t="n">
        <v>120</v>
      </c>
      <c r="B121" s="5" t="s">
        <v>994</v>
      </c>
      <c r="C121" s="5" t="s">
        <v>660</v>
      </c>
      <c r="D121" s="5" t="s">
        <v>148</v>
      </c>
      <c r="E121" s="5" t="s">
        <v>935</v>
      </c>
      <c r="F121" s="5" t="s">
        <v>884</v>
      </c>
      <c r="G121" s="5" t="s">
        <v>989</v>
      </c>
    </row>
    <row r="122" customFormat="false" ht="15" hidden="false" customHeight="true" outlineLevel="0" collapsed="false">
      <c r="A122" s="5" t="n">
        <v>121</v>
      </c>
      <c r="B122" s="5" t="s">
        <v>996</v>
      </c>
      <c r="C122" s="5" t="s">
        <v>663</v>
      </c>
      <c r="D122" s="5" t="s">
        <v>171</v>
      </c>
      <c r="E122" s="5" t="s">
        <v>898</v>
      </c>
      <c r="F122" s="5" t="s">
        <v>953</v>
      </c>
      <c r="G122" s="5" t="s">
        <v>995</v>
      </c>
    </row>
    <row r="123" customFormat="false" ht="15" hidden="false" customHeight="true" outlineLevel="0" collapsed="false">
      <c r="A123" s="5" t="n">
        <v>122</v>
      </c>
      <c r="B123" s="5" t="s">
        <v>996</v>
      </c>
      <c r="C123" s="5" t="s">
        <v>665</v>
      </c>
      <c r="D123" s="5" t="s">
        <v>77</v>
      </c>
      <c r="E123" s="5" t="s">
        <v>898</v>
      </c>
      <c r="F123" s="5" t="s">
        <v>880</v>
      </c>
      <c r="G123" s="5" t="s">
        <v>997</v>
      </c>
    </row>
    <row r="124" customFormat="false" ht="15" hidden="false" customHeight="true" outlineLevel="0" collapsed="false">
      <c r="A124" s="5" t="n">
        <v>123</v>
      </c>
      <c r="B124" s="5" t="s">
        <v>996</v>
      </c>
      <c r="C124" s="5" t="s">
        <v>666</v>
      </c>
      <c r="D124" s="5" t="s">
        <v>106</v>
      </c>
      <c r="E124" s="5" t="s">
        <v>913</v>
      </c>
      <c r="F124" s="5" t="s">
        <v>895</v>
      </c>
      <c r="G124" s="5" t="s">
        <v>997</v>
      </c>
    </row>
    <row r="125" customFormat="false" ht="15" hidden="false" customHeight="true" outlineLevel="0" collapsed="false">
      <c r="A125" s="5" t="n">
        <v>124</v>
      </c>
      <c r="B125" s="5" t="s">
        <v>996</v>
      </c>
      <c r="C125" s="5" t="s">
        <v>669</v>
      </c>
      <c r="D125" s="5" t="s">
        <v>51</v>
      </c>
      <c r="E125" s="5" t="s">
        <v>886</v>
      </c>
      <c r="F125" s="5" t="s">
        <v>922</v>
      </c>
      <c r="G125" s="5" t="s">
        <v>998</v>
      </c>
    </row>
    <row r="126" customFormat="false" ht="15" hidden="false" customHeight="true" outlineLevel="0" collapsed="false">
      <c r="A126" s="5" t="n">
        <v>125</v>
      </c>
      <c r="B126" s="5" t="s">
        <v>996</v>
      </c>
      <c r="C126" s="5" t="s">
        <v>670</v>
      </c>
      <c r="D126" s="5" t="s">
        <v>279</v>
      </c>
      <c r="E126" s="5" t="s">
        <v>913</v>
      </c>
      <c r="F126" s="5" t="s">
        <v>878</v>
      </c>
      <c r="G126" s="5" t="s">
        <v>999</v>
      </c>
    </row>
    <row r="127" customFormat="false" ht="15" hidden="false" customHeight="true" outlineLevel="0" collapsed="false">
      <c r="A127" s="5" t="n">
        <v>126</v>
      </c>
      <c r="B127" s="5" t="s">
        <v>996</v>
      </c>
      <c r="C127" s="5" t="s">
        <v>671</v>
      </c>
      <c r="D127" s="5" t="s">
        <v>163</v>
      </c>
      <c r="E127" s="5" t="s">
        <v>935</v>
      </c>
      <c r="F127" s="5" t="s">
        <v>962</v>
      </c>
      <c r="G127" s="5" t="s">
        <v>995</v>
      </c>
    </row>
    <row r="128" customFormat="false" ht="15" hidden="false" customHeight="true" outlineLevel="0" collapsed="false">
      <c r="A128" s="5" t="n">
        <v>127</v>
      </c>
      <c r="B128" s="5" t="s">
        <v>996</v>
      </c>
      <c r="C128" s="5" t="s">
        <v>673</v>
      </c>
      <c r="D128" s="5" t="s">
        <v>64</v>
      </c>
      <c r="E128" s="5" t="s">
        <v>913</v>
      </c>
      <c r="F128" s="5" t="s">
        <v>880</v>
      </c>
      <c r="G128" s="5" t="s">
        <v>1000</v>
      </c>
    </row>
    <row r="129" customFormat="false" ht="15" hidden="false" customHeight="true" outlineLevel="0" collapsed="false">
      <c r="A129" s="5" t="n">
        <v>128</v>
      </c>
      <c r="B129" s="5" t="s">
        <v>996</v>
      </c>
      <c r="C129" s="5" t="s">
        <v>674</v>
      </c>
      <c r="D129" s="5" t="s">
        <v>239</v>
      </c>
      <c r="E129" s="5" t="s">
        <v>963</v>
      </c>
      <c r="F129" s="5" t="s">
        <v>880</v>
      </c>
      <c r="G129" s="5" t="s">
        <v>1001</v>
      </c>
    </row>
    <row r="130" customFormat="false" ht="15" hidden="false" customHeight="true" outlineLevel="0" collapsed="false">
      <c r="A130" s="5" t="n">
        <v>129</v>
      </c>
      <c r="B130" s="5" t="s">
        <v>996</v>
      </c>
      <c r="C130" s="5" t="s">
        <v>675</v>
      </c>
      <c r="D130" s="5" t="s">
        <v>25</v>
      </c>
      <c r="E130" s="5" t="s">
        <v>960</v>
      </c>
      <c r="F130" s="5" t="s">
        <v>936</v>
      </c>
      <c r="G130" s="5" t="s">
        <v>1002</v>
      </c>
    </row>
    <row r="131" customFormat="false" ht="15" hidden="false" customHeight="true" outlineLevel="0" collapsed="false">
      <c r="A131" s="5" t="n">
        <v>130</v>
      </c>
      <c r="B131" s="5" t="s">
        <v>996</v>
      </c>
      <c r="C131" s="5" t="s">
        <v>676</v>
      </c>
      <c r="D131" s="5" t="s">
        <v>239</v>
      </c>
      <c r="E131" s="5" t="s">
        <v>44</v>
      </c>
      <c r="F131" s="5" t="s">
        <v>880</v>
      </c>
      <c r="G131" s="5" t="s">
        <v>979</v>
      </c>
    </row>
    <row r="132" customFormat="false" ht="15" hidden="false" customHeight="true" outlineLevel="0" collapsed="false">
      <c r="A132" s="5" t="n">
        <v>131</v>
      </c>
      <c r="B132" s="5" t="s">
        <v>996</v>
      </c>
      <c r="C132" s="5" t="s">
        <v>677</v>
      </c>
      <c r="D132" s="5" t="s">
        <v>148</v>
      </c>
      <c r="E132" s="5" t="s">
        <v>880</v>
      </c>
      <c r="F132" s="5" t="s">
        <v>878</v>
      </c>
      <c r="G132" s="5" t="s">
        <v>999</v>
      </c>
    </row>
    <row r="133" customFormat="false" ht="15" hidden="false" customHeight="true" outlineLevel="0" collapsed="false">
      <c r="A133" s="5" t="n">
        <v>132</v>
      </c>
      <c r="B133" s="5" t="s">
        <v>996</v>
      </c>
      <c r="C133" s="5" t="s">
        <v>680</v>
      </c>
      <c r="D133" s="5" t="s">
        <v>135</v>
      </c>
      <c r="E133" s="5" t="s">
        <v>924</v>
      </c>
      <c r="F133" s="5" t="s">
        <v>936</v>
      </c>
      <c r="G133" s="5" t="s">
        <v>1003</v>
      </c>
    </row>
    <row r="134" customFormat="false" ht="15" hidden="false" customHeight="true" outlineLevel="0" collapsed="false">
      <c r="A134" s="5" t="n">
        <v>133</v>
      </c>
      <c r="B134" s="5" t="s">
        <v>996</v>
      </c>
      <c r="C134" s="5" t="s">
        <v>681</v>
      </c>
      <c r="D134" s="5" t="s">
        <v>210</v>
      </c>
      <c r="E134" s="5" t="s">
        <v>935</v>
      </c>
      <c r="F134" s="5" t="s">
        <v>880</v>
      </c>
      <c r="G134" s="5" t="s">
        <v>999</v>
      </c>
    </row>
    <row r="135" customFormat="false" ht="15" hidden="false" customHeight="true" outlineLevel="0" collapsed="false">
      <c r="A135" s="5" t="n">
        <v>134</v>
      </c>
      <c r="B135" s="5" t="s">
        <v>996</v>
      </c>
      <c r="C135" s="5" t="s">
        <v>684</v>
      </c>
      <c r="D135" s="5" t="s">
        <v>260</v>
      </c>
      <c r="E135" s="5" t="s">
        <v>935</v>
      </c>
      <c r="F135" s="5" t="s">
        <v>922</v>
      </c>
      <c r="G135" s="5" t="s">
        <v>1004</v>
      </c>
    </row>
    <row r="136" customFormat="false" ht="15" hidden="false" customHeight="true" outlineLevel="0" collapsed="false">
      <c r="A136" s="5" t="n">
        <v>135</v>
      </c>
      <c r="B136" s="5" t="s">
        <v>996</v>
      </c>
      <c r="C136" s="5" t="s">
        <v>688</v>
      </c>
      <c r="D136" s="5" t="s">
        <v>96</v>
      </c>
      <c r="E136" s="5" t="s">
        <v>921</v>
      </c>
      <c r="F136" s="5" t="s">
        <v>880</v>
      </c>
      <c r="G136" s="5" t="s">
        <v>919</v>
      </c>
    </row>
    <row r="137" customFormat="false" ht="15" hidden="false" customHeight="true" outlineLevel="0" collapsed="false">
      <c r="A137" s="5" t="n">
        <v>136</v>
      </c>
      <c r="B137" s="5" t="s">
        <v>996</v>
      </c>
      <c r="C137" s="5" t="s">
        <v>691</v>
      </c>
      <c r="D137" s="5" t="s">
        <v>137</v>
      </c>
      <c r="E137" s="5" t="s">
        <v>44</v>
      </c>
      <c r="F137" s="5" t="s">
        <v>880</v>
      </c>
      <c r="G137" s="5" t="s">
        <v>961</v>
      </c>
    </row>
    <row r="138" customFormat="false" ht="15" hidden="false" customHeight="true" outlineLevel="0" collapsed="false">
      <c r="A138" s="5" t="n">
        <v>137</v>
      </c>
      <c r="B138" s="5" t="s">
        <v>996</v>
      </c>
      <c r="C138" s="5" t="s">
        <v>692</v>
      </c>
      <c r="D138" s="5" t="s">
        <v>84</v>
      </c>
      <c r="E138" s="5" t="s">
        <v>924</v>
      </c>
      <c r="F138" s="5" t="s">
        <v>936</v>
      </c>
      <c r="G138" s="5" t="s">
        <v>1005</v>
      </c>
    </row>
    <row r="139" customFormat="false" ht="15" hidden="false" customHeight="true" outlineLevel="0" collapsed="false">
      <c r="A139" s="5" t="n">
        <v>138</v>
      </c>
      <c r="B139" s="5" t="s">
        <v>996</v>
      </c>
      <c r="C139" s="5" t="s">
        <v>693</v>
      </c>
      <c r="D139" s="5" t="s">
        <v>191</v>
      </c>
      <c r="E139" s="5" t="s">
        <v>910</v>
      </c>
      <c r="F139" s="5" t="s">
        <v>880</v>
      </c>
      <c r="G139" s="5" t="s">
        <v>1006</v>
      </c>
    </row>
    <row r="140" customFormat="false" ht="15" hidden="false" customHeight="true" outlineLevel="0" collapsed="false">
      <c r="A140" s="5" t="n">
        <v>139</v>
      </c>
      <c r="B140" s="5" t="s">
        <v>996</v>
      </c>
      <c r="C140" s="5" t="s">
        <v>696</v>
      </c>
      <c r="D140" s="5" t="s">
        <v>181</v>
      </c>
      <c r="E140" s="5" t="s">
        <v>898</v>
      </c>
      <c r="F140" s="5" t="s">
        <v>899</v>
      </c>
      <c r="G140" s="5" t="s">
        <v>1007</v>
      </c>
    </row>
    <row r="141" customFormat="false" ht="15" hidden="false" customHeight="true" outlineLevel="0" collapsed="false">
      <c r="A141" s="5" t="n">
        <v>140</v>
      </c>
      <c r="B141" s="5" t="s">
        <v>996</v>
      </c>
      <c r="C141" s="5" t="s">
        <v>697</v>
      </c>
      <c r="D141" s="5" t="s">
        <v>110</v>
      </c>
      <c r="E141" s="5" t="s">
        <v>913</v>
      </c>
      <c r="F141" s="5" t="s">
        <v>880</v>
      </c>
      <c r="G141" s="5" t="s">
        <v>885</v>
      </c>
    </row>
    <row r="142" customFormat="false" ht="15" hidden="false" customHeight="true" outlineLevel="0" collapsed="false">
      <c r="A142" s="5" t="n">
        <v>141</v>
      </c>
      <c r="B142" s="5" t="s">
        <v>996</v>
      </c>
      <c r="C142" s="5" t="s">
        <v>699</v>
      </c>
      <c r="D142" s="5" t="s">
        <v>519</v>
      </c>
      <c r="E142" s="5" t="s">
        <v>880</v>
      </c>
      <c r="F142" s="5" t="s">
        <v>922</v>
      </c>
      <c r="G142" s="5" t="s">
        <v>1008</v>
      </c>
    </row>
    <row r="143" customFormat="false" ht="15" hidden="false" customHeight="true" outlineLevel="0" collapsed="false">
      <c r="A143" s="5" t="n">
        <v>142</v>
      </c>
      <c r="B143" s="5" t="s">
        <v>996</v>
      </c>
      <c r="C143" s="5" t="s">
        <v>700</v>
      </c>
      <c r="D143" s="5" t="s">
        <v>286</v>
      </c>
      <c r="E143" s="5" t="s">
        <v>880</v>
      </c>
      <c r="F143" s="5" t="s">
        <v>880</v>
      </c>
      <c r="G143" s="5" t="s">
        <v>1009</v>
      </c>
    </row>
    <row r="144" customFormat="false" ht="15" hidden="false" customHeight="true" outlineLevel="0" collapsed="false">
      <c r="A144" s="5" t="n">
        <v>143</v>
      </c>
      <c r="B144" s="5" t="s">
        <v>996</v>
      </c>
      <c r="C144" s="5" t="s">
        <v>703</v>
      </c>
      <c r="D144" s="5" t="s">
        <v>154</v>
      </c>
      <c r="E144" s="5" t="s">
        <v>880</v>
      </c>
      <c r="F144" s="5" t="s">
        <v>917</v>
      </c>
      <c r="G144" s="5" t="s">
        <v>1010</v>
      </c>
    </row>
    <row r="145" customFormat="false" ht="15" hidden="false" customHeight="true" outlineLevel="0" collapsed="false">
      <c r="A145" s="5" t="n">
        <v>144</v>
      </c>
      <c r="B145" s="5" t="s">
        <v>996</v>
      </c>
      <c r="C145" s="5" t="s">
        <v>704</v>
      </c>
      <c r="D145" s="5" t="s">
        <v>38</v>
      </c>
      <c r="E145" s="5" t="s">
        <v>44</v>
      </c>
      <c r="F145" s="5" t="s">
        <v>936</v>
      </c>
      <c r="G145" s="5" t="s">
        <v>1011</v>
      </c>
    </row>
    <row r="146" customFormat="false" ht="15" hidden="false" customHeight="true" outlineLevel="0" collapsed="false">
      <c r="A146" s="5" t="n">
        <v>145</v>
      </c>
      <c r="B146" s="5" t="s">
        <v>996</v>
      </c>
      <c r="C146" s="5" t="s">
        <v>706</v>
      </c>
      <c r="D146" s="5" t="s">
        <v>348</v>
      </c>
      <c r="E146" s="5" t="s">
        <v>894</v>
      </c>
      <c r="F146" s="5" t="s">
        <v>880</v>
      </c>
      <c r="G146" s="5" t="s">
        <v>997</v>
      </c>
    </row>
    <row r="147" customFormat="false" ht="15" hidden="false" customHeight="true" outlineLevel="0" collapsed="false">
      <c r="A147" s="5" t="n">
        <v>146</v>
      </c>
      <c r="B147" s="5" t="s">
        <v>996</v>
      </c>
      <c r="C147" s="5" t="s">
        <v>709</v>
      </c>
      <c r="D147" s="5" t="s">
        <v>125</v>
      </c>
      <c r="E147" s="5" t="s">
        <v>883</v>
      </c>
      <c r="F147" s="5" t="s">
        <v>974</v>
      </c>
      <c r="G147" s="5" t="s">
        <v>931</v>
      </c>
    </row>
    <row r="148" customFormat="false" ht="15" hidden="false" customHeight="true" outlineLevel="0" collapsed="false">
      <c r="A148" s="5" t="n">
        <v>147</v>
      </c>
      <c r="B148" s="5" t="s">
        <v>996</v>
      </c>
      <c r="C148" s="5" t="s">
        <v>711</v>
      </c>
      <c r="D148" s="5" t="s">
        <v>38</v>
      </c>
      <c r="E148" s="5" t="s">
        <v>960</v>
      </c>
      <c r="F148" s="5" t="s">
        <v>880</v>
      </c>
      <c r="G148" s="5" t="s">
        <v>999</v>
      </c>
    </row>
    <row r="149" customFormat="false" ht="15" hidden="false" customHeight="true" outlineLevel="0" collapsed="false">
      <c r="A149" s="5" t="n">
        <v>148</v>
      </c>
      <c r="B149" s="5" t="s">
        <v>996</v>
      </c>
      <c r="C149" s="5" t="s">
        <v>713</v>
      </c>
      <c r="D149" s="5" t="s">
        <v>181</v>
      </c>
      <c r="E149" s="5" t="s">
        <v>913</v>
      </c>
      <c r="F149" s="5" t="s">
        <v>880</v>
      </c>
      <c r="G149" s="5" t="s">
        <v>1012</v>
      </c>
    </row>
    <row r="150" customFormat="false" ht="15" hidden="false" customHeight="true" outlineLevel="0" collapsed="false">
      <c r="A150" s="5" t="n">
        <v>149</v>
      </c>
      <c r="B150" s="5" t="s">
        <v>996</v>
      </c>
      <c r="C150" s="5" t="s">
        <v>714</v>
      </c>
      <c r="D150" s="5" t="s">
        <v>154</v>
      </c>
      <c r="E150" s="5" t="s">
        <v>924</v>
      </c>
      <c r="F150" s="5" t="s">
        <v>962</v>
      </c>
      <c r="G150" s="5" t="s">
        <v>1013</v>
      </c>
    </row>
    <row r="151" customFormat="false" ht="15" hidden="false" customHeight="true" outlineLevel="0" collapsed="false">
      <c r="A151" s="5" t="n">
        <v>150</v>
      </c>
      <c r="B151" s="5" t="s">
        <v>996</v>
      </c>
      <c r="C151" s="5" t="s">
        <v>715</v>
      </c>
      <c r="D151" s="5" t="s">
        <v>64</v>
      </c>
      <c r="E151" s="5" t="s">
        <v>894</v>
      </c>
      <c r="F151" s="5" t="s">
        <v>889</v>
      </c>
      <c r="G151" s="5" t="s">
        <v>1014</v>
      </c>
    </row>
    <row r="152" customFormat="false" ht="15" hidden="false" customHeight="true" outlineLevel="0" collapsed="false">
      <c r="A152" s="5" t="n">
        <v>151</v>
      </c>
      <c r="B152" s="5" t="s">
        <v>1015</v>
      </c>
      <c r="C152" s="5" t="s">
        <v>718</v>
      </c>
      <c r="D152" s="5" t="s">
        <v>348</v>
      </c>
      <c r="E152" s="5" t="s">
        <v>622</v>
      </c>
      <c r="F152" s="5" t="s">
        <v>880</v>
      </c>
      <c r="G152" s="5" t="s">
        <v>903</v>
      </c>
    </row>
    <row r="153" customFormat="false" ht="15" hidden="false" customHeight="true" outlineLevel="0" collapsed="false">
      <c r="A153" s="5" t="n">
        <v>152</v>
      </c>
      <c r="B153" s="5" t="s">
        <v>1015</v>
      </c>
      <c r="C153" s="5" t="s">
        <v>721</v>
      </c>
      <c r="D153" s="5" t="s">
        <v>181</v>
      </c>
      <c r="E153" s="5" t="s">
        <v>880</v>
      </c>
      <c r="F153" s="5" t="s">
        <v>905</v>
      </c>
      <c r="G153" s="5" t="s">
        <v>958</v>
      </c>
    </row>
    <row r="154" customFormat="false" ht="15" hidden="false" customHeight="true" outlineLevel="0" collapsed="false">
      <c r="A154" s="5" t="n">
        <v>153</v>
      </c>
      <c r="B154" s="5" t="s">
        <v>1015</v>
      </c>
      <c r="C154" s="5" t="s">
        <v>724</v>
      </c>
      <c r="D154" s="5" t="s">
        <v>154</v>
      </c>
      <c r="E154" s="5" t="s">
        <v>960</v>
      </c>
      <c r="F154" s="5" t="s">
        <v>880</v>
      </c>
      <c r="G154" s="5" t="s">
        <v>978</v>
      </c>
    </row>
    <row r="155" customFormat="false" ht="15" hidden="false" customHeight="true" outlineLevel="0" collapsed="false">
      <c r="A155" s="5" t="n">
        <v>154</v>
      </c>
      <c r="B155" s="5" t="s">
        <v>1015</v>
      </c>
      <c r="C155" s="5" t="s">
        <v>726</v>
      </c>
      <c r="D155" s="5" t="s">
        <v>38</v>
      </c>
      <c r="E155" s="5" t="s">
        <v>921</v>
      </c>
      <c r="F155" s="5" t="s">
        <v>880</v>
      </c>
      <c r="G155" s="5" t="s">
        <v>923</v>
      </c>
    </row>
    <row r="156" customFormat="false" ht="15" hidden="false" customHeight="true" outlineLevel="0" collapsed="false">
      <c r="A156" s="5" t="n">
        <v>155</v>
      </c>
      <c r="B156" s="5" t="s">
        <v>1015</v>
      </c>
      <c r="C156" s="5" t="s">
        <v>728</v>
      </c>
      <c r="D156" s="5" t="s">
        <v>137</v>
      </c>
      <c r="E156" s="5" t="s">
        <v>880</v>
      </c>
      <c r="F156" s="5" t="s">
        <v>880</v>
      </c>
      <c r="G156" s="5" t="s">
        <v>1016</v>
      </c>
    </row>
    <row r="157" customFormat="false" ht="15" hidden="false" customHeight="true" outlineLevel="0" collapsed="false">
      <c r="A157" s="5" t="n">
        <v>156</v>
      </c>
      <c r="B157" s="5" t="s">
        <v>1015</v>
      </c>
      <c r="C157" s="5" t="s">
        <v>730</v>
      </c>
      <c r="D157" s="5" t="s">
        <v>106</v>
      </c>
      <c r="E157" s="5" t="s">
        <v>880</v>
      </c>
      <c r="F157" s="5" t="s">
        <v>880</v>
      </c>
      <c r="G157" s="5" t="s">
        <v>979</v>
      </c>
    </row>
    <row r="158" customFormat="false" ht="15" hidden="false" customHeight="true" outlineLevel="0" collapsed="false">
      <c r="A158" s="5" t="n">
        <v>157</v>
      </c>
      <c r="B158" s="5" t="s">
        <v>1015</v>
      </c>
      <c r="C158" s="5" t="s">
        <v>731</v>
      </c>
      <c r="D158" s="5" t="s">
        <v>135</v>
      </c>
      <c r="E158" s="5" t="s">
        <v>880</v>
      </c>
      <c r="F158" s="5" t="s">
        <v>880</v>
      </c>
      <c r="G158" s="5" t="s">
        <v>958</v>
      </c>
    </row>
    <row r="159" customFormat="false" ht="15" hidden="false" customHeight="true" outlineLevel="0" collapsed="false">
      <c r="A159" s="5" t="n">
        <v>158</v>
      </c>
      <c r="B159" s="5" t="s">
        <v>1015</v>
      </c>
      <c r="C159" s="5" t="s">
        <v>733</v>
      </c>
      <c r="D159" s="5" t="s">
        <v>96</v>
      </c>
      <c r="E159" s="5" t="s">
        <v>880</v>
      </c>
      <c r="F159" s="5" t="s">
        <v>936</v>
      </c>
      <c r="G159" s="5" t="s">
        <v>1017</v>
      </c>
    </row>
    <row r="160" customFormat="false" ht="15" hidden="false" customHeight="true" outlineLevel="0" collapsed="false">
      <c r="A160" s="5" t="n">
        <v>159</v>
      </c>
      <c r="B160" s="5" t="s">
        <v>1015</v>
      </c>
      <c r="C160" s="5" t="s">
        <v>734</v>
      </c>
      <c r="D160" s="5" t="s">
        <v>77</v>
      </c>
      <c r="E160" s="5" t="s">
        <v>880</v>
      </c>
      <c r="F160" s="5" t="s">
        <v>880</v>
      </c>
      <c r="G160" s="5" t="s">
        <v>1018</v>
      </c>
    </row>
    <row r="161" customFormat="false" ht="15" hidden="false" customHeight="true" outlineLevel="0" collapsed="false">
      <c r="A161" s="5" t="n">
        <v>160</v>
      </c>
      <c r="B161" s="5" t="s">
        <v>1015</v>
      </c>
      <c r="C161" s="5" t="s">
        <v>735</v>
      </c>
      <c r="D161" s="5" t="s">
        <v>210</v>
      </c>
      <c r="E161" s="5" t="s">
        <v>894</v>
      </c>
      <c r="F161" s="5" t="s">
        <v>880</v>
      </c>
      <c r="G161" s="5" t="s">
        <v>1019</v>
      </c>
    </row>
    <row r="162" customFormat="false" ht="15" hidden="false" customHeight="true" outlineLevel="0" collapsed="false">
      <c r="A162" s="5" t="n">
        <v>161</v>
      </c>
      <c r="B162" s="5" t="s">
        <v>1015</v>
      </c>
      <c r="C162" s="5" t="s">
        <v>737</v>
      </c>
      <c r="D162" s="5" t="s">
        <v>286</v>
      </c>
      <c r="E162" s="5" t="s">
        <v>880</v>
      </c>
      <c r="F162" s="5" t="s">
        <v>880</v>
      </c>
      <c r="G162" s="5" t="s">
        <v>1018</v>
      </c>
    </row>
    <row r="163" customFormat="false" ht="15" hidden="false" customHeight="true" outlineLevel="0" collapsed="false">
      <c r="A163" s="5" t="n">
        <v>162</v>
      </c>
      <c r="B163" s="5" t="s">
        <v>1015</v>
      </c>
      <c r="C163" s="5" t="s">
        <v>739</v>
      </c>
      <c r="D163" s="5" t="s">
        <v>25</v>
      </c>
      <c r="E163" s="5" t="s">
        <v>880</v>
      </c>
      <c r="F163" s="5" t="s">
        <v>880</v>
      </c>
      <c r="G163" s="5" t="s">
        <v>1020</v>
      </c>
    </row>
    <row r="164" customFormat="false" ht="15" hidden="false" customHeight="true" outlineLevel="0" collapsed="false">
      <c r="A164" s="5" t="n">
        <v>163</v>
      </c>
      <c r="B164" s="5" t="s">
        <v>1015</v>
      </c>
      <c r="C164" s="5" t="s">
        <v>740</v>
      </c>
      <c r="D164" s="5" t="s">
        <v>64</v>
      </c>
      <c r="E164" s="5" t="s">
        <v>894</v>
      </c>
      <c r="F164" s="5" t="s">
        <v>880</v>
      </c>
      <c r="G164" s="5" t="s">
        <v>987</v>
      </c>
    </row>
    <row r="165" customFormat="false" ht="15" hidden="false" customHeight="true" outlineLevel="0" collapsed="false">
      <c r="A165" s="5" t="n">
        <v>164</v>
      </c>
      <c r="B165" s="5" t="s">
        <v>1015</v>
      </c>
      <c r="C165" s="5" t="s">
        <v>742</v>
      </c>
      <c r="D165" s="5" t="s">
        <v>239</v>
      </c>
      <c r="E165" s="5" t="s">
        <v>960</v>
      </c>
      <c r="F165" s="5" t="s">
        <v>880</v>
      </c>
      <c r="G165" s="5" t="s">
        <v>958</v>
      </c>
    </row>
    <row r="166" customFormat="false" ht="15" hidden="false" customHeight="true" outlineLevel="0" collapsed="false">
      <c r="A166" s="5" t="n">
        <v>165</v>
      </c>
      <c r="B166" s="5" t="s">
        <v>1015</v>
      </c>
      <c r="C166" s="5" t="s">
        <v>743</v>
      </c>
      <c r="D166" s="5" t="s">
        <v>106</v>
      </c>
      <c r="E166" s="5" t="s">
        <v>880</v>
      </c>
      <c r="F166" s="5" t="s">
        <v>914</v>
      </c>
      <c r="G166" s="5" t="s">
        <v>1021</v>
      </c>
    </row>
    <row r="167" customFormat="false" ht="15" hidden="false" customHeight="true" outlineLevel="0" collapsed="false">
      <c r="A167" s="5" t="n">
        <v>166</v>
      </c>
      <c r="B167" s="5" t="s">
        <v>1015</v>
      </c>
      <c r="C167" s="5" t="s">
        <v>744</v>
      </c>
      <c r="D167" s="5" t="s">
        <v>191</v>
      </c>
      <c r="E167" s="5" t="s">
        <v>44</v>
      </c>
      <c r="F167" s="5" t="s">
        <v>880</v>
      </c>
      <c r="G167" s="5" t="s">
        <v>943</v>
      </c>
    </row>
    <row r="168" customFormat="false" ht="15" hidden="false" customHeight="true" outlineLevel="0" collapsed="false">
      <c r="A168" s="5" t="n">
        <v>167</v>
      </c>
      <c r="B168" s="5" t="s">
        <v>1015</v>
      </c>
      <c r="C168" s="5" t="s">
        <v>746</v>
      </c>
      <c r="D168" s="5" t="s">
        <v>51</v>
      </c>
      <c r="E168" s="5" t="s">
        <v>880</v>
      </c>
      <c r="F168" s="5" t="s">
        <v>880</v>
      </c>
      <c r="G168" s="5" t="s">
        <v>1022</v>
      </c>
    </row>
    <row r="169" customFormat="false" ht="15" hidden="false" customHeight="true" outlineLevel="0" collapsed="false">
      <c r="A169" s="5" t="n">
        <v>168</v>
      </c>
      <c r="B169" s="5" t="s">
        <v>1015</v>
      </c>
      <c r="C169" s="5" t="s">
        <v>749</v>
      </c>
      <c r="D169" s="5" t="s">
        <v>260</v>
      </c>
      <c r="E169" s="5" t="s">
        <v>880</v>
      </c>
      <c r="F169" s="5" t="s">
        <v>948</v>
      </c>
      <c r="G169" s="5" t="s">
        <v>943</v>
      </c>
    </row>
    <row r="170" customFormat="false" ht="15" hidden="false" customHeight="true" outlineLevel="0" collapsed="false">
      <c r="A170" s="5" t="n">
        <v>169</v>
      </c>
      <c r="B170" s="5" t="s">
        <v>1015</v>
      </c>
      <c r="C170" s="5" t="s">
        <v>751</v>
      </c>
      <c r="D170" s="5" t="s">
        <v>84</v>
      </c>
      <c r="E170" s="5" t="s">
        <v>880</v>
      </c>
      <c r="F170" s="5" t="s">
        <v>880</v>
      </c>
      <c r="G170" s="5" t="s">
        <v>1002</v>
      </c>
    </row>
    <row r="171" customFormat="false" ht="15" hidden="false" customHeight="true" outlineLevel="0" collapsed="false">
      <c r="A171" s="5" t="n">
        <v>170</v>
      </c>
      <c r="B171" s="5" t="s">
        <v>1015</v>
      </c>
      <c r="C171" s="5" t="s">
        <v>752</v>
      </c>
      <c r="D171" s="5" t="s">
        <v>163</v>
      </c>
      <c r="E171" s="5" t="s">
        <v>921</v>
      </c>
      <c r="F171" s="5" t="s">
        <v>880</v>
      </c>
      <c r="G171" s="5" t="s">
        <v>1023</v>
      </c>
    </row>
    <row r="172" customFormat="false" ht="15" hidden="false" customHeight="true" outlineLevel="0" collapsed="false">
      <c r="A172" s="5" t="n">
        <v>171</v>
      </c>
      <c r="B172" s="5" t="s">
        <v>1015</v>
      </c>
      <c r="C172" s="5" t="s">
        <v>753</v>
      </c>
      <c r="D172" s="5" t="s">
        <v>96</v>
      </c>
      <c r="E172" s="5" t="s">
        <v>880</v>
      </c>
      <c r="F172" s="5" t="s">
        <v>880</v>
      </c>
      <c r="G172" s="5" t="s">
        <v>984</v>
      </c>
    </row>
    <row r="173" customFormat="false" ht="15" hidden="false" customHeight="true" outlineLevel="0" collapsed="false">
      <c r="A173" s="5" t="n">
        <v>172</v>
      </c>
      <c r="B173" s="5" t="s">
        <v>1015</v>
      </c>
      <c r="C173" s="5" t="s">
        <v>754</v>
      </c>
      <c r="D173" s="5" t="s">
        <v>125</v>
      </c>
      <c r="E173" s="5" t="s">
        <v>44</v>
      </c>
      <c r="F173" s="5" t="s">
        <v>880</v>
      </c>
      <c r="G173" s="5" t="s">
        <v>909</v>
      </c>
    </row>
    <row r="174" customFormat="false" ht="15" hidden="false" customHeight="true" outlineLevel="0" collapsed="false">
      <c r="A174" s="5" t="n">
        <v>173</v>
      </c>
      <c r="B174" s="5" t="s">
        <v>1015</v>
      </c>
      <c r="C174" s="5" t="s">
        <v>755</v>
      </c>
      <c r="D174" s="5" t="s">
        <v>110</v>
      </c>
      <c r="E174" s="5" t="s">
        <v>880</v>
      </c>
      <c r="F174" s="5" t="s">
        <v>917</v>
      </c>
      <c r="G174" s="5" t="s">
        <v>943</v>
      </c>
    </row>
    <row r="175" customFormat="false" ht="15" hidden="false" customHeight="true" outlineLevel="0" collapsed="false">
      <c r="A175" s="5" t="n">
        <v>174</v>
      </c>
      <c r="B175" s="5" t="s">
        <v>1015</v>
      </c>
      <c r="C175" s="5" t="s">
        <v>756</v>
      </c>
      <c r="D175" s="5" t="s">
        <v>279</v>
      </c>
      <c r="E175" s="5" t="s">
        <v>913</v>
      </c>
      <c r="F175" s="5" t="s">
        <v>880</v>
      </c>
      <c r="G175" s="5" t="s">
        <v>1024</v>
      </c>
    </row>
    <row r="176" customFormat="false" ht="15" hidden="false" customHeight="true" outlineLevel="0" collapsed="false">
      <c r="A176" s="5" t="n">
        <v>175</v>
      </c>
      <c r="B176" s="5" t="s">
        <v>1015</v>
      </c>
      <c r="C176" s="5" t="s">
        <v>757</v>
      </c>
      <c r="D176" s="5" t="s">
        <v>519</v>
      </c>
      <c r="E176" s="5" t="s">
        <v>622</v>
      </c>
      <c r="F176" s="5" t="s">
        <v>970</v>
      </c>
      <c r="G176" s="5" t="s">
        <v>987</v>
      </c>
    </row>
    <row r="177" customFormat="false" ht="15" hidden="false" customHeight="true" outlineLevel="0" collapsed="false">
      <c r="A177" s="5" t="n">
        <v>176</v>
      </c>
      <c r="B177" s="5" t="s">
        <v>1015</v>
      </c>
      <c r="C177" s="5" t="s">
        <v>759</v>
      </c>
      <c r="D177" s="5" t="s">
        <v>77</v>
      </c>
      <c r="E177" s="5" t="s">
        <v>880</v>
      </c>
      <c r="F177" s="5" t="s">
        <v>880</v>
      </c>
      <c r="G177" s="5" t="s">
        <v>987</v>
      </c>
    </row>
    <row r="178" customFormat="false" ht="15" hidden="false" customHeight="true" outlineLevel="0" collapsed="false">
      <c r="A178" s="5" t="n">
        <v>177</v>
      </c>
      <c r="B178" s="5" t="s">
        <v>1015</v>
      </c>
      <c r="C178" s="5" t="s">
        <v>763</v>
      </c>
      <c r="D178" s="5" t="s">
        <v>148</v>
      </c>
      <c r="E178" s="5" t="s">
        <v>880</v>
      </c>
      <c r="F178" s="5" t="s">
        <v>881</v>
      </c>
      <c r="G178" s="5" t="s">
        <v>943</v>
      </c>
    </row>
    <row r="179" customFormat="false" ht="15" hidden="false" customHeight="true" outlineLevel="0" collapsed="false">
      <c r="A179" s="5" t="n">
        <v>178</v>
      </c>
      <c r="B179" s="5" t="s">
        <v>1015</v>
      </c>
      <c r="C179" s="5" t="s">
        <v>764</v>
      </c>
      <c r="D179" s="5" t="s">
        <v>286</v>
      </c>
      <c r="E179" s="5" t="s">
        <v>880</v>
      </c>
      <c r="F179" s="5" t="s">
        <v>880</v>
      </c>
      <c r="G179" s="5" t="s">
        <v>1018</v>
      </c>
    </row>
    <row r="180" customFormat="false" ht="15" hidden="false" customHeight="true" outlineLevel="0" collapsed="false">
      <c r="A180" s="5" t="n">
        <v>179</v>
      </c>
      <c r="B180" s="5" t="s">
        <v>1015</v>
      </c>
      <c r="C180" s="5" t="s">
        <v>765</v>
      </c>
      <c r="D180" s="5" t="s">
        <v>38</v>
      </c>
      <c r="E180" s="5" t="s">
        <v>880</v>
      </c>
      <c r="F180" s="5" t="s">
        <v>880</v>
      </c>
      <c r="G180" s="5" t="s">
        <v>943</v>
      </c>
    </row>
    <row r="181" customFormat="false" ht="15" hidden="false" customHeight="true" outlineLevel="0" collapsed="false">
      <c r="A181" s="5" t="n">
        <v>180</v>
      </c>
      <c r="B181" s="5" t="s">
        <v>1015</v>
      </c>
      <c r="C181" s="5" t="s">
        <v>766</v>
      </c>
      <c r="D181" s="5" t="s">
        <v>154</v>
      </c>
      <c r="E181" s="5" t="s">
        <v>880</v>
      </c>
      <c r="F181" s="5" t="s">
        <v>880</v>
      </c>
      <c r="G181" s="5" t="s">
        <v>979</v>
      </c>
    </row>
    <row r="182" customFormat="false" ht="15" hidden="false" customHeight="true" outlineLevel="0" collapsed="false">
      <c r="A182" s="5" t="n">
        <v>181</v>
      </c>
      <c r="B182" s="5" t="s">
        <v>1025</v>
      </c>
      <c r="C182" s="5" t="s">
        <v>768</v>
      </c>
      <c r="D182" s="5" t="s">
        <v>148</v>
      </c>
      <c r="E182" s="5" t="s">
        <v>935</v>
      </c>
      <c r="F182" s="5" t="s">
        <v>908</v>
      </c>
      <c r="G182" s="5" t="s">
        <v>995</v>
      </c>
    </row>
    <row r="183" customFormat="false" ht="15" hidden="false" customHeight="true" outlineLevel="0" collapsed="false">
      <c r="A183" s="5" t="n">
        <v>182</v>
      </c>
      <c r="B183" s="5" t="s">
        <v>1025</v>
      </c>
      <c r="C183" s="5" t="s">
        <v>769</v>
      </c>
      <c r="D183" s="5" t="s">
        <v>210</v>
      </c>
      <c r="E183" s="5" t="s">
        <v>873</v>
      </c>
      <c r="F183" s="5" t="s">
        <v>940</v>
      </c>
      <c r="G183" s="5" t="s">
        <v>1026</v>
      </c>
    </row>
    <row r="184" customFormat="false" ht="15" hidden="false" customHeight="true" outlineLevel="0" collapsed="false">
      <c r="A184" s="5" t="n">
        <v>183</v>
      </c>
      <c r="B184" s="5" t="s">
        <v>1025</v>
      </c>
      <c r="C184" s="5" t="s">
        <v>772</v>
      </c>
      <c r="D184" s="5" t="s">
        <v>163</v>
      </c>
      <c r="E184" s="5" t="s">
        <v>924</v>
      </c>
      <c r="F184" s="5" t="s">
        <v>905</v>
      </c>
      <c r="G184" s="5" t="s">
        <v>950</v>
      </c>
    </row>
    <row r="185" customFormat="false" ht="15" hidden="false" customHeight="true" outlineLevel="0" collapsed="false">
      <c r="A185" s="5" t="n">
        <v>184</v>
      </c>
      <c r="B185" s="5" t="s">
        <v>1025</v>
      </c>
      <c r="C185" s="5" t="s">
        <v>774</v>
      </c>
      <c r="D185" s="5" t="s">
        <v>279</v>
      </c>
      <c r="E185" s="5" t="s">
        <v>870</v>
      </c>
      <c r="F185" s="5" t="s">
        <v>880</v>
      </c>
      <c r="G185" s="5" t="s">
        <v>959</v>
      </c>
    </row>
    <row r="186" customFormat="false" ht="15" hidden="false" customHeight="true" outlineLevel="0" collapsed="false">
      <c r="A186" s="5" t="n">
        <v>185</v>
      </c>
      <c r="B186" s="5" t="s">
        <v>1025</v>
      </c>
      <c r="C186" s="5" t="s">
        <v>775</v>
      </c>
      <c r="D186" s="5" t="s">
        <v>64</v>
      </c>
      <c r="E186" s="5" t="s">
        <v>873</v>
      </c>
      <c r="F186" s="5" t="s">
        <v>940</v>
      </c>
      <c r="G186" s="5" t="s">
        <v>1027</v>
      </c>
    </row>
    <row r="187" customFormat="false" ht="15" hidden="false" customHeight="true" outlineLevel="0" collapsed="false">
      <c r="A187" s="5" t="n">
        <v>186</v>
      </c>
      <c r="B187" s="5" t="s">
        <v>1025</v>
      </c>
      <c r="C187" s="5" t="s">
        <v>776</v>
      </c>
      <c r="D187" s="5" t="s">
        <v>171</v>
      </c>
      <c r="E187" s="5" t="s">
        <v>873</v>
      </c>
      <c r="F187" s="5" t="s">
        <v>884</v>
      </c>
      <c r="G187" s="5" t="s">
        <v>934</v>
      </c>
    </row>
    <row r="188" customFormat="false" ht="15" hidden="false" customHeight="true" outlineLevel="0" collapsed="false">
      <c r="A188" s="5" t="n">
        <v>187</v>
      </c>
      <c r="B188" s="5" t="s">
        <v>1025</v>
      </c>
      <c r="C188" s="5" t="s">
        <v>780</v>
      </c>
      <c r="D188" s="5" t="s">
        <v>519</v>
      </c>
      <c r="E188" s="5" t="s">
        <v>963</v>
      </c>
      <c r="F188" s="5" t="s">
        <v>880</v>
      </c>
      <c r="G188" s="5" t="s">
        <v>1018</v>
      </c>
    </row>
    <row r="189" customFormat="false" ht="15" hidden="false" customHeight="true" outlineLevel="0" collapsed="false">
      <c r="A189" s="5" t="n">
        <v>188</v>
      </c>
      <c r="B189" s="5" t="s">
        <v>1025</v>
      </c>
      <c r="C189" s="5" t="s">
        <v>782</v>
      </c>
      <c r="D189" s="5" t="s">
        <v>239</v>
      </c>
      <c r="E189" s="5" t="s">
        <v>963</v>
      </c>
      <c r="F189" s="5" t="s">
        <v>880</v>
      </c>
      <c r="G189" s="5" t="s">
        <v>1028</v>
      </c>
    </row>
    <row r="190" customFormat="false" ht="15" hidden="false" customHeight="true" outlineLevel="0" collapsed="false">
      <c r="A190" s="5" t="n">
        <v>189</v>
      </c>
      <c r="B190" s="5" t="s">
        <v>1025</v>
      </c>
      <c r="C190" s="5" t="s">
        <v>783</v>
      </c>
      <c r="D190" s="5" t="s">
        <v>286</v>
      </c>
      <c r="E190" s="5" t="s">
        <v>880</v>
      </c>
      <c r="F190" s="5" t="s">
        <v>880</v>
      </c>
      <c r="G190" s="5" t="s">
        <v>943</v>
      </c>
    </row>
    <row r="191" customFormat="false" ht="15" hidden="false" customHeight="true" outlineLevel="0" collapsed="false">
      <c r="A191" s="5" t="n">
        <v>190</v>
      </c>
      <c r="B191" s="5" t="s">
        <v>1025</v>
      </c>
      <c r="C191" s="5" t="s">
        <v>784</v>
      </c>
      <c r="D191" s="5" t="s">
        <v>84</v>
      </c>
      <c r="E191" s="5" t="s">
        <v>880</v>
      </c>
      <c r="F191" s="5" t="s">
        <v>974</v>
      </c>
      <c r="G191" s="5" t="s">
        <v>992</v>
      </c>
    </row>
    <row r="192" customFormat="false" ht="15" hidden="false" customHeight="true" outlineLevel="0" collapsed="false">
      <c r="A192" s="5" t="n">
        <v>191</v>
      </c>
      <c r="B192" s="5" t="s">
        <v>1025</v>
      </c>
      <c r="C192" s="5" t="s">
        <v>785</v>
      </c>
      <c r="D192" s="5" t="s">
        <v>96</v>
      </c>
      <c r="E192" s="5" t="s">
        <v>880</v>
      </c>
      <c r="F192" s="5" t="s">
        <v>895</v>
      </c>
      <c r="G192" s="5" t="s">
        <v>1029</v>
      </c>
    </row>
    <row r="193" customFormat="false" ht="15" hidden="false" customHeight="true" outlineLevel="0" collapsed="false">
      <c r="A193" s="5" t="n">
        <v>192</v>
      </c>
      <c r="B193" s="5" t="s">
        <v>1025</v>
      </c>
      <c r="C193" s="5" t="s">
        <v>788</v>
      </c>
      <c r="D193" s="5" t="s">
        <v>260</v>
      </c>
      <c r="E193" s="5" t="s">
        <v>880</v>
      </c>
      <c r="F193" s="5" t="s">
        <v>895</v>
      </c>
      <c r="G193" s="5" t="s">
        <v>943</v>
      </c>
    </row>
    <row r="194" customFormat="false" ht="15" hidden="false" customHeight="true" outlineLevel="0" collapsed="false">
      <c r="A194" s="5" t="n">
        <v>193</v>
      </c>
      <c r="B194" s="5" t="s">
        <v>1025</v>
      </c>
      <c r="C194" s="5" t="s">
        <v>790</v>
      </c>
      <c r="D194" s="5" t="s">
        <v>154</v>
      </c>
      <c r="E194" s="5" t="s">
        <v>873</v>
      </c>
      <c r="F194" s="5" t="s">
        <v>940</v>
      </c>
      <c r="G194" s="5" t="s">
        <v>987</v>
      </c>
    </row>
    <row r="195" customFormat="false" ht="15" hidden="false" customHeight="true" outlineLevel="0" collapsed="false">
      <c r="A195" s="5" t="n">
        <v>194</v>
      </c>
      <c r="B195" s="5" t="s">
        <v>1025</v>
      </c>
      <c r="C195" s="5" t="s">
        <v>791</v>
      </c>
      <c r="D195" s="5" t="s">
        <v>106</v>
      </c>
      <c r="E195" s="5" t="s">
        <v>880</v>
      </c>
      <c r="F195" s="5" t="s">
        <v>880</v>
      </c>
      <c r="G195" s="5" t="s">
        <v>943</v>
      </c>
    </row>
    <row r="196" customFormat="false" ht="15" hidden="false" customHeight="true" outlineLevel="0" collapsed="false">
      <c r="A196" s="5" t="n">
        <v>195</v>
      </c>
      <c r="B196" s="5" t="s">
        <v>1025</v>
      </c>
      <c r="C196" s="5" t="s">
        <v>793</v>
      </c>
      <c r="D196" s="5" t="s">
        <v>125</v>
      </c>
      <c r="E196" s="5" t="s">
        <v>870</v>
      </c>
      <c r="F196" s="5" t="s">
        <v>878</v>
      </c>
      <c r="G196" s="5" t="s">
        <v>997</v>
      </c>
    </row>
    <row r="197" customFormat="false" ht="15" hidden="false" customHeight="true" outlineLevel="0" collapsed="false">
      <c r="A197" s="5" t="n">
        <v>196</v>
      </c>
      <c r="B197" s="5" t="s">
        <v>1025</v>
      </c>
      <c r="C197" s="5" t="s">
        <v>794</v>
      </c>
      <c r="D197" s="5" t="s">
        <v>51</v>
      </c>
      <c r="E197" s="5" t="s">
        <v>886</v>
      </c>
      <c r="F197" s="5" t="s">
        <v>887</v>
      </c>
      <c r="G197" s="5" t="s">
        <v>1001</v>
      </c>
    </row>
    <row r="198" customFormat="false" ht="15" hidden="false" customHeight="true" outlineLevel="0" collapsed="false">
      <c r="A198" s="5" t="n">
        <v>197</v>
      </c>
      <c r="B198" s="5" t="s">
        <v>1025</v>
      </c>
      <c r="C198" s="5" t="s">
        <v>795</v>
      </c>
      <c r="D198" s="5" t="s">
        <v>181</v>
      </c>
      <c r="E198" s="5" t="s">
        <v>963</v>
      </c>
      <c r="F198" s="5" t="s">
        <v>889</v>
      </c>
      <c r="G198" s="5" t="s">
        <v>1030</v>
      </c>
    </row>
    <row r="199" customFormat="false" ht="15" hidden="false" customHeight="true" outlineLevel="0" collapsed="false">
      <c r="A199" s="5" t="n">
        <v>198</v>
      </c>
      <c r="B199" s="5" t="s">
        <v>1025</v>
      </c>
      <c r="C199" s="5" t="s">
        <v>796</v>
      </c>
      <c r="D199" s="5" t="s">
        <v>77</v>
      </c>
      <c r="E199" s="5" t="s">
        <v>963</v>
      </c>
      <c r="F199" s="5" t="s">
        <v>915</v>
      </c>
      <c r="G199" s="5" t="s">
        <v>997</v>
      </c>
    </row>
    <row r="200" customFormat="false" ht="15" hidden="false" customHeight="true" outlineLevel="0" collapsed="false">
      <c r="A200" s="5" t="n">
        <v>199</v>
      </c>
      <c r="B200" s="5" t="s">
        <v>1025</v>
      </c>
      <c r="C200" s="5" t="s">
        <v>799</v>
      </c>
      <c r="D200" s="5" t="s">
        <v>25</v>
      </c>
      <c r="E200" s="5" t="s">
        <v>886</v>
      </c>
      <c r="F200" s="5" t="s">
        <v>940</v>
      </c>
      <c r="G200" s="5" t="s">
        <v>1031</v>
      </c>
    </row>
    <row r="201" customFormat="false" ht="15" hidden="false" customHeight="true" outlineLevel="0" collapsed="false">
      <c r="A201" s="5" t="n">
        <v>200</v>
      </c>
      <c r="B201" s="5" t="s">
        <v>1025</v>
      </c>
      <c r="C201" s="5" t="s">
        <v>800</v>
      </c>
      <c r="D201" s="5" t="s">
        <v>110</v>
      </c>
      <c r="E201" s="5" t="s">
        <v>963</v>
      </c>
      <c r="F201" s="5" t="s">
        <v>974</v>
      </c>
      <c r="G201" s="5" t="s">
        <v>934</v>
      </c>
    </row>
    <row r="202" customFormat="false" ht="15" hidden="false" customHeight="true" outlineLevel="0" collapsed="false">
      <c r="A202" s="5" t="n">
        <v>201</v>
      </c>
      <c r="B202" s="5" t="s">
        <v>1025</v>
      </c>
      <c r="C202" s="5" t="s">
        <v>801</v>
      </c>
      <c r="D202" s="5" t="s">
        <v>191</v>
      </c>
      <c r="E202" s="5" t="s">
        <v>898</v>
      </c>
      <c r="F202" s="5" t="s">
        <v>887</v>
      </c>
      <c r="G202" s="5" t="s">
        <v>1032</v>
      </c>
    </row>
    <row r="203" customFormat="false" ht="15" hidden="false" customHeight="true" outlineLevel="0" collapsed="false">
      <c r="A203" s="5" t="n">
        <v>202</v>
      </c>
      <c r="B203" s="5" t="s">
        <v>1025</v>
      </c>
      <c r="C203" s="5" t="s">
        <v>803</v>
      </c>
      <c r="D203" s="5" t="s">
        <v>137</v>
      </c>
      <c r="E203" s="5" t="s">
        <v>880</v>
      </c>
      <c r="F203" s="5" t="s">
        <v>880</v>
      </c>
      <c r="G203" s="5" t="s">
        <v>987</v>
      </c>
    </row>
    <row r="204" customFormat="false" ht="15" hidden="false" customHeight="true" outlineLevel="0" collapsed="false">
      <c r="A204" s="5" t="n">
        <v>203</v>
      </c>
      <c r="B204" s="5" t="s">
        <v>1025</v>
      </c>
      <c r="C204" s="5" t="s">
        <v>804</v>
      </c>
      <c r="D204" s="5" t="s">
        <v>135</v>
      </c>
      <c r="E204" s="5" t="s">
        <v>880</v>
      </c>
      <c r="F204" s="5" t="s">
        <v>970</v>
      </c>
      <c r="G204" s="5" t="s">
        <v>943</v>
      </c>
    </row>
    <row r="205" customFormat="false" ht="15" hidden="false" customHeight="true" outlineLevel="0" collapsed="false">
      <c r="A205" s="5" t="n">
        <v>204</v>
      </c>
      <c r="B205" s="5" t="s">
        <v>1025</v>
      </c>
      <c r="C205" s="5" t="s">
        <v>807</v>
      </c>
      <c r="D205" s="5" t="s">
        <v>148</v>
      </c>
      <c r="E205" s="5" t="s">
        <v>894</v>
      </c>
      <c r="F205" s="5" t="s">
        <v>884</v>
      </c>
      <c r="G205" s="5" t="s">
        <v>958</v>
      </c>
    </row>
    <row r="206" customFormat="false" ht="15" hidden="false" customHeight="true" outlineLevel="0" collapsed="false">
      <c r="A206" s="5" t="n">
        <v>205</v>
      </c>
      <c r="B206" s="5" t="s">
        <v>1025</v>
      </c>
      <c r="C206" s="5" t="s">
        <v>808</v>
      </c>
      <c r="D206" s="5" t="s">
        <v>279</v>
      </c>
      <c r="E206" s="5" t="s">
        <v>898</v>
      </c>
      <c r="F206" s="5" t="s">
        <v>880</v>
      </c>
      <c r="G206" s="5" t="s">
        <v>1032</v>
      </c>
    </row>
    <row r="207" customFormat="false" ht="15" hidden="false" customHeight="true" outlineLevel="0" collapsed="false">
      <c r="A207" s="5" t="n">
        <v>206</v>
      </c>
      <c r="B207" s="5" t="s">
        <v>1025</v>
      </c>
      <c r="C207" s="5" t="s">
        <v>809</v>
      </c>
      <c r="D207" s="5" t="s">
        <v>348</v>
      </c>
      <c r="E207" s="5" t="s">
        <v>898</v>
      </c>
      <c r="F207" s="5" t="s">
        <v>953</v>
      </c>
      <c r="G207" s="5" t="s">
        <v>979</v>
      </c>
    </row>
    <row r="208" customFormat="false" ht="15" hidden="false" customHeight="true" outlineLevel="0" collapsed="false">
      <c r="A208" s="5" t="n">
        <v>207</v>
      </c>
      <c r="B208" s="5" t="s">
        <v>1025</v>
      </c>
      <c r="C208" s="5" t="s">
        <v>811</v>
      </c>
      <c r="D208" s="5" t="s">
        <v>260</v>
      </c>
      <c r="E208" s="5" t="s">
        <v>880</v>
      </c>
      <c r="F208" s="5" t="s">
        <v>922</v>
      </c>
      <c r="G208" s="5" t="s">
        <v>1033</v>
      </c>
    </row>
    <row r="209" customFormat="false" ht="15" hidden="false" customHeight="true" outlineLevel="0" collapsed="false">
      <c r="A209" s="5" t="n">
        <v>208</v>
      </c>
      <c r="B209" s="5" t="s">
        <v>1025</v>
      </c>
      <c r="C209" s="5" t="s">
        <v>813</v>
      </c>
      <c r="D209" s="5" t="s">
        <v>239</v>
      </c>
      <c r="E209" s="5" t="s">
        <v>963</v>
      </c>
      <c r="F209" s="5" t="s">
        <v>915</v>
      </c>
      <c r="G209" s="5" t="s">
        <v>1018</v>
      </c>
    </row>
    <row r="210" customFormat="false" ht="15" hidden="false" customHeight="true" outlineLevel="0" collapsed="false">
      <c r="A210" s="5" t="n">
        <v>209</v>
      </c>
      <c r="B210" s="5" t="s">
        <v>1025</v>
      </c>
      <c r="C210" s="5" t="s">
        <v>814</v>
      </c>
      <c r="D210" s="5" t="s">
        <v>38</v>
      </c>
      <c r="E210" s="5" t="s">
        <v>870</v>
      </c>
      <c r="F210" s="5" t="s">
        <v>914</v>
      </c>
      <c r="G210" s="5" t="s">
        <v>987</v>
      </c>
    </row>
    <row r="211" customFormat="false" ht="15" hidden="false" customHeight="true" outlineLevel="0" collapsed="false">
      <c r="A211" s="5" t="n">
        <v>210</v>
      </c>
      <c r="B211" s="5" t="s">
        <v>1025</v>
      </c>
      <c r="C211" s="5" t="s">
        <v>815</v>
      </c>
      <c r="D211" s="5" t="s">
        <v>106</v>
      </c>
      <c r="E211" s="5" t="s">
        <v>870</v>
      </c>
      <c r="F211" s="5" t="s">
        <v>881</v>
      </c>
      <c r="G211" s="5" t="s">
        <v>943</v>
      </c>
    </row>
    <row r="212" customFormat="false" ht="15" hidden="false" customHeight="true" outlineLevel="0" collapsed="false">
      <c r="A212" s="5" t="n">
        <v>211</v>
      </c>
      <c r="B212" s="5" t="s">
        <v>1034</v>
      </c>
      <c r="C212" s="5" t="s">
        <v>816</v>
      </c>
      <c r="D212" s="5" t="s">
        <v>84</v>
      </c>
      <c r="E212" s="5" t="s">
        <v>924</v>
      </c>
      <c r="F212" s="5" t="s">
        <v>936</v>
      </c>
      <c r="G212" s="5" t="s">
        <v>1035</v>
      </c>
    </row>
    <row r="213" customFormat="false" ht="15" hidden="false" customHeight="true" outlineLevel="0" collapsed="false">
      <c r="A213" s="5" t="n">
        <v>212</v>
      </c>
      <c r="B213" s="5" t="s">
        <v>1034</v>
      </c>
      <c r="C213" s="5" t="s">
        <v>817</v>
      </c>
      <c r="D213" s="5" t="s">
        <v>64</v>
      </c>
      <c r="E213" s="5" t="s">
        <v>880</v>
      </c>
      <c r="F213" s="5" t="s">
        <v>880</v>
      </c>
      <c r="G213" s="5" t="s">
        <v>1036</v>
      </c>
    </row>
    <row r="214" customFormat="false" ht="15" hidden="false" customHeight="true" outlineLevel="0" collapsed="false">
      <c r="A214" s="5" t="n">
        <v>213</v>
      </c>
      <c r="B214" s="5" t="s">
        <v>1034</v>
      </c>
      <c r="C214" s="5" t="s">
        <v>818</v>
      </c>
      <c r="D214" s="5" t="s">
        <v>210</v>
      </c>
      <c r="E214" s="5" t="s">
        <v>880</v>
      </c>
      <c r="F214" s="5" t="s">
        <v>880</v>
      </c>
      <c r="G214" s="5" t="s">
        <v>958</v>
      </c>
    </row>
    <row r="215" customFormat="false" ht="15" hidden="false" customHeight="true" outlineLevel="0" collapsed="false">
      <c r="A215" s="5" t="n">
        <v>214</v>
      </c>
      <c r="B215" s="5" t="s">
        <v>1034</v>
      </c>
      <c r="C215" s="5" t="s">
        <v>819</v>
      </c>
      <c r="D215" s="5" t="s">
        <v>25</v>
      </c>
      <c r="E215" s="5" t="s">
        <v>622</v>
      </c>
      <c r="F215" s="5" t="s">
        <v>936</v>
      </c>
      <c r="G215" s="5" t="s">
        <v>1002</v>
      </c>
    </row>
    <row r="216" customFormat="false" ht="15" hidden="false" customHeight="true" outlineLevel="0" collapsed="false">
      <c r="A216" s="5" t="n">
        <v>215</v>
      </c>
      <c r="B216" s="5" t="s">
        <v>1034</v>
      </c>
      <c r="C216" s="5" t="s">
        <v>821</v>
      </c>
      <c r="D216" s="5" t="s">
        <v>163</v>
      </c>
      <c r="E216" s="5" t="s">
        <v>921</v>
      </c>
      <c r="F216" s="5" t="s">
        <v>922</v>
      </c>
      <c r="G216" s="5" t="s">
        <v>923</v>
      </c>
    </row>
    <row r="217" customFormat="false" ht="15" hidden="false" customHeight="true" outlineLevel="0" collapsed="false">
      <c r="A217" s="5" t="n">
        <v>216</v>
      </c>
      <c r="B217" s="5" t="s">
        <v>1034</v>
      </c>
      <c r="C217" s="5" t="s">
        <v>823</v>
      </c>
      <c r="D217" s="5" t="s">
        <v>38</v>
      </c>
      <c r="E217" s="5" t="s">
        <v>870</v>
      </c>
      <c r="F217" s="5" t="s">
        <v>880</v>
      </c>
      <c r="G217" s="5" t="s">
        <v>879</v>
      </c>
    </row>
    <row r="218" customFormat="false" ht="15" hidden="false" customHeight="true" outlineLevel="0" collapsed="false">
      <c r="A218" s="5" t="n">
        <v>217</v>
      </c>
      <c r="B218" s="5" t="s">
        <v>1034</v>
      </c>
      <c r="C218" s="5" t="s">
        <v>825</v>
      </c>
      <c r="D218" s="5" t="s">
        <v>154</v>
      </c>
      <c r="E218" s="5" t="s">
        <v>880</v>
      </c>
      <c r="F218" s="5" t="s">
        <v>880</v>
      </c>
      <c r="G218" s="5" t="s">
        <v>943</v>
      </c>
    </row>
    <row r="219" customFormat="false" ht="15" hidden="false" customHeight="true" outlineLevel="0" collapsed="false">
      <c r="A219" s="5" t="n">
        <v>218</v>
      </c>
      <c r="B219" s="5" t="s">
        <v>1034</v>
      </c>
      <c r="C219" s="5" t="s">
        <v>827</v>
      </c>
      <c r="D219" s="5" t="s">
        <v>148</v>
      </c>
      <c r="E219" s="5" t="s">
        <v>880</v>
      </c>
      <c r="F219" s="5" t="s">
        <v>881</v>
      </c>
      <c r="G219" s="5" t="s">
        <v>947</v>
      </c>
    </row>
    <row r="220" customFormat="false" ht="15" hidden="false" customHeight="true" outlineLevel="0" collapsed="false">
      <c r="A220" s="5" t="n">
        <v>219</v>
      </c>
      <c r="B220" s="5" t="s">
        <v>1034</v>
      </c>
      <c r="C220" s="5" t="s">
        <v>828</v>
      </c>
      <c r="D220" s="5" t="s">
        <v>96</v>
      </c>
      <c r="E220" s="5" t="s">
        <v>870</v>
      </c>
      <c r="F220" s="5" t="s">
        <v>876</v>
      </c>
      <c r="G220" s="5" t="s">
        <v>958</v>
      </c>
    </row>
    <row r="221" customFormat="false" ht="15" hidden="false" customHeight="true" outlineLevel="0" collapsed="false">
      <c r="A221" s="5" t="n">
        <v>220</v>
      </c>
      <c r="B221" s="5" t="s">
        <v>1034</v>
      </c>
      <c r="C221" s="5" t="s">
        <v>829</v>
      </c>
      <c r="D221" s="5" t="s">
        <v>135</v>
      </c>
      <c r="E221" s="5" t="s">
        <v>880</v>
      </c>
      <c r="F221" s="5" t="s">
        <v>880</v>
      </c>
      <c r="G221" s="5" t="s">
        <v>943</v>
      </c>
    </row>
    <row r="222" customFormat="false" ht="15" hidden="false" customHeight="true" outlineLevel="0" collapsed="false">
      <c r="A222" s="5" t="n">
        <v>221</v>
      </c>
      <c r="B222" s="5" t="s">
        <v>1034</v>
      </c>
      <c r="C222" s="5" t="s">
        <v>830</v>
      </c>
      <c r="D222" s="5" t="s">
        <v>239</v>
      </c>
      <c r="E222" s="5" t="s">
        <v>880</v>
      </c>
      <c r="F222" s="5" t="s">
        <v>880</v>
      </c>
      <c r="G222" s="5" t="s">
        <v>931</v>
      </c>
    </row>
    <row r="223" customFormat="false" ht="15" hidden="false" customHeight="true" outlineLevel="0" collapsed="false">
      <c r="A223" s="5" t="n">
        <v>222</v>
      </c>
      <c r="B223" s="5" t="s">
        <v>1034</v>
      </c>
      <c r="C223" s="5" t="s">
        <v>831</v>
      </c>
      <c r="D223" s="5" t="s">
        <v>84</v>
      </c>
      <c r="E223" s="5" t="s">
        <v>880</v>
      </c>
      <c r="F223" s="5" t="s">
        <v>876</v>
      </c>
      <c r="G223" s="5" t="s">
        <v>1037</v>
      </c>
    </row>
    <row r="224" customFormat="false" ht="15" hidden="false" customHeight="true" outlineLevel="0" collapsed="false">
      <c r="A224" s="5" t="n">
        <v>223</v>
      </c>
      <c r="B224" s="5" t="s">
        <v>1034</v>
      </c>
      <c r="C224" s="5" t="s">
        <v>832</v>
      </c>
      <c r="D224" s="5" t="s">
        <v>348</v>
      </c>
      <c r="E224" s="5" t="s">
        <v>880</v>
      </c>
      <c r="F224" s="5" t="s">
        <v>880</v>
      </c>
      <c r="G224" s="5" t="s">
        <v>958</v>
      </c>
    </row>
    <row r="225" customFormat="false" ht="15" hidden="false" customHeight="true" outlineLevel="0" collapsed="false">
      <c r="A225" s="5" t="n">
        <v>224</v>
      </c>
      <c r="B225" s="5" t="s">
        <v>1034</v>
      </c>
      <c r="C225" s="5" t="s">
        <v>833</v>
      </c>
      <c r="D225" s="5" t="s">
        <v>181</v>
      </c>
      <c r="E225" s="5" t="s">
        <v>880</v>
      </c>
      <c r="F225" s="5" t="s">
        <v>880</v>
      </c>
      <c r="G225" s="5" t="s">
        <v>943</v>
      </c>
    </row>
    <row r="226" customFormat="false" ht="15" hidden="false" customHeight="true" outlineLevel="0" collapsed="false">
      <c r="A226" s="5" t="n">
        <v>225</v>
      </c>
      <c r="B226" s="5" t="s">
        <v>1034</v>
      </c>
      <c r="C226" s="5" t="s">
        <v>835</v>
      </c>
      <c r="D226" s="5" t="s">
        <v>51</v>
      </c>
      <c r="E226" s="5" t="s">
        <v>880</v>
      </c>
      <c r="F226" s="5" t="s">
        <v>880</v>
      </c>
      <c r="G226" s="5" t="s">
        <v>943</v>
      </c>
    </row>
    <row r="227" customFormat="false" ht="15" hidden="false" customHeight="true" outlineLevel="0" collapsed="false">
      <c r="A227" s="5" t="n">
        <v>226</v>
      </c>
      <c r="B227" s="5" t="s">
        <v>1034</v>
      </c>
      <c r="C227" s="5" t="s">
        <v>838</v>
      </c>
      <c r="D227" s="5" t="s">
        <v>106</v>
      </c>
      <c r="E227" s="5" t="s">
        <v>960</v>
      </c>
      <c r="F227" s="5" t="s">
        <v>970</v>
      </c>
      <c r="G227" s="5" t="s">
        <v>958</v>
      </c>
    </row>
    <row r="228" customFormat="false" ht="15" hidden="false" customHeight="true" outlineLevel="0" collapsed="false">
      <c r="A228" s="5" t="n">
        <v>227</v>
      </c>
      <c r="B228" s="5" t="s">
        <v>1034</v>
      </c>
      <c r="C228" s="5" t="s">
        <v>841</v>
      </c>
      <c r="D228" s="5" t="s">
        <v>191</v>
      </c>
      <c r="E228" s="5" t="s">
        <v>910</v>
      </c>
      <c r="F228" s="5" t="s">
        <v>880</v>
      </c>
      <c r="G228" s="5" t="s">
        <v>943</v>
      </c>
    </row>
    <row r="229" customFormat="false" ht="15" hidden="false" customHeight="true" outlineLevel="0" collapsed="false">
      <c r="A229" s="5" t="n">
        <v>228</v>
      </c>
      <c r="B229" s="5" t="s">
        <v>1034</v>
      </c>
      <c r="C229" s="5" t="s">
        <v>843</v>
      </c>
      <c r="D229" s="5" t="s">
        <v>260</v>
      </c>
      <c r="E229" s="5" t="s">
        <v>880</v>
      </c>
      <c r="F229" s="5" t="s">
        <v>880</v>
      </c>
      <c r="G229" s="5" t="s">
        <v>1038</v>
      </c>
    </row>
    <row r="230" customFormat="false" ht="15" hidden="false" customHeight="true" outlineLevel="0" collapsed="false">
      <c r="A230" s="5" t="n">
        <v>229</v>
      </c>
      <c r="B230" s="5" t="s">
        <v>1034</v>
      </c>
      <c r="C230" s="5" t="s">
        <v>844</v>
      </c>
      <c r="D230" s="5" t="s">
        <v>171</v>
      </c>
      <c r="E230" s="5" t="s">
        <v>880</v>
      </c>
      <c r="F230" s="5" t="s">
        <v>880</v>
      </c>
      <c r="G230" s="5" t="s">
        <v>987</v>
      </c>
    </row>
    <row r="231" customFormat="false" ht="15" hidden="false" customHeight="true" outlineLevel="0" collapsed="false">
      <c r="A231" s="5" t="n">
        <v>230</v>
      </c>
      <c r="B231" s="5" t="s">
        <v>1034</v>
      </c>
      <c r="C231" s="5" t="s">
        <v>845</v>
      </c>
      <c r="D231" s="5" t="s">
        <v>110</v>
      </c>
      <c r="E231" s="5" t="s">
        <v>880</v>
      </c>
      <c r="F231" s="5" t="s">
        <v>880</v>
      </c>
      <c r="G231" s="5" t="s">
        <v>943</v>
      </c>
    </row>
    <row r="232" customFormat="false" ht="15" hidden="false" customHeight="true" outlineLevel="0" collapsed="false">
      <c r="A232" s="5" t="n">
        <v>231</v>
      </c>
      <c r="B232" s="5" t="s">
        <v>1034</v>
      </c>
      <c r="C232" s="5" t="s">
        <v>848</v>
      </c>
      <c r="D232" s="5" t="s">
        <v>163</v>
      </c>
      <c r="E232" s="5" t="s">
        <v>880</v>
      </c>
      <c r="F232" s="5" t="s">
        <v>970</v>
      </c>
      <c r="G232" s="5" t="s">
        <v>999</v>
      </c>
    </row>
    <row r="233" customFormat="false" ht="15" hidden="false" customHeight="true" outlineLevel="0" collapsed="false">
      <c r="A233" s="5" t="n">
        <v>232</v>
      </c>
      <c r="B233" s="5" t="s">
        <v>1034</v>
      </c>
      <c r="C233" s="5" t="s">
        <v>851</v>
      </c>
      <c r="D233" s="5" t="s">
        <v>38</v>
      </c>
      <c r="E233" s="5" t="s">
        <v>873</v>
      </c>
      <c r="F233" s="5" t="s">
        <v>880</v>
      </c>
      <c r="G233" s="5" t="s">
        <v>904</v>
      </c>
    </row>
    <row r="234" customFormat="false" ht="15" hidden="false" customHeight="true" outlineLevel="0" collapsed="false">
      <c r="A234" s="5" t="n">
        <v>233</v>
      </c>
      <c r="B234" s="5" t="s">
        <v>1034</v>
      </c>
      <c r="C234" s="5" t="s">
        <v>854</v>
      </c>
      <c r="D234" s="5" t="s">
        <v>84</v>
      </c>
      <c r="E234" s="5" t="s">
        <v>880</v>
      </c>
      <c r="F234" s="5" t="s">
        <v>880</v>
      </c>
      <c r="G234" s="5" t="s">
        <v>943</v>
      </c>
    </row>
    <row r="235" customFormat="false" ht="15" hidden="false" customHeight="true" outlineLevel="0" collapsed="false">
      <c r="A235" s="5" t="n">
        <v>234</v>
      </c>
      <c r="B235" s="5" t="s">
        <v>1034</v>
      </c>
      <c r="C235" s="5" t="s">
        <v>855</v>
      </c>
      <c r="D235" s="5" t="s">
        <v>77</v>
      </c>
      <c r="E235" s="5" t="s">
        <v>880</v>
      </c>
      <c r="F235" s="5" t="s">
        <v>880</v>
      </c>
      <c r="G235" s="5" t="s">
        <v>984</v>
      </c>
    </row>
    <row r="236" customFormat="false" ht="15" hidden="false" customHeight="true" outlineLevel="0" collapsed="false">
      <c r="A236" s="5" t="n">
        <v>235</v>
      </c>
      <c r="B236" s="5" t="s">
        <v>1034</v>
      </c>
      <c r="C236" s="5" t="s">
        <v>856</v>
      </c>
      <c r="D236" s="5" t="s">
        <v>137</v>
      </c>
      <c r="E236" s="5" t="s">
        <v>880</v>
      </c>
      <c r="F236" s="5" t="s">
        <v>880</v>
      </c>
      <c r="G236" s="5" t="s">
        <v>943</v>
      </c>
    </row>
    <row r="237" customFormat="false" ht="15" hidden="false" customHeight="true" outlineLevel="0" collapsed="false">
      <c r="A237" s="5" t="n">
        <v>236</v>
      </c>
      <c r="B237" s="5" t="s">
        <v>1034</v>
      </c>
      <c r="C237" s="5" t="s">
        <v>859</v>
      </c>
      <c r="D237" s="5" t="s">
        <v>25</v>
      </c>
      <c r="E237" s="5" t="s">
        <v>880</v>
      </c>
      <c r="F237" s="5" t="s">
        <v>970</v>
      </c>
      <c r="G237" s="5" t="s">
        <v>943</v>
      </c>
    </row>
    <row r="238" customFormat="false" ht="15" hidden="false" customHeight="true" outlineLevel="0" collapsed="false">
      <c r="A238" s="5" t="n">
        <v>237</v>
      </c>
      <c r="B238" s="5" t="s">
        <v>1034</v>
      </c>
      <c r="C238" s="5" t="s">
        <v>860</v>
      </c>
      <c r="D238" s="5" t="s">
        <v>210</v>
      </c>
      <c r="E238" s="5" t="s">
        <v>880</v>
      </c>
      <c r="F238" s="5" t="s">
        <v>880</v>
      </c>
      <c r="G238" s="5" t="s">
        <v>943</v>
      </c>
    </row>
    <row r="239" customFormat="false" ht="15" hidden="false" customHeight="true" outlineLevel="0" collapsed="false">
      <c r="A239" s="5" t="n">
        <v>238</v>
      </c>
      <c r="B239" s="5" t="s">
        <v>1034</v>
      </c>
      <c r="C239" s="5" t="s">
        <v>862</v>
      </c>
      <c r="D239" s="5" t="s">
        <v>125</v>
      </c>
      <c r="E239" s="5" t="s">
        <v>870</v>
      </c>
      <c r="F239" s="5" t="s">
        <v>880</v>
      </c>
      <c r="G239" s="5" t="s">
        <v>879</v>
      </c>
    </row>
    <row r="240" customFormat="false" ht="15" hidden="false" customHeight="true" outlineLevel="0" collapsed="false">
      <c r="A240" s="5" t="n">
        <v>239</v>
      </c>
      <c r="B240" s="5" t="s">
        <v>1034</v>
      </c>
      <c r="C240" s="5" t="s">
        <v>863</v>
      </c>
      <c r="D240" s="5" t="s">
        <v>279</v>
      </c>
      <c r="E240" s="5" t="s">
        <v>894</v>
      </c>
      <c r="F240" s="5" t="s">
        <v>880</v>
      </c>
      <c r="G240" s="5" t="s">
        <v>943</v>
      </c>
    </row>
    <row r="241" customFormat="false" ht="15" hidden="false" customHeight="true" outlineLevel="0" collapsed="false">
      <c r="A241" s="5" t="n">
        <v>240</v>
      </c>
      <c r="B241" s="5" t="s">
        <v>1034</v>
      </c>
      <c r="C241" s="5" t="s">
        <v>865</v>
      </c>
      <c r="D241" s="5" t="s">
        <v>154</v>
      </c>
      <c r="E241" s="5" t="s">
        <v>880</v>
      </c>
      <c r="F241" s="5" t="s">
        <v>970</v>
      </c>
      <c r="G241" s="5" t="s">
        <v>972</v>
      </c>
    </row>
  </sheetData>
  <autoFilter ref="A1:G2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6" min="6" style="1" width="12"/>
    <col collapsed="false" customWidth="true" hidden="false" outlineLevel="0" max="7" min="7" style="1" width="30"/>
  </cols>
  <sheetData>
    <row r="1" customFormat="false" ht="21.75" hidden="false" customHeight="true" outlineLevel="0" collapsed="false">
      <c r="A1" s="10" t="s">
        <v>1039</v>
      </c>
      <c r="B1" s="10" t="s">
        <v>866</v>
      </c>
      <c r="C1" s="10" t="s">
        <v>1040</v>
      </c>
      <c r="D1" s="10" t="s">
        <v>1041</v>
      </c>
      <c r="E1" s="10" t="s">
        <v>1042</v>
      </c>
      <c r="F1" s="10" t="s">
        <v>1043</v>
      </c>
      <c r="G1" s="10" t="s">
        <v>1044</v>
      </c>
    </row>
    <row r="2" customFormat="false" ht="15" hidden="false" customHeight="true" outlineLevel="0" collapsed="false">
      <c r="A2" s="11" t="s">
        <v>189</v>
      </c>
      <c r="B2" s="11" t="s">
        <v>1045</v>
      </c>
      <c r="C2" s="11" t="s">
        <v>1046</v>
      </c>
      <c r="D2" s="11" t="n">
        <f aca="false">COUNTIF('Recipe Usage'!$D$2:$D$1114,A2)</f>
        <v>14</v>
      </c>
      <c r="E2" s="11" t="s">
        <v>1047</v>
      </c>
      <c r="F2" s="12" t="s">
        <v>6</v>
      </c>
      <c r="G2" s="11"/>
    </row>
    <row r="3" customFormat="false" ht="15" hidden="false" customHeight="true" outlineLevel="0" collapsed="false">
      <c r="A3" s="11" t="s">
        <v>310</v>
      </c>
      <c r="B3" s="11" t="s">
        <v>1045</v>
      </c>
      <c r="C3" s="11" t="s">
        <v>1046</v>
      </c>
      <c r="D3" s="11" t="n">
        <f aca="false">COUNTIF('Recipe Usage'!$D$2:$D$1114,A3)</f>
        <v>13</v>
      </c>
      <c r="E3" s="11" t="s">
        <v>1048</v>
      </c>
      <c r="F3" s="12" t="s">
        <v>6</v>
      </c>
      <c r="G3" s="11"/>
    </row>
    <row r="4" customFormat="false" ht="15" hidden="false" customHeight="true" outlineLevel="0" collapsed="false">
      <c r="A4" s="11" t="s">
        <v>129</v>
      </c>
      <c r="B4" s="11" t="s">
        <v>1045</v>
      </c>
      <c r="C4" s="11" t="s">
        <v>1046</v>
      </c>
      <c r="D4" s="11" t="n">
        <f aca="false">COUNTIF('Recipe Usage'!$D$2:$D$1114,A4)</f>
        <v>8</v>
      </c>
      <c r="E4" s="11" t="s">
        <v>1049</v>
      </c>
      <c r="F4" s="12" t="s">
        <v>6</v>
      </c>
      <c r="G4" s="11"/>
    </row>
    <row r="5" customFormat="false" ht="15" hidden="false" customHeight="true" outlineLevel="0" collapsed="false">
      <c r="A5" s="11" t="s">
        <v>85</v>
      </c>
      <c r="B5" s="11" t="s">
        <v>1045</v>
      </c>
      <c r="C5" s="11" t="s">
        <v>1046</v>
      </c>
      <c r="D5" s="11" t="n">
        <f aca="false">COUNTIF('Recipe Usage'!$D$2:$D$1114,A5)</f>
        <v>5</v>
      </c>
      <c r="E5" s="11" t="s">
        <v>1050</v>
      </c>
      <c r="F5" s="12" t="s">
        <v>6</v>
      </c>
      <c r="G5" s="11"/>
    </row>
    <row r="6" customFormat="false" ht="15" hidden="false" customHeight="true" outlineLevel="0" collapsed="false">
      <c r="A6" s="11" t="s">
        <v>515</v>
      </c>
      <c r="B6" s="11" t="s">
        <v>1045</v>
      </c>
      <c r="C6" s="11" t="s">
        <v>1046</v>
      </c>
      <c r="D6" s="11" t="n">
        <f aca="false">COUNTIF('Recipe Usage'!$D$2:$D$1114,A6)</f>
        <v>2</v>
      </c>
      <c r="E6" s="11" t="s">
        <v>1051</v>
      </c>
      <c r="F6" s="12" t="s">
        <v>6</v>
      </c>
      <c r="G6" s="11"/>
    </row>
    <row r="7" customFormat="false" ht="15" hidden="false" customHeight="true" outlineLevel="0" collapsed="false">
      <c r="A7" s="11" t="s">
        <v>569</v>
      </c>
      <c r="B7" s="11" t="s">
        <v>1045</v>
      </c>
      <c r="C7" s="11" t="s">
        <v>1046</v>
      </c>
      <c r="D7" s="11" t="n">
        <f aca="false">COUNTIF('Recipe Usage'!$D$2:$D$1114,A7)</f>
        <v>1</v>
      </c>
      <c r="E7" s="11" t="s">
        <v>1052</v>
      </c>
      <c r="F7" s="12" t="s">
        <v>6</v>
      </c>
      <c r="G7" s="11"/>
    </row>
    <row r="8" customFormat="false" ht="15" hidden="false" customHeight="true" outlineLevel="0" collapsed="false">
      <c r="A8" s="11" t="s">
        <v>26</v>
      </c>
      <c r="B8" s="11" t="s">
        <v>1045</v>
      </c>
      <c r="C8" s="11" t="s">
        <v>1046</v>
      </c>
      <c r="D8" s="11" t="n">
        <f aca="false">COUNTIF('Recipe Usage'!$D$2:$D$1114,A8)</f>
        <v>13</v>
      </c>
      <c r="E8" s="11" t="s">
        <v>1053</v>
      </c>
      <c r="F8" s="12" t="s">
        <v>6</v>
      </c>
      <c r="G8" s="11"/>
    </row>
    <row r="9" customFormat="false" ht="15" hidden="false" customHeight="true" outlineLevel="0" collapsed="false">
      <c r="A9" s="11" t="s">
        <v>393</v>
      </c>
      <c r="B9" s="11" t="s">
        <v>1045</v>
      </c>
      <c r="C9" s="11" t="s">
        <v>1046</v>
      </c>
      <c r="D9" s="11" t="n">
        <f aca="false">COUNTIF('Recipe Usage'!$D$2:$D$1114,A9)</f>
        <v>2</v>
      </c>
      <c r="E9" s="11" t="s">
        <v>1054</v>
      </c>
      <c r="F9" s="12" t="s">
        <v>6</v>
      </c>
      <c r="G9" s="11"/>
    </row>
    <row r="10" customFormat="false" ht="15" hidden="false" customHeight="true" outlineLevel="0" collapsed="false">
      <c r="A10" s="11" t="s">
        <v>39</v>
      </c>
      <c r="B10" s="11" t="s">
        <v>1045</v>
      </c>
      <c r="C10" s="11" t="s">
        <v>1046</v>
      </c>
      <c r="D10" s="11" t="n">
        <f aca="false">COUNTIF('Recipe Usage'!$D$2:$D$1114,A10)</f>
        <v>3</v>
      </c>
      <c r="E10" s="11" t="s">
        <v>1055</v>
      </c>
      <c r="F10" s="12" t="s">
        <v>6</v>
      </c>
      <c r="G10" s="11"/>
    </row>
    <row r="11" customFormat="false" ht="15" hidden="false" customHeight="true" outlineLevel="0" collapsed="false">
      <c r="A11" s="11" t="s">
        <v>437</v>
      </c>
      <c r="B11" s="11" t="s">
        <v>1045</v>
      </c>
      <c r="C11" s="11" t="s">
        <v>1046</v>
      </c>
      <c r="D11" s="11" t="n">
        <f aca="false">COUNTIF('Recipe Usage'!$D$2:$D$1114,A11)</f>
        <v>2</v>
      </c>
      <c r="E11" s="11" t="s">
        <v>1056</v>
      </c>
      <c r="F11" s="12" t="s">
        <v>6</v>
      </c>
      <c r="G11" s="11"/>
    </row>
    <row r="12" customFormat="false" ht="15" hidden="false" customHeight="true" outlineLevel="0" collapsed="false">
      <c r="A12" s="11" t="s">
        <v>548</v>
      </c>
      <c r="B12" s="11" t="s">
        <v>1045</v>
      </c>
      <c r="C12" s="11" t="s">
        <v>1046</v>
      </c>
      <c r="D12" s="11" t="n">
        <f aca="false">COUNTIF('Recipe Usage'!$D$2:$D$1114,A12)</f>
        <v>2</v>
      </c>
      <c r="E12" s="11" t="s">
        <v>1057</v>
      </c>
      <c r="F12" s="12" t="s">
        <v>6</v>
      </c>
      <c r="G12" s="11"/>
    </row>
    <row r="13" customFormat="false" ht="15" hidden="false" customHeight="true" outlineLevel="0" collapsed="false">
      <c r="A13" s="11" t="s">
        <v>65</v>
      </c>
      <c r="B13" s="11" t="s">
        <v>1058</v>
      </c>
      <c r="C13" s="11" t="s">
        <v>1059</v>
      </c>
      <c r="D13" s="11" t="n">
        <f aca="false">COUNTIF('Recipe Usage'!$D$2:$D$1114,A13)</f>
        <v>2</v>
      </c>
      <c r="E13" s="11" t="s">
        <v>1060</v>
      </c>
      <c r="F13" s="12" t="s">
        <v>6</v>
      </c>
      <c r="G13" s="11"/>
    </row>
    <row r="14" customFormat="false" ht="15" hidden="false" customHeight="true" outlineLevel="0" collapsed="false">
      <c r="A14" s="11" t="s">
        <v>423</v>
      </c>
      <c r="B14" s="11" t="s">
        <v>1058</v>
      </c>
      <c r="C14" s="11" t="s">
        <v>1059</v>
      </c>
      <c r="D14" s="11" t="n">
        <f aca="false">COUNTIF('Recipe Usage'!$D$2:$D$1114,A14)</f>
        <v>4</v>
      </c>
      <c r="E14" s="11" t="s">
        <v>1061</v>
      </c>
      <c r="F14" s="12" t="s">
        <v>6</v>
      </c>
      <c r="G14" s="11"/>
    </row>
    <row r="15" customFormat="false" ht="15" hidden="false" customHeight="true" outlineLevel="0" collapsed="false">
      <c r="A15" s="11" t="s">
        <v>320</v>
      </c>
      <c r="B15" s="11" t="s">
        <v>1058</v>
      </c>
      <c r="C15" s="11" t="s">
        <v>1059</v>
      </c>
      <c r="D15" s="11" t="n">
        <f aca="false">COUNTIF('Recipe Usage'!$D$2:$D$1114,A15)</f>
        <v>3</v>
      </c>
      <c r="E15" s="11" t="s">
        <v>1062</v>
      </c>
      <c r="F15" s="12" t="s">
        <v>6</v>
      </c>
      <c r="G15" s="11"/>
    </row>
    <row r="16" customFormat="false" ht="15" hidden="false" customHeight="true" outlineLevel="0" collapsed="false">
      <c r="A16" s="11" t="s">
        <v>383</v>
      </c>
      <c r="B16" s="11" t="s">
        <v>1058</v>
      </c>
      <c r="C16" s="11" t="s">
        <v>1059</v>
      </c>
      <c r="D16" s="11" t="n">
        <f aca="false">COUNTIF('Recipe Usage'!$D$2:$D$1114,A16)</f>
        <v>2</v>
      </c>
      <c r="E16" s="11" t="s">
        <v>1063</v>
      </c>
      <c r="F16" s="12" t="s">
        <v>6</v>
      </c>
      <c r="G16" s="11"/>
    </row>
    <row r="17" customFormat="false" ht="15" hidden="false" customHeight="true" outlineLevel="0" collapsed="false">
      <c r="A17" s="11" t="s">
        <v>126</v>
      </c>
      <c r="B17" s="11" t="s">
        <v>1058</v>
      </c>
      <c r="C17" s="11" t="s">
        <v>1059</v>
      </c>
      <c r="D17" s="11" t="n">
        <f aca="false">COUNTIF('Recipe Usage'!$D$2:$D$1114,A17)</f>
        <v>8</v>
      </c>
      <c r="E17" s="11" t="s">
        <v>1064</v>
      </c>
      <c r="F17" s="12" t="s">
        <v>6</v>
      </c>
      <c r="G17" s="11"/>
    </row>
    <row r="18" customFormat="false" ht="15" hidden="false" customHeight="true" outlineLevel="0" collapsed="false">
      <c r="A18" s="11" t="s">
        <v>127</v>
      </c>
      <c r="B18" s="11" t="s">
        <v>1058</v>
      </c>
      <c r="C18" s="11" t="s">
        <v>1059</v>
      </c>
      <c r="D18" s="11" t="n">
        <f aca="false">COUNTIF('Recipe Usage'!$D$2:$D$1114,A18)</f>
        <v>2</v>
      </c>
      <c r="E18" s="11" t="s">
        <v>1065</v>
      </c>
      <c r="F18" s="12" t="s">
        <v>6</v>
      </c>
      <c r="G18" s="11"/>
    </row>
    <row r="19" customFormat="false" ht="15" hidden="false" customHeight="true" outlineLevel="0" collapsed="false">
      <c r="A19" s="11" t="s">
        <v>137</v>
      </c>
      <c r="B19" s="11" t="s">
        <v>1058</v>
      </c>
      <c r="C19" s="11" t="s">
        <v>1059</v>
      </c>
      <c r="D19" s="11" t="n">
        <f aca="false">COUNTIF('Recipe Usage'!$D$2:$D$1114,A19)</f>
        <v>15</v>
      </c>
      <c r="E19" s="11" t="s">
        <v>1066</v>
      </c>
      <c r="F19" s="12" t="s">
        <v>6</v>
      </c>
      <c r="G19" s="11"/>
    </row>
    <row r="20" customFormat="false" ht="15" hidden="false" customHeight="true" outlineLevel="0" collapsed="false">
      <c r="A20" s="11" t="s">
        <v>501</v>
      </c>
      <c r="B20" s="11" t="s">
        <v>1067</v>
      </c>
      <c r="C20" s="11" t="s">
        <v>1068</v>
      </c>
      <c r="D20" s="11" t="n">
        <f aca="false">COUNTIF('Recipe Usage'!$D$2:$D$1114,A20)</f>
        <v>3</v>
      </c>
      <c r="E20" s="11" t="s">
        <v>1069</v>
      </c>
      <c r="F20" s="12" t="s">
        <v>6</v>
      </c>
      <c r="G20" s="11"/>
    </row>
    <row r="21" customFormat="false" ht="15" hidden="false" customHeight="true" outlineLevel="0" collapsed="false">
      <c r="A21" s="11" t="s">
        <v>323</v>
      </c>
      <c r="B21" s="11" t="s">
        <v>1067</v>
      </c>
      <c r="C21" s="11" t="s">
        <v>1068</v>
      </c>
      <c r="D21" s="11" t="n">
        <f aca="false">COUNTIF('Recipe Usage'!$D$2:$D$1114,A21)</f>
        <v>5</v>
      </c>
      <c r="E21" s="11" t="s">
        <v>1070</v>
      </c>
      <c r="F21" s="12" t="s">
        <v>6</v>
      </c>
      <c r="G21" s="11"/>
    </row>
    <row r="22" customFormat="false" ht="15" hidden="false" customHeight="true" outlineLevel="0" collapsed="false">
      <c r="A22" s="11" t="s">
        <v>195</v>
      </c>
      <c r="B22" s="11" t="s">
        <v>1067</v>
      </c>
      <c r="C22" s="11" t="s">
        <v>1068</v>
      </c>
      <c r="D22" s="11" t="n">
        <f aca="false">COUNTIF('Recipe Usage'!$D$2:$D$1114,A22)</f>
        <v>10</v>
      </c>
      <c r="E22" s="11" t="s">
        <v>1071</v>
      </c>
      <c r="F22" s="12" t="s">
        <v>6</v>
      </c>
      <c r="G22" s="11"/>
    </row>
    <row r="23" customFormat="false" ht="15" hidden="false" customHeight="true" outlineLevel="0" collapsed="false">
      <c r="A23" s="11" t="s">
        <v>130</v>
      </c>
      <c r="B23" s="11" t="s">
        <v>1067</v>
      </c>
      <c r="C23" s="11" t="s">
        <v>1068</v>
      </c>
      <c r="D23" s="11" t="n">
        <f aca="false">COUNTIF('Recipe Usage'!$D$2:$D$1114,A23)</f>
        <v>6</v>
      </c>
      <c r="E23" s="11" t="s">
        <v>1072</v>
      </c>
      <c r="F23" s="12" t="s">
        <v>6</v>
      </c>
      <c r="G23" s="11"/>
    </row>
    <row r="24" customFormat="false" ht="15" hidden="false" customHeight="true" outlineLevel="0" collapsed="false">
      <c r="A24" s="11" t="s">
        <v>251</v>
      </c>
      <c r="B24" s="11" t="s">
        <v>1067</v>
      </c>
      <c r="C24" s="11" t="s">
        <v>1068</v>
      </c>
      <c r="D24" s="11" t="n">
        <f aca="false">COUNTIF('Recipe Usage'!$D$2:$D$1114,A24)</f>
        <v>19</v>
      </c>
      <c r="E24" s="11" t="s">
        <v>1073</v>
      </c>
      <c r="F24" s="12" t="s">
        <v>6</v>
      </c>
      <c r="G24" s="11"/>
    </row>
    <row r="25" customFormat="false" ht="15" hidden="false" customHeight="true" outlineLevel="0" collapsed="false">
      <c r="A25" s="11" t="s">
        <v>313</v>
      </c>
      <c r="B25" s="11" t="s">
        <v>1067</v>
      </c>
      <c r="C25" s="11" t="s">
        <v>1068</v>
      </c>
      <c r="D25" s="11" t="n">
        <f aca="false">COUNTIF('Recipe Usage'!$D$2:$D$1114,A25)</f>
        <v>2</v>
      </c>
      <c r="E25" s="11" t="s">
        <v>1074</v>
      </c>
      <c r="F25" s="12" t="s">
        <v>6</v>
      </c>
      <c r="G25" s="11"/>
    </row>
    <row r="26" customFormat="false" ht="15" hidden="false" customHeight="true" outlineLevel="0" collapsed="false">
      <c r="A26" s="11" t="s">
        <v>228</v>
      </c>
      <c r="B26" s="11" t="s">
        <v>1067</v>
      </c>
      <c r="C26" s="11" t="s">
        <v>1068</v>
      </c>
      <c r="D26" s="11" t="n">
        <f aca="false">COUNTIF('Recipe Usage'!$D$2:$D$1114,A26)</f>
        <v>1</v>
      </c>
      <c r="E26" s="11" t="s">
        <v>1075</v>
      </c>
      <c r="F26" s="12" t="s">
        <v>6</v>
      </c>
      <c r="G26" s="11"/>
    </row>
    <row r="27" customFormat="false" ht="15" hidden="false" customHeight="true" outlineLevel="0" collapsed="false">
      <c r="A27" s="11" t="s">
        <v>282</v>
      </c>
      <c r="B27" s="11" t="s">
        <v>1067</v>
      </c>
      <c r="C27" s="11" t="s">
        <v>1068</v>
      </c>
      <c r="D27" s="11" t="n">
        <f aca="false">COUNTIF('Recipe Usage'!$D$2:$D$1114,A27)</f>
        <v>3</v>
      </c>
      <c r="E27" s="11" t="s">
        <v>1076</v>
      </c>
      <c r="F27" s="12" t="s">
        <v>6</v>
      </c>
      <c r="G27" s="11"/>
    </row>
    <row r="28" customFormat="false" ht="15" hidden="false" customHeight="true" outlineLevel="0" collapsed="false">
      <c r="A28" s="11" t="s">
        <v>481</v>
      </c>
      <c r="B28" s="11" t="s">
        <v>1067</v>
      </c>
      <c r="C28" s="11" t="s">
        <v>1068</v>
      </c>
      <c r="D28" s="11" t="n">
        <f aca="false">COUNTIF('Recipe Usage'!$D$2:$D$1114,A28)</f>
        <v>4</v>
      </c>
      <c r="E28" s="11" t="s">
        <v>1077</v>
      </c>
      <c r="F28" s="12" t="s">
        <v>6</v>
      </c>
      <c r="G28" s="11"/>
    </row>
    <row r="29" customFormat="false" ht="15" hidden="false" customHeight="true" outlineLevel="0" collapsed="false">
      <c r="A29" s="11" t="s">
        <v>478</v>
      </c>
      <c r="B29" s="11" t="s">
        <v>1067</v>
      </c>
      <c r="C29" s="11" t="s">
        <v>1068</v>
      </c>
      <c r="D29" s="11" t="n">
        <f aca="false">COUNTIF('Recipe Usage'!$D$2:$D$1114,A29)</f>
        <v>4</v>
      </c>
      <c r="E29" s="11" t="s">
        <v>1078</v>
      </c>
      <c r="F29" s="12" t="s">
        <v>6</v>
      </c>
      <c r="G29" s="11"/>
    </row>
    <row r="30" customFormat="false" ht="15" hidden="false" customHeight="true" outlineLevel="0" collapsed="false">
      <c r="A30" s="11" t="s">
        <v>601</v>
      </c>
      <c r="B30" s="11" t="s">
        <v>1067</v>
      </c>
      <c r="C30" s="11" t="s">
        <v>1068</v>
      </c>
      <c r="D30" s="11" t="n">
        <f aca="false">COUNTIF('Recipe Usage'!$D$2:$D$1114,A30)</f>
        <v>3</v>
      </c>
      <c r="E30" s="11" t="s">
        <v>1079</v>
      </c>
      <c r="F30" s="12" t="s">
        <v>6</v>
      </c>
      <c r="G30" s="11"/>
    </row>
    <row r="31" customFormat="false" ht="15" hidden="false" customHeight="true" outlineLevel="0" collapsed="false">
      <c r="A31" s="11" t="s">
        <v>400</v>
      </c>
      <c r="B31" s="11" t="s">
        <v>1067</v>
      </c>
      <c r="C31" s="11" t="s">
        <v>1068</v>
      </c>
      <c r="D31" s="11" t="n">
        <f aca="false">COUNTIF('Recipe Usage'!$D$2:$D$1114,A31)</f>
        <v>3</v>
      </c>
      <c r="E31" s="11" t="s">
        <v>1080</v>
      </c>
      <c r="F31" s="12" t="s">
        <v>6</v>
      </c>
      <c r="G31" s="11"/>
    </row>
    <row r="32" customFormat="false" ht="15" hidden="false" customHeight="true" outlineLevel="0" collapsed="false">
      <c r="A32" s="11" t="s">
        <v>597</v>
      </c>
      <c r="B32" s="11" t="s">
        <v>1067</v>
      </c>
      <c r="C32" s="11" t="s">
        <v>1068</v>
      </c>
      <c r="D32" s="11" t="n">
        <f aca="false">COUNTIF('Recipe Usage'!$D$2:$D$1114,A32)</f>
        <v>3</v>
      </c>
      <c r="E32" s="11" t="s">
        <v>1081</v>
      </c>
      <c r="F32" s="12" t="s">
        <v>6</v>
      </c>
      <c r="G32" s="11"/>
    </row>
    <row r="33" customFormat="false" ht="15" hidden="false" customHeight="true" outlineLevel="0" collapsed="false">
      <c r="A33" s="11" t="s">
        <v>357</v>
      </c>
      <c r="B33" s="11" t="s">
        <v>1067</v>
      </c>
      <c r="C33" s="11" t="s">
        <v>1068</v>
      </c>
      <c r="D33" s="11" t="n">
        <f aca="false">COUNTIF('Recipe Usage'!$D$2:$D$1114,A33)</f>
        <v>4</v>
      </c>
      <c r="E33" s="11" t="s">
        <v>1082</v>
      </c>
      <c r="F33" s="12" t="s">
        <v>6</v>
      </c>
      <c r="G33" s="11"/>
    </row>
    <row r="34" customFormat="false" ht="15" hidden="false" customHeight="true" outlineLevel="0" collapsed="false">
      <c r="A34" s="11" t="s">
        <v>311</v>
      </c>
      <c r="B34" s="11" t="s">
        <v>1067</v>
      </c>
      <c r="C34" s="11" t="s">
        <v>1068</v>
      </c>
      <c r="D34" s="11" t="n">
        <f aca="false">COUNTIF('Recipe Usage'!$D$2:$D$1114,A34)</f>
        <v>4</v>
      </c>
      <c r="E34" s="11" t="s">
        <v>1083</v>
      </c>
      <c r="F34" s="12" t="s">
        <v>6</v>
      </c>
      <c r="G34" s="11"/>
    </row>
    <row r="35" customFormat="false" ht="15" hidden="false" customHeight="true" outlineLevel="0" collapsed="false">
      <c r="A35" s="11" t="s">
        <v>241</v>
      </c>
      <c r="B35" s="11" t="s">
        <v>1067</v>
      </c>
      <c r="C35" s="11" t="s">
        <v>1068</v>
      </c>
      <c r="D35" s="11" t="n">
        <f aca="false">COUNTIF('Recipe Usage'!$D$2:$D$1114,A35)</f>
        <v>5</v>
      </c>
      <c r="E35" s="11" t="s">
        <v>1084</v>
      </c>
      <c r="F35" s="12" t="s">
        <v>6</v>
      </c>
      <c r="G35" s="11"/>
    </row>
    <row r="36" customFormat="false" ht="15" hidden="false" customHeight="true" outlineLevel="0" collapsed="false">
      <c r="A36" s="11" t="s">
        <v>72</v>
      </c>
      <c r="B36" s="11" t="s">
        <v>1067</v>
      </c>
      <c r="C36" s="11" t="s">
        <v>1068</v>
      </c>
      <c r="D36" s="11" t="n">
        <f aca="false">COUNTIF('Recipe Usage'!$D$2:$D$1114,A36)</f>
        <v>4</v>
      </c>
      <c r="E36" s="11" t="s">
        <v>1085</v>
      </c>
      <c r="F36" s="12" t="s">
        <v>6</v>
      </c>
      <c r="G36" s="11"/>
    </row>
    <row r="37" customFormat="false" ht="15" hidden="false" customHeight="true" outlineLevel="0" collapsed="false">
      <c r="A37" s="11" t="s">
        <v>307</v>
      </c>
      <c r="B37" s="11" t="s">
        <v>1067</v>
      </c>
      <c r="C37" s="11" t="s">
        <v>1068</v>
      </c>
      <c r="D37" s="11" t="n">
        <f aca="false">COUNTIF('Recipe Usage'!$D$2:$D$1114,A37)</f>
        <v>3</v>
      </c>
      <c r="E37" s="11" t="s">
        <v>1086</v>
      </c>
      <c r="F37" s="12" t="s">
        <v>6</v>
      </c>
      <c r="G37" s="11"/>
    </row>
    <row r="38" customFormat="false" ht="15" hidden="false" customHeight="true" outlineLevel="0" collapsed="false">
      <c r="A38" s="11" t="s">
        <v>79</v>
      </c>
      <c r="B38" s="11" t="s">
        <v>1067</v>
      </c>
      <c r="C38" s="11" t="s">
        <v>1068</v>
      </c>
      <c r="D38" s="11" t="n">
        <f aca="false">COUNTIF('Recipe Usage'!$D$2:$D$1114,A38)</f>
        <v>9</v>
      </c>
      <c r="E38" s="11" t="s">
        <v>1087</v>
      </c>
      <c r="F38" s="12" t="s">
        <v>6</v>
      </c>
      <c r="G38" s="11"/>
    </row>
    <row r="39" customFormat="false" ht="15" hidden="false" customHeight="true" outlineLevel="0" collapsed="false">
      <c r="A39" s="11" t="s">
        <v>44</v>
      </c>
      <c r="B39" s="11" t="s">
        <v>1067</v>
      </c>
      <c r="C39" s="11" t="s">
        <v>1068</v>
      </c>
      <c r="D39" s="11" t="n">
        <f aca="false">COUNTIF('Recipe Usage'!$D$2:$D$1114,A39)</f>
        <v>24</v>
      </c>
      <c r="E39" s="11" t="s">
        <v>1088</v>
      </c>
      <c r="F39" s="12" t="s">
        <v>6</v>
      </c>
      <c r="G39" s="11"/>
    </row>
    <row r="40" customFormat="false" ht="15" hidden="false" customHeight="true" outlineLevel="0" collapsed="false">
      <c r="A40" s="11" t="s">
        <v>469</v>
      </c>
      <c r="B40" s="11" t="s">
        <v>1067</v>
      </c>
      <c r="C40" s="11" t="s">
        <v>1068</v>
      </c>
      <c r="D40" s="11" t="n">
        <f aca="false">COUNTIF('Recipe Usage'!$D$2:$D$1114,A40)</f>
        <v>7</v>
      </c>
      <c r="E40" s="11" t="s">
        <v>1089</v>
      </c>
      <c r="F40" s="12" t="s">
        <v>6</v>
      </c>
      <c r="G40" s="11"/>
    </row>
    <row r="41" customFormat="false" ht="15" hidden="false" customHeight="true" outlineLevel="0" collapsed="false">
      <c r="A41" s="11" t="s">
        <v>542</v>
      </c>
      <c r="B41" s="11" t="s">
        <v>1067</v>
      </c>
      <c r="C41" s="11" t="s">
        <v>1068</v>
      </c>
      <c r="D41" s="11" t="n">
        <f aca="false">COUNTIF('Recipe Usage'!$D$2:$D$1114,A41)</f>
        <v>2</v>
      </c>
      <c r="E41" s="11" t="s">
        <v>1090</v>
      </c>
      <c r="F41" s="12" t="s">
        <v>6</v>
      </c>
      <c r="G41" s="11"/>
    </row>
    <row r="42" customFormat="false" ht="15" hidden="false" customHeight="true" outlineLevel="0" collapsed="false">
      <c r="A42" s="11" t="s">
        <v>420</v>
      </c>
      <c r="B42" s="11" t="s">
        <v>1067</v>
      </c>
      <c r="C42" s="11" t="s">
        <v>1068</v>
      </c>
      <c r="D42" s="11" t="n">
        <f aca="false">COUNTIF('Recipe Usage'!$D$2:$D$1114,A42)</f>
        <v>3</v>
      </c>
      <c r="E42" s="11" t="s">
        <v>1091</v>
      </c>
      <c r="F42" s="12" t="s">
        <v>6</v>
      </c>
      <c r="G42" s="11"/>
    </row>
    <row r="43" customFormat="false" ht="15" hidden="false" customHeight="true" outlineLevel="0" collapsed="false">
      <c r="A43" s="11" t="s">
        <v>444</v>
      </c>
      <c r="B43" s="11" t="s">
        <v>1067</v>
      </c>
      <c r="C43" s="11" t="s">
        <v>1068</v>
      </c>
      <c r="D43" s="11" t="n">
        <f aca="false">COUNTIF('Recipe Usage'!$D$2:$D$1114,A43)</f>
        <v>3</v>
      </c>
      <c r="E43" s="11" t="s">
        <v>1092</v>
      </c>
      <c r="F43" s="12" t="s">
        <v>6</v>
      </c>
      <c r="G43" s="11"/>
    </row>
    <row r="44" customFormat="false" ht="15" hidden="false" customHeight="true" outlineLevel="0" collapsed="false">
      <c r="A44" s="11" t="s">
        <v>625</v>
      </c>
      <c r="B44" s="11" t="s">
        <v>1067</v>
      </c>
      <c r="C44" s="11" t="s">
        <v>1068</v>
      </c>
      <c r="D44" s="11" t="n">
        <f aca="false">COUNTIF('Recipe Usage'!$D$2:$D$1114,A44)</f>
        <v>3</v>
      </c>
      <c r="E44" s="11" t="s">
        <v>1093</v>
      </c>
      <c r="F44" s="12" t="s">
        <v>6</v>
      </c>
      <c r="G44" s="11"/>
    </row>
    <row r="45" customFormat="false" ht="15" hidden="false" customHeight="true" outlineLevel="0" collapsed="false">
      <c r="A45" s="11" t="s">
        <v>719</v>
      </c>
      <c r="B45" s="11" t="s">
        <v>1067</v>
      </c>
      <c r="C45" s="11" t="s">
        <v>1068</v>
      </c>
      <c r="D45" s="11" t="n">
        <f aca="false">COUNTIF('Recipe Usage'!$D$2:$D$1114,A45)</f>
        <v>7</v>
      </c>
      <c r="E45" s="11" t="s">
        <v>1094</v>
      </c>
      <c r="F45" s="12" t="s">
        <v>6</v>
      </c>
      <c r="G45" s="11"/>
    </row>
    <row r="46" customFormat="false" ht="15" hidden="false" customHeight="true" outlineLevel="0" collapsed="false">
      <c r="A46" s="11" t="s">
        <v>230</v>
      </c>
      <c r="B46" s="11" t="s">
        <v>1067</v>
      </c>
      <c r="C46" s="11" t="s">
        <v>1068</v>
      </c>
      <c r="D46" s="11" t="n">
        <f aca="false">COUNTIF('Recipe Usage'!$D$2:$D$1114,A46)</f>
        <v>9</v>
      </c>
      <c r="E46" s="11" t="s">
        <v>1095</v>
      </c>
      <c r="F46" s="12" t="s">
        <v>6</v>
      </c>
      <c r="G46" s="11"/>
    </row>
    <row r="47" customFormat="false" ht="15" hidden="false" customHeight="true" outlineLevel="0" collapsed="false">
      <c r="A47" s="11" t="s">
        <v>792</v>
      </c>
      <c r="B47" s="11" t="s">
        <v>1067</v>
      </c>
      <c r="C47" s="11" t="s">
        <v>1068</v>
      </c>
      <c r="D47" s="11" t="n">
        <f aca="false">COUNTIF('Recipe Usage'!$D$2:$D$1114,A47)</f>
        <v>1</v>
      </c>
      <c r="E47" s="11" t="s">
        <v>1096</v>
      </c>
      <c r="F47" s="12" t="s">
        <v>6</v>
      </c>
      <c r="G47" s="11"/>
    </row>
    <row r="48" customFormat="false" ht="15" hidden="false" customHeight="true" outlineLevel="0" collapsed="false">
      <c r="A48" s="11" t="s">
        <v>386</v>
      </c>
      <c r="B48" s="11" t="s">
        <v>1067</v>
      </c>
      <c r="C48" s="11" t="s">
        <v>1068</v>
      </c>
      <c r="D48" s="11" t="n">
        <f aca="false">COUNTIF('Recipe Usage'!$D$2:$D$1114,A48)</f>
        <v>3</v>
      </c>
      <c r="E48" s="11" t="s">
        <v>1097</v>
      </c>
      <c r="F48" s="12" t="s">
        <v>6</v>
      </c>
      <c r="G48" s="11"/>
    </row>
    <row r="49" customFormat="false" ht="15" hidden="false" customHeight="true" outlineLevel="0" collapsed="false">
      <c r="A49" s="11" t="s">
        <v>457</v>
      </c>
      <c r="B49" s="11" t="s">
        <v>1067</v>
      </c>
      <c r="C49" s="11" t="s">
        <v>1068</v>
      </c>
      <c r="D49" s="11" t="n">
        <f aca="false">COUNTIF('Recipe Usage'!$D$2:$D$1114,A49)</f>
        <v>2</v>
      </c>
      <c r="E49" s="11" t="s">
        <v>1098</v>
      </c>
      <c r="F49" s="12" t="s">
        <v>6</v>
      </c>
      <c r="G49" s="11"/>
    </row>
    <row r="50" customFormat="false" ht="15" hidden="false" customHeight="true" outlineLevel="0" collapsed="false">
      <c r="A50" s="11" t="s">
        <v>100</v>
      </c>
      <c r="B50" s="11" t="s">
        <v>1067</v>
      </c>
      <c r="C50" s="11" t="s">
        <v>1068</v>
      </c>
      <c r="D50" s="11" t="n">
        <f aca="false">COUNTIF('Recipe Usage'!$D$2:$D$1114,A50)</f>
        <v>3</v>
      </c>
      <c r="E50" s="11" t="s">
        <v>1099</v>
      </c>
      <c r="F50" s="12" t="s">
        <v>6</v>
      </c>
      <c r="G50" s="11"/>
    </row>
    <row r="51" customFormat="false" ht="15" hidden="false" customHeight="true" outlineLevel="0" collapsed="false">
      <c r="A51" s="11" t="s">
        <v>468</v>
      </c>
      <c r="B51" s="11" t="s">
        <v>1067</v>
      </c>
      <c r="C51" s="11" t="s">
        <v>1068</v>
      </c>
      <c r="D51" s="11" t="n">
        <f aca="false">COUNTIF('Recipe Usage'!$D$2:$D$1114,A51)</f>
        <v>7</v>
      </c>
      <c r="E51" s="11" t="s">
        <v>1100</v>
      </c>
      <c r="F51" s="12" t="s">
        <v>6</v>
      </c>
      <c r="G51" s="11"/>
    </row>
    <row r="52" customFormat="false" ht="15" hidden="false" customHeight="true" outlineLevel="0" collapsed="false">
      <c r="A52" s="11" t="s">
        <v>465</v>
      </c>
      <c r="B52" s="11" t="s">
        <v>1067</v>
      </c>
      <c r="C52" s="11" t="s">
        <v>1068</v>
      </c>
      <c r="D52" s="11" t="n">
        <f aca="false">COUNTIF('Recipe Usage'!$D$2:$D$1114,A52)</f>
        <v>10</v>
      </c>
      <c r="E52" s="11" t="s">
        <v>1101</v>
      </c>
      <c r="F52" s="12" t="s">
        <v>6</v>
      </c>
      <c r="G52" s="11"/>
    </row>
    <row r="53" customFormat="false" ht="15" hidden="false" customHeight="true" outlineLevel="0" collapsed="false">
      <c r="A53" s="11" t="s">
        <v>27</v>
      </c>
      <c r="B53" s="11" t="s">
        <v>1067</v>
      </c>
      <c r="C53" s="11" t="s">
        <v>1068</v>
      </c>
      <c r="D53" s="11" t="n">
        <f aca="false">COUNTIF('Recipe Usage'!$D$2:$D$1114,A53)</f>
        <v>17</v>
      </c>
      <c r="E53" s="11" t="s">
        <v>1102</v>
      </c>
      <c r="F53" s="12" t="s">
        <v>6</v>
      </c>
      <c r="G53" s="11"/>
    </row>
    <row r="54" customFormat="false" ht="15" hidden="false" customHeight="true" outlineLevel="0" collapsed="false">
      <c r="A54" s="11" t="s">
        <v>168</v>
      </c>
      <c r="B54" s="11" t="s">
        <v>1067</v>
      </c>
      <c r="C54" s="11" t="s">
        <v>1068</v>
      </c>
      <c r="D54" s="11" t="n">
        <f aca="false">COUNTIF('Recipe Usage'!$D$2:$D$1114,A54)</f>
        <v>4</v>
      </c>
      <c r="E54" s="11" t="s">
        <v>1103</v>
      </c>
      <c r="F54" s="12" t="s">
        <v>6</v>
      </c>
      <c r="G54" s="11"/>
    </row>
    <row r="55" customFormat="false" ht="15" hidden="false" customHeight="true" outlineLevel="0" collapsed="false">
      <c r="A55" s="11" t="s">
        <v>114</v>
      </c>
      <c r="B55" s="11" t="s">
        <v>1067</v>
      </c>
      <c r="C55" s="11" t="s">
        <v>1068</v>
      </c>
      <c r="D55" s="11" t="n">
        <f aca="false">COUNTIF('Recipe Usage'!$D$2:$D$1114,A55)</f>
        <v>2</v>
      </c>
      <c r="E55" s="11" t="s">
        <v>1104</v>
      </c>
      <c r="F55" s="12" t="s">
        <v>6</v>
      </c>
      <c r="G55" s="11"/>
    </row>
    <row r="56" customFormat="false" ht="15" hidden="false" customHeight="true" outlineLevel="0" collapsed="false">
      <c r="A56" s="11" t="s">
        <v>185</v>
      </c>
      <c r="B56" s="11" t="s">
        <v>1067</v>
      </c>
      <c r="C56" s="11" t="s">
        <v>1068</v>
      </c>
      <c r="D56" s="11" t="n">
        <f aca="false">COUNTIF('Recipe Usage'!$D$2:$D$1114,A56)</f>
        <v>12</v>
      </c>
      <c r="E56" s="11" t="s">
        <v>1105</v>
      </c>
      <c r="F56" s="12" t="s">
        <v>6</v>
      </c>
      <c r="G56" s="11"/>
    </row>
    <row r="57" customFormat="false" ht="15" hidden="false" customHeight="true" outlineLevel="0" collapsed="false">
      <c r="A57" s="11" t="s">
        <v>221</v>
      </c>
      <c r="B57" s="11" t="s">
        <v>1067</v>
      </c>
      <c r="C57" s="11" t="s">
        <v>1068</v>
      </c>
      <c r="D57" s="11" t="n">
        <f aca="false">COUNTIF('Recipe Usage'!$D$2:$D$1114,A57)</f>
        <v>3</v>
      </c>
      <c r="E57" s="11" t="s">
        <v>1106</v>
      </c>
      <c r="F57" s="12" t="s">
        <v>6</v>
      </c>
      <c r="G57" s="11"/>
    </row>
    <row r="58" customFormat="false" ht="15" hidden="false" customHeight="true" outlineLevel="0" collapsed="false">
      <c r="A58" s="11" t="s">
        <v>545</v>
      </c>
      <c r="B58" s="11" t="s">
        <v>1067</v>
      </c>
      <c r="C58" s="11" t="s">
        <v>1068</v>
      </c>
      <c r="D58" s="11" t="n">
        <f aca="false">COUNTIF('Recipe Usage'!$D$2:$D$1114,A58)</f>
        <v>3</v>
      </c>
      <c r="E58" s="11" t="s">
        <v>1107</v>
      </c>
      <c r="F58" s="12" t="s">
        <v>6</v>
      </c>
      <c r="G58" s="11"/>
    </row>
    <row r="59" customFormat="false" ht="15" hidden="false" customHeight="true" outlineLevel="0" collapsed="false">
      <c r="A59" s="11" t="s">
        <v>460</v>
      </c>
      <c r="B59" s="11" t="s">
        <v>1067</v>
      </c>
      <c r="C59" s="11" t="s">
        <v>1068</v>
      </c>
      <c r="D59" s="11" t="n">
        <f aca="false">COUNTIF('Recipe Usage'!$D$2:$D$1114,A59)</f>
        <v>6</v>
      </c>
      <c r="E59" s="11" t="s">
        <v>1108</v>
      </c>
      <c r="F59" s="12" t="s">
        <v>6</v>
      </c>
      <c r="G59" s="11"/>
    </row>
    <row r="60" customFormat="false" ht="15" hidden="false" customHeight="true" outlineLevel="0" collapsed="false">
      <c r="A60" s="11" t="s">
        <v>483</v>
      </c>
      <c r="B60" s="11" t="s">
        <v>1067</v>
      </c>
      <c r="C60" s="11" t="s">
        <v>1068</v>
      </c>
      <c r="D60" s="11" t="n">
        <f aca="false">COUNTIF('Recipe Usage'!$D$2:$D$1114,A60)</f>
        <v>3</v>
      </c>
      <c r="E60" s="11" t="s">
        <v>1109</v>
      </c>
      <c r="F60" s="12" t="s">
        <v>6</v>
      </c>
      <c r="G60" s="11"/>
    </row>
    <row r="61" customFormat="false" ht="15" hidden="false" customHeight="true" outlineLevel="0" collapsed="false">
      <c r="A61" s="11" t="s">
        <v>353</v>
      </c>
      <c r="B61" s="11" t="s">
        <v>1067</v>
      </c>
      <c r="C61" s="11" t="s">
        <v>1068</v>
      </c>
      <c r="D61" s="11" t="n">
        <f aca="false">COUNTIF('Recipe Usage'!$D$2:$D$1114,A61)</f>
        <v>2</v>
      </c>
      <c r="E61" s="11" t="s">
        <v>1110</v>
      </c>
      <c r="F61" s="12" t="s">
        <v>6</v>
      </c>
      <c r="G61" s="11"/>
    </row>
    <row r="62" customFormat="false" ht="15" hidden="false" customHeight="true" outlineLevel="0" collapsed="false">
      <c r="A62" s="11" t="s">
        <v>605</v>
      </c>
      <c r="B62" s="11" t="s">
        <v>1067</v>
      </c>
      <c r="C62" s="11" t="s">
        <v>1068</v>
      </c>
      <c r="D62" s="11" t="n">
        <f aca="false">COUNTIF('Recipe Usage'!$D$2:$D$1114,A62)</f>
        <v>2</v>
      </c>
      <c r="E62" s="11" t="s">
        <v>1111</v>
      </c>
      <c r="F62" s="12" t="s">
        <v>6</v>
      </c>
      <c r="G62" s="11"/>
    </row>
    <row r="63" customFormat="false" ht="15" hidden="false" customHeight="true" outlineLevel="0" collapsed="false">
      <c r="A63" s="11" t="s">
        <v>430</v>
      </c>
      <c r="B63" s="11" t="s">
        <v>1067</v>
      </c>
      <c r="C63" s="11" t="s">
        <v>1068</v>
      </c>
      <c r="D63" s="11" t="n">
        <f aca="false">COUNTIF('Recipe Usage'!$D$2:$D$1114,A63)</f>
        <v>5</v>
      </c>
      <c r="E63" s="11" t="s">
        <v>1112</v>
      </c>
      <c r="F63" s="12" t="s">
        <v>6</v>
      </c>
      <c r="G63" s="11"/>
    </row>
    <row r="64" customFormat="false" ht="15" hidden="false" customHeight="true" outlineLevel="0" collapsed="false">
      <c r="A64" s="11" t="s">
        <v>441</v>
      </c>
      <c r="B64" s="11" t="s">
        <v>1067</v>
      </c>
      <c r="C64" s="11" t="s">
        <v>1068</v>
      </c>
      <c r="D64" s="11" t="n">
        <f aca="false">COUNTIF('Recipe Usage'!$D$2:$D$1114,A64)</f>
        <v>4</v>
      </c>
      <c r="E64" s="11" t="s">
        <v>1113</v>
      </c>
      <c r="F64" s="12" t="s">
        <v>6</v>
      </c>
      <c r="G64" s="11"/>
    </row>
    <row r="65" customFormat="false" ht="15" hidden="false" customHeight="true" outlineLevel="0" collapsed="false">
      <c r="A65" s="11" t="s">
        <v>653</v>
      </c>
      <c r="B65" s="11" t="s">
        <v>1067</v>
      </c>
      <c r="C65" s="11" t="s">
        <v>1068</v>
      </c>
      <c r="D65" s="11" t="n">
        <f aca="false">COUNTIF('Recipe Usage'!$D$2:$D$1114,A65)</f>
        <v>1</v>
      </c>
      <c r="E65" s="11" t="s">
        <v>1114</v>
      </c>
      <c r="F65" s="12" t="s">
        <v>6</v>
      </c>
      <c r="G65" s="11"/>
    </row>
    <row r="66" customFormat="false" ht="15" hidden="false" customHeight="true" outlineLevel="0" collapsed="false">
      <c r="A66" s="11" t="s">
        <v>356</v>
      </c>
      <c r="B66" s="11" t="s">
        <v>1067</v>
      </c>
      <c r="C66" s="11" t="s">
        <v>1068</v>
      </c>
      <c r="D66" s="11" t="n">
        <f aca="false">COUNTIF('Recipe Usage'!$D$2:$D$1114,A66)</f>
        <v>3</v>
      </c>
      <c r="E66" s="11" t="s">
        <v>1115</v>
      </c>
      <c r="F66" s="12" t="s">
        <v>6</v>
      </c>
      <c r="G66" s="11"/>
    </row>
    <row r="67" customFormat="false" ht="15" hidden="false" customHeight="true" outlineLevel="0" collapsed="false">
      <c r="A67" s="11" t="s">
        <v>667</v>
      </c>
      <c r="B67" s="11" t="s">
        <v>1067</v>
      </c>
      <c r="C67" s="11" t="s">
        <v>1068</v>
      </c>
      <c r="D67" s="11" t="n">
        <f aca="false">COUNTIF('Recipe Usage'!$D$2:$D$1114,A67)</f>
        <v>2</v>
      </c>
      <c r="E67" s="11" t="s">
        <v>1116</v>
      </c>
      <c r="F67" s="12" t="s">
        <v>6</v>
      </c>
      <c r="G67" s="11"/>
    </row>
    <row r="68" customFormat="false" ht="15" hidden="false" customHeight="true" outlineLevel="0" collapsed="false">
      <c r="A68" s="11" t="s">
        <v>359</v>
      </c>
      <c r="B68" s="11" t="s">
        <v>1067</v>
      </c>
      <c r="C68" s="11" t="s">
        <v>1068</v>
      </c>
      <c r="D68" s="11" t="n">
        <f aca="false">COUNTIF('Recipe Usage'!$D$2:$D$1114,A68)</f>
        <v>3</v>
      </c>
      <c r="E68" s="11" t="s">
        <v>1117</v>
      </c>
      <c r="F68" s="12" t="s">
        <v>6</v>
      </c>
      <c r="G68" s="11"/>
    </row>
    <row r="69" customFormat="false" ht="15" hidden="false" customHeight="true" outlineLevel="0" collapsed="false">
      <c r="A69" s="11" t="s">
        <v>160</v>
      </c>
      <c r="B69" s="11" t="s">
        <v>1067</v>
      </c>
      <c r="C69" s="11" t="s">
        <v>1068</v>
      </c>
      <c r="D69" s="11" t="n">
        <f aca="false">COUNTIF('Recipe Usage'!$D$2:$D$1114,A69)</f>
        <v>3</v>
      </c>
      <c r="E69" s="11" t="s">
        <v>1118</v>
      </c>
      <c r="F69" s="12" t="s">
        <v>6</v>
      </c>
      <c r="G69" s="11"/>
    </row>
    <row r="70" customFormat="false" ht="15" hidden="false" customHeight="true" outlineLevel="0" collapsed="false">
      <c r="A70" s="11" t="s">
        <v>244</v>
      </c>
      <c r="B70" s="11" t="s">
        <v>1067</v>
      </c>
      <c r="C70" s="11" t="s">
        <v>1068</v>
      </c>
      <c r="D70" s="11" t="n">
        <f aca="false">COUNTIF('Recipe Usage'!$D$2:$D$1114,A70)</f>
        <v>2</v>
      </c>
      <c r="E70" s="11" t="s">
        <v>1119</v>
      </c>
      <c r="F70" s="12" t="s">
        <v>6</v>
      </c>
      <c r="G70" s="11"/>
    </row>
    <row r="71" customFormat="false" ht="15" hidden="false" customHeight="true" outlineLevel="0" collapsed="false">
      <c r="A71" s="11" t="s">
        <v>52</v>
      </c>
      <c r="B71" s="11" t="s">
        <v>1067</v>
      </c>
      <c r="C71" s="11" t="s">
        <v>1068</v>
      </c>
      <c r="D71" s="11" t="n">
        <f aca="false">COUNTIF('Recipe Usage'!$D$2:$D$1114,A71)</f>
        <v>1</v>
      </c>
      <c r="E71" s="11" t="s">
        <v>1120</v>
      </c>
      <c r="F71" s="12" t="s">
        <v>6</v>
      </c>
      <c r="G71" s="11"/>
    </row>
    <row r="72" customFormat="false" ht="15" hidden="false" customHeight="true" outlineLevel="0" collapsed="false">
      <c r="A72" s="11" t="s">
        <v>116</v>
      </c>
      <c r="B72" s="11" t="s">
        <v>1067</v>
      </c>
      <c r="C72" s="11" t="s">
        <v>1068</v>
      </c>
      <c r="D72" s="11" t="n">
        <f aca="false">COUNTIF('Recipe Usage'!$D$2:$D$1114,A72)</f>
        <v>4</v>
      </c>
      <c r="E72" s="11" t="s">
        <v>1121</v>
      </c>
      <c r="F72" s="12" t="s">
        <v>6</v>
      </c>
      <c r="G72" s="11"/>
    </row>
    <row r="73" customFormat="false" ht="15" hidden="false" customHeight="true" outlineLevel="0" collapsed="false">
      <c r="A73" s="11" t="s">
        <v>199</v>
      </c>
      <c r="B73" s="11" t="s">
        <v>1067</v>
      </c>
      <c r="C73" s="11" t="s">
        <v>1068</v>
      </c>
      <c r="D73" s="11" t="n">
        <f aca="false">COUNTIF('Recipe Usage'!$D$2:$D$1114,A73)</f>
        <v>2</v>
      </c>
      <c r="E73" s="11" t="s">
        <v>1122</v>
      </c>
      <c r="F73" s="12" t="s">
        <v>6</v>
      </c>
      <c r="G73" s="11"/>
    </row>
    <row r="74" customFormat="false" ht="15" hidden="false" customHeight="true" outlineLevel="0" collapsed="false">
      <c r="A74" s="11" t="s">
        <v>512</v>
      </c>
      <c r="B74" s="11" t="s">
        <v>1067</v>
      </c>
      <c r="C74" s="11" t="s">
        <v>1068</v>
      </c>
      <c r="D74" s="11" t="n">
        <f aca="false">COUNTIF('Recipe Usage'!$D$2:$D$1114,A74)</f>
        <v>3</v>
      </c>
      <c r="E74" s="11" t="s">
        <v>1123</v>
      </c>
      <c r="F74" s="12" t="s">
        <v>6</v>
      </c>
      <c r="G74" s="11"/>
    </row>
    <row r="75" customFormat="false" ht="15" hidden="false" customHeight="true" outlineLevel="0" collapsed="false">
      <c r="A75" s="11" t="s">
        <v>616</v>
      </c>
      <c r="B75" s="11" t="s">
        <v>1067</v>
      </c>
      <c r="C75" s="11" t="s">
        <v>1068</v>
      </c>
      <c r="D75" s="11" t="n">
        <f aca="false">COUNTIF('Recipe Usage'!$D$2:$D$1114,A75)</f>
        <v>2</v>
      </c>
      <c r="E75" s="11" t="s">
        <v>1124</v>
      </c>
      <c r="F75" s="12" t="s">
        <v>6</v>
      </c>
      <c r="G75" s="11"/>
    </row>
    <row r="76" customFormat="false" ht="15" hidden="false" customHeight="true" outlineLevel="0" collapsed="false">
      <c r="A76" s="11" t="s">
        <v>409</v>
      </c>
      <c r="B76" s="11" t="s">
        <v>1067</v>
      </c>
      <c r="C76" s="11" t="s">
        <v>1068</v>
      </c>
      <c r="D76" s="11" t="n">
        <f aca="false">COUNTIF('Recipe Usage'!$D$2:$D$1114,A76)</f>
        <v>3</v>
      </c>
      <c r="E76" s="11" t="s">
        <v>1125</v>
      </c>
      <c r="F76" s="12" t="s">
        <v>6</v>
      </c>
      <c r="G76" s="11"/>
    </row>
    <row r="77" customFormat="false" ht="15" hidden="false" customHeight="true" outlineLevel="0" collapsed="false">
      <c r="A77" s="11" t="s">
        <v>57</v>
      </c>
      <c r="B77" s="11" t="s">
        <v>1126</v>
      </c>
      <c r="C77" s="11" t="s">
        <v>1059</v>
      </c>
      <c r="D77" s="11" t="n">
        <f aca="false">COUNTIF('Recipe Usage'!$D$2:$D$1114,A77)</f>
        <v>1</v>
      </c>
      <c r="E77" s="11" t="s">
        <v>1127</v>
      </c>
      <c r="F77" s="12" t="s">
        <v>6</v>
      </c>
      <c r="G77" s="11"/>
    </row>
    <row r="78" customFormat="false" ht="15" hidden="false" customHeight="true" outlineLevel="0" collapsed="false">
      <c r="A78" s="11" t="s">
        <v>66</v>
      </c>
      <c r="B78" s="11" t="s">
        <v>1126</v>
      </c>
      <c r="C78" s="11" t="s">
        <v>1059</v>
      </c>
      <c r="D78" s="11" t="n">
        <f aca="false">COUNTIF('Recipe Usage'!$D$2:$D$1114,A78)</f>
        <v>2</v>
      </c>
      <c r="E78" s="11" t="s">
        <v>1128</v>
      </c>
      <c r="F78" s="12" t="s">
        <v>6</v>
      </c>
      <c r="G78" s="11"/>
    </row>
    <row r="79" customFormat="false" ht="15" hidden="false" customHeight="true" outlineLevel="0" collapsed="false">
      <c r="A79" s="11" t="s">
        <v>839</v>
      </c>
      <c r="B79" s="11" t="s">
        <v>1126</v>
      </c>
      <c r="C79" s="11" t="s">
        <v>1059</v>
      </c>
      <c r="D79" s="11" t="n">
        <f aca="false">COUNTIF('Recipe Usage'!$D$2:$D$1114,A79)</f>
        <v>2</v>
      </c>
      <c r="E79" s="11" t="s">
        <v>1129</v>
      </c>
      <c r="F79" s="12" t="s">
        <v>6</v>
      </c>
      <c r="G79" s="11"/>
    </row>
    <row r="80" customFormat="false" ht="15" hidden="false" customHeight="true" outlineLevel="0" collapsed="false">
      <c r="A80" s="11" t="s">
        <v>315</v>
      </c>
      <c r="B80" s="11" t="s">
        <v>1126</v>
      </c>
      <c r="C80" s="11" t="s">
        <v>1059</v>
      </c>
      <c r="D80" s="11" t="n">
        <f aca="false">COUNTIF('Recipe Usage'!$D$2:$D$1114,A80)</f>
        <v>3</v>
      </c>
      <c r="E80" s="11" t="s">
        <v>1130</v>
      </c>
      <c r="F80" s="12" t="s">
        <v>6</v>
      </c>
      <c r="G80" s="11"/>
    </row>
    <row r="81" customFormat="false" ht="15" hidden="false" customHeight="true" outlineLevel="0" collapsed="false">
      <c r="A81" s="11" t="s">
        <v>528</v>
      </c>
      <c r="B81" s="11" t="s">
        <v>1126</v>
      </c>
      <c r="C81" s="11" t="s">
        <v>1059</v>
      </c>
      <c r="D81" s="11" t="n">
        <f aca="false">COUNTIF('Recipe Usage'!$D$2:$D$1114,A81)</f>
        <v>6</v>
      </c>
      <c r="E81" s="11" t="s">
        <v>1131</v>
      </c>
      <c r="F81" s="12" t="s">
        <v>6</v>
      </c>
      <c r="G81" s="11"/>
    </row>
    <row r="82" customFormat="false" ht="15" hidden="false" customHeight="true" outlineLevel="0" collapsed="false">
      <c r="A82" s="11" t="s">
        <v>246</v>
      </c>
      <c r="B82" s="11" t="s">
        <v>1126</v>
      </c>
      <c r="C82" s="11" t="s">
        <v>1059</v>
      </c>
      <c r="D82" s="11" t="n">
        <f aca="false">COUNTIF('Recipe Usage'!$D$2:$D$1114,A82)</f>
        <v>5</v>
      </c>
      <c r="E82" s="11" t="s">
        <v>1132</v>
      </c>
      <c r="F82" s="12" t="s">
        <v>6</v>
      </c>
      <c r="G82" s="11"/>
    </row>
    <row r="83" customFormat="false" ht="15" hidden="false" customHeight="true" outlineLevel="0" collapsed="false">
      <c r="A83" s="11" t="s">
        <v>223</v>
      </c>
      <c r="B83" s="11" t="s">
        <v>1126</v>
      </c>
      <c r="C83" s="11" t="s">
        <v>1059</v>
      </c>
      <c r="D83" s="11" t="n">
        <f aca="false">COUNTIF('Recipe Usage'!$D$2:$D$1114,A83)</f>
        <v>4</v>
      </c>
      <c r="E83" s="11" t="s">
        <v>1133</v>
      </c>
      <c r="F83" s="12" t="s">
        <v>6</v>
      </c>
      <c r="G83" s="11"/>
    </row>
    <row r="84" customFormat="false" ht="15" hidden="false" customHeight="true" outlineLevel="0" collapsed="false">
      <c r="A84" s="11" t="s">
        <v>622</v>
      </c>
      <c r="B84" s="11" t="s">
        <v>1126</v>
      </c>
      <c r="C84" s="11" t="s">
        <v>1059</v>
      </c>
      <c r="D84" s="11" t="n">
        <f aca="false">COUNTIF('Recipe Usage'!$D$2:$D$1114,A84)</f>
        <v>3</v>
      </c>
      <c r="E84" s="11" t="s">
        <v>1134</v>
      </c>
      <c r="F84" s="12" t="s">
        <v>6</v>
      </c>
      <c r="G84" s="11"/>
    </row>
    <row r="85" customFormat="false" ht="15" hidden="false" customHeight="true" outlineLevel="0" collapsed="false">
      <c r="A85" s="11" t="s">
        <v>321</v>
      </c>
      <c r="B85" s="11" t="s">
        <v>1126</v>
      </c>
      <c r="C85" s="11" t="s">
        <v>1059</v>
      </c>
      <c r="D85" s="11" t="n">
        <f aca="false">COUNTIF('Recipe Usage'!$D$2:$D$1114,A85)</f>
        <v>16</v>
      </c>
      <c r="E85" s="11" t="s">
        <v>1135</v>
      </c>
      <c r="F85" s="12" t="s">
        <v>6</v>
      </c>
      <c r="G85" s="11"/>
    </row>
    <row r="86" customFormat="false" ht="15" hidden="false" customHeight="true" outlineLevel="0" collapsed="false">
      <c r="A86" s="11" t="s">
        <v>87</v>
      </c>
      <c r="B86" s="11" t="s">
        <v>1126</v>
      </c>
      <c r="C86" s="11" t="s">
        <v>1059</v>
      </c>
      <c r="D86" s="11" t="n">
        <f aca="false">COUNTIF('Recipe Usage'!$D$2:$D$1114,A86)</f>
        <v>2</v>
      </c>
      <c r="E86" s="11" t="s">
        <v>1136</v>
      </c>
      <c r="F86" s="12" t="s">
        <v>6</v>
      </c>
      <c r="G86" s="11"/>
    </row>
    <row r="87" customFormat="false" ht="15" hidden="false" customHeight="true" outlineLevel="0" collapsed="false">
      <c r="A87" s="11" t="s">
        <v>378</v>
      </c>
      <c r="B87" s="11" t="s">
        <v>1126</v>
      </c>
      <c r="C87" s="11" t="s">
        <v>1059</v>
      </c>
      <c r="D87" s="11" t="n">
        <f aca="false">COUNTIF('Recipe Usage'!$D$2:$D$1114,A87)</f>
        <v>2</v>
      </c>
      <c r="E87" s="11" t="s">
        <v>1137</v>
      </c>
      <c r="F87" s="12" t="s">
        <v>6</v>
      </c>
      <c r="G87" s="11"/>
    </row>
    <row r="88" customFormat="false" ht="15" hidden="false" customHeight="true" outlineLevel="0" collapsed="false">
      <c r="A88" s="11" t="s">
        <v>107</v>
      </c>
      <c r="B88" s="11" t="s">
        <v>1126</v>
      </c>
      <c r="C88" s="11" t="s">
        <v>1059</v>
      </c>
      <c r="D88" s="11" t="n">
        <f aca="false">COUNTIF('Recipe Usage'!$D$2:$D$1114,A88)</f>
        <v>5</v>
      </c>
      <c r="E88" s="11" t="s">
        <v>1138</v>
      </c>
      <c r="F88" s="12" t="s">
        <v>6</v>
      </c>
      <c r="G88" s="11"/>
    </row>
    <row r="89" customFormat="false" ht="15" hidden="false" customHeight="true" outlineLevel="0" collapsed="false">
      <c r="A89" s="11" t="s">
        <v>29</v>
      </c>
      <c r="B89" s="11" t="s">
        <v>1126</v>
      </c>
      <c r="C89" s="11" t="s">
        <v>1059</v>
      </c>
      <c r="D89" s="11" t="n">
        <f aca="false">COUNTIF('Recipe Usage'!$D$2:$D$1114,A89)</f>
        <v>4</v>
      </c>
      <c r="E89" s="11" t="s">
        <v>1139</v>
      </c>
      <c r="F89" s="12" t="s">
        <v>6</v>
      </c>
      <c r="G89" s="11"/>
    </row>
    <row r="90" customFormat="false" ht="15" hidden="false" customHeight="true" outlineLevel="0" collapsed="false">
      <c r="A90" s="11" t="s">
        <v>593</v>
      </c>
      <c r="B90" s="11" t="s">
        <v>1126</v>
      </c>
      <c r="C90" s="11" t="s">
        <v>1059</v>
      </c>
      <c r="D90" s="11" t="n">
        <f aca="false">COUNTIF('Recipe Usage'!$D$2:$D$1114,A90)</f>
        <v>1</v>
      </c>
      <c r="E90" s="11" t="s">
        <v>1140</v>
      </c>
      <c r="F90" s="12" t="s">
        <v>6</v>
      </c>
      <c r="G90" s="11"/>
    </row>
    <row r="91" customFormat="false" ht="15" hidden="false" customHeight="true" outlineLevel="0" collapsed="false">
      <c r="A91" s="11" t="s">
        <v>158</v>
      </c>
      <c r="B91" s="11" t="s">
        <v>1126</v>
      </c>
      <c r="C91" s="11" t="s">
        <v>1059</v>
      </c>
      <c r="D91" s="11" t="n">
        <f aca="false">COUNTIF('Recipe Usage'!$D$2:$D$1114,A91)</f>
        <v>1</v>
      </c>
      <c r="E91" s="11" t="s">
        <v>1141</v>
      </c>
      <c r="F91" s="12" t="s">
        <v>6</v>
      </c>
      <c r="G91" s="11"/>
    </row>
    <row r="92" customFormat="false" ht="15" hidden="false" customHeight="true" outlineLevel="0" collapsed="false">
      <c r="A92" s="11" t="s">
        <v>325</v>
      </c>
      <c r="B92" s="11" t="s">
        <v>1142</v>
      </c>
      <c r="C92" s="11" t="s">
        <v>1143</v>
      </c>
      <c r="D92" s="11" t="n">
        <f aca="false">COUNTIF('Recipe Usage'!$D$2:$D$1114,A92)</f>
        <v>2</v>
      </c>
      <c r="E92" s="11" t="s">
        <v>1144</v>
      </c>
      <c r="F92" s="12" t="s">
        <v>6</v>
      </c>
      <c r="G92" s="11"/>
    </row>
    <row r="93" customFormat="false" ht="15" hidden="false" customHeight="true" outlineLevel="0" collapsed="false">
      <c r="A93" s="11" t="s">
        <v>716</v>
      </c>
      <c r="B93" s="11" t="s">
        <v>1142</v>
      </c>
      <c r="C93" s="11" t="s">
        <v>1143</v>
      </c>
      <c r="D93" s="11" t="n">
        <f aca="false">COUNTIF('Recipe Usage'!$D$2:$D$1114,A93)</f>
        <v>4</v>
      </c>
      <c r="E93" s="11" t="s">
        <v>1145</v>
      </c>
      <c r="F93" s="12" t="s">
        <v>6</v>
      </c>
      <c r="G93" s="11"/>
    </row>
    <row r="94" customFormat="false" ht="15" hidden="false" customHeight="true" outlineLevel="0" collapsed="false">
      <c r="A94" s="11" t="s">
        <v>424</v>
      </c>
      <c r="B94" s="11" t="s">
        <v>1142</v>
      </c>
      <c r="C94" s="11" t="s">
        <v>1143</v>
      </c>
      <c r="D94" s="11" t="n">
        <f aca="false">COUNTIF('Recipe Usage'!$D$2:$D$1114,A94)</f>
        <v>3</v>
      </c>
      <c r="E94" s="11" t="s">
        <v>1146</v>
      </c>
      <c r="F94" s="12" t="s">
        <v>6</v>
      </c>
      <c r="G94" s="11"/>
    </row>
    <row r="95" customFormat="false" ht="15" hidden="false" customHeight="true" outlineLevel="0" collapsed="false">
      <c r="A95" s="11" t="s">
        <v>70</v>
      </c>
      <c r="B95" s="11" t="s">
        <v>1142</v>
      </c>
      <c r="C95" s="11" t="s">
        <v>1143</v>
      </c>
      <c r="D95" s="11" t="n">
        <f aca="false">COUNTIF('Recipe Usage'!$D$2:$D$1114,A95)</f>
        <v>4</v>
      </c>
      <c r="E95" s="11" t="s">
        <v>1147</v>
      </c>
      <c r="F95" s="12" t="s">
        <v>6</v>
      </c>
      <c r="G95" s="11"/>
    </row>
    <row r="96" customFormat="false" ht="15" hidden="false" customHeight="true" outlineLevel="0" collapsed="false">
      <c r="A96" s="11" t="s">
        <v>156</v>
      </c>
      <c r="B96" s="11" t="s">
        <v>1142</v>
      </c>
      <c r="C96" s="11" t="s">
        <v>1143</v>
      </c>
      <c r="D96" s="11" t="n">
        <f aca="false">COUNTIF('Recipe Usage'!$D$2:$D$1114,A96)</f>
        <v>3</v>
      </c>
      <c r="E96" s="11" t="s">
        <v>1148</v>
      </c>
      <c r="F96" s="12" t="s">
        <v>6</v>
      </c>
      <c r="G96" s="11"/>
    </row>
    <row r="97" customFormat="false" ht="15" hidden="false" customHeight="true" outlineLevel="0" collapsed="false">
      <c r="A97" s="11" t="s">
        <v>68</v>
      </c>
      <c r="B97" s="11" t="s">
        <v>1142</v>
      </c>
      <c r="C97" s="11" t="s">
        <v>1143</v>
      </c>
      <c r="D97" s="11" t="n">
        <f aca="false">COUNTIF('Recipe Usage'!$D$2:$D$1114,A97)</f>
        <v>23</v>
      </c>
      <c r="E97" s="11" t="s">
        <v>1149</v>
      </c>
      <c r="F97" s="12" t="s">
        <v>6</v>
      </c>
      <c r="G97" s="11"/>
    </row>
    <row r="98" customFormat="false" ht="15" hidden="false" customHeight="true" outlineLevel="0" collapsed="false">
      <c r="A98" s="11" t="s">
        <v>53</v>
      </c>
      <c r="B98" s="11" t="s">
        <v>1142</v>
      </c>
      <c r="C98" s="11" t="s">
        <v>1143</v>
      </c>
      <c r="D98" s="11" t="n">
        <f aca="false">COUNTIF('Recipe Usage'!$D$2:$D$1114,A98)</f>
        <v>2</v>
      </c>
      <c r="E98" s="11" t="s">
        <v>1150</v>
      </c>
      <c r="F98" s="12" t="s">
        <v>6</v>
      </c>
      <c r="G98" s="11"/>
    </row>
    <row r="99" customFormat="false" ht="15" hidden="false" customHeight="true" outlineLevel="0" collapsed="false">
      <c r="A99" s="11" t="s">
        <v>248</v>
      </c>
      <c r="B99" s="11" t="s">
        <v>1142</v>
      </c>
      <c r="C99" s="11" t="s">
        <v>1143</v>
      </c>
      <c r="D99" s="11" t="n">
        <f aca="false">COUNTIF('Recipe Usage'!$D$2:$D$1114,A99)</f>
        <v>4</v>
      </c>
      <c r="E99" s="11" t="s">
        <v>1151</v>
      </c>
      <c r="F99" s="12" t="s">
        <v>6</v>
      </c>
      <c r="G99" s="11"/>
    </row>
    <row r="100" customFormat="false" ht="15" hidden="false" customHeight="true" outlineLevel="0" collapsed="false">
      <c r="A100" s="11" t="s">
        <v>537</v>
      </c>
      <c r="B100" s="11" t="s">
        <v>1142</v>
      </c>
      <c r="C100" s="11" t="s">
        <v>1143</v>
      </c>
      <c r="D100" s="11" t="n">
        <f aca="false">COUNTIF('Recipe Usage'!$D$2:$D$1114,A100)</f>
        <v>3</v>
      </c>
      <c r="E100" s="11" t="s">
        <v>1152</v>
      </c>
      <c r="F100" s="12" t="s">
        <v>6</v>
      </c>
      <c r="G100" s="11"/>
    </row>
    <row r="101" customFormat="false" ht="15" hidden="false" customHeight="true" outlineLevel="0" collapsed="false">
      <c r="A101" s="11" t="s">
        <v>349</v>
      </c>
      <c r="B101" s="11" t="s">
        <v>1142</v>
      </c>
      <c r="C101" s="11" t="s">
        <v>1143</v>
      </c>
      <c r="D101" s="11" t="n">
        <f aca="false">COUNTIF('Recipe Usage'!$D$2:$D$1114,A101)</f>
        <v>9</v>
      </c>
      <c r="E101" s="11" t="s">
        <v>1153</v>
      </c>
      <c r="F101" s="12" t="s">
        <v>6</v>
      </c>
      <c r="G101" s="11"/>
    </row>
    <row r="102" customFormat="false" ht="15" hidden="false" customHeight="true" outlineLevel="0" collapsed="false">
      <c r="A102" s="11" t="s">
        <v>364</v>
      </c>
      <c r="B102" s="11" t="s">
        <v>1142</v>
      </c>
      <c r="C102" s="11" t="s">
        <v>1143</v>
      </c>
      <c r="D102" s="11" t="n">
        <f aca="false">COUNTIF('Recipe Usage'!$D$2:$D$1114,A102)</f>
        <v>3</v>
      </c>
      <c r="E102" s="11" t="s">
        <v>1154</v>
      </c>
      <c r="F102" s="12" t="s">
        <v>6</v>
      </c>
      <c r="G102" s="11"/>
    </row>
    <row r="103" customFormat="false" ht="15" hidden="false" customHeight="true" outlineLevel="0" collapsed="false">
      <c r="A103" s="11" t="s">
        <v>366</v>
      </c>
      <c r="B103" s="11" t="s">
        <v>1142</v>
      </c>
      <c r="C103" s="11" t="s">
        <v>1143</v>
      </c>
      <c r="D103" s="11" t="n">
        <f aca="false">COUNTIF('Recipe Usage'!$D$2:$D$1114,A103)</f>
        <v>2</v>
      </c>
      <c r="E103" s="11" t="s">
        <v>1155</v>
      </c>
      <c r="F103" s="12" t="s">
        <v>6</v>
      </c>
      <c r="G103" s="11"/>
    </row>
    <row r="104" customFormat="false" ht="15" hidden="false" customHeight="true" outlineLevel="0" collapsed="false">
      <c r="A104" s="11" t="s">
        <v>351</v>
      </c>
      <c r="B104" s="11" t="s">
        <v>1142</v>
      </c>
      <c r="C104" s="11" t="s">
        <v>1143</v>
      </c>
      <c r="D104" s="11" t="n">
        <f aca="false">COUNTIF('Recipe Usage'!$D$2:$D$1114,A104)</f>
        <v>6</v>
      </c>
      <c r="E104" s="11" t="s">
        <v>1156</v>
      </c>
      <c r="F104" s="12" t="s">
        <v>6</v>
      </c>
      <c r="G104" s="11"/>
    </row>
    <row r="105" customFormat="false" ht="15" hidden="false" customHeight="true" outlineLevel="0" collapsed="false">
      <c r="A105" s="11" t="s">
        <v>394</v>
      </c>
      <c r="B105" s="11" t="s">
        <v>1142</v>
      </c>
      <c r="C105" s="11" t="s">
        <v>1143</v>
      </c>
      <c r="D105" s="11" t="n">
        <f aca="false">COUNTIF('Recipe Usage'!$D$2:$D$1114,A105)</f>
        <v>14</v>
      </c>
      <c r="E105" s="11" t="s">
        <v>1157</v>
      </c>
      <c r="F105" s="12" t="s">
        <v>6</v>
      </c>
      <c r="G105" s="11"/>
    </row>
    <row r="106" customFormat="false" ht="15" hidden="false" customHeight="true" outlineLevel="0" collapsed="false">
      <c r="A106" s="11" t="s">
        <v>31</v>
      </c>
      <c r="B106" s="11" t="s">
        <v>1142</v>
      </c>
      <c r="C106" s="11" t="s">
        <v>1143</v>
      </c>
      <c r="D106" s="11" t="n">
        <f aca="false">COUNTIF('Recipe Usage'!$D$2:$D$1114,A106)</f>
        <v>15</v>
      </c>
      <c r="E106" s="11" t="s">
        <v>1158</v>
      </c>
      <c r="F106" s="12" t="s">
        <v>6</v>
      </c>
      <c r="G106" s="11"/>
    </row>
    <row r="107" customFormat="false" ht="15" hidden="false" customHeight="true" outlineLevel="0" collapsed="false">
      <c r="A107" s="11" t="s">
        <v>439</v>
      </c>
      <c r="B107" s="11" t="s">
        <v>1159</v>
      </c>
      <c r="C107" s="11" t="s">
        <v>1059</v>
      </c>
      <c r="D107" s="11" t="n">
        <f aca="false">COUNTIF('Recipe Usage'!$D$2:$D$1114,A107)</f>
        <v>2</v>
      </c>
      <c r="E107" s="11" t="s">
        <v>1160</v>
      </c>
      <c r="F107" s="12" t="s">
        <v>6</v>
      </c>
      <c r="G107" s="11"/>
    </row>
    <row r="108" customFormat="false" ht="15" hidden="false" customHeight="true" outlineLevel="0" collapsed="false">
      <c r="A108" s="11" t="s">
        <v>289</v>
      </c>
      <c r="B108" s="11" t="s">
        <v>1159</v>
      </c>
      <c r="C108" s="11" t="s">
        <v>1059</v>
      </c>
      <c r="D108" s="11" t="n">
        <f aca="false">COUNTIF('Recipe Usage'!$D$2:$D$1114,A108)</f>
        <v>3</v>
      </c>
      <c r="E108" s="11" t="s">
        <v>1161</v>
      </c>
      <c r="F108" s="12" t="s">
        <v>6</v>
      </c>
      <c r="G108" s="11"/>
    </row>
    <row r="109" customFormat="false" ht="15" hidden="false" customHeight="true" outlineLevel="0" collapsed="false">
      <c r="A109" s="11" t="s">
        <v>362</v>
      </c>
      <c r="B109" s="11" t="s">
        <v>1159</v>
      </c>
      <c r="C109" s="11" t="s">
        <v>1059</v>
      </c>
      <c r="D109" s="11" t="n">
        <f aca="false">COUNTIF('Recipe Usage'!$D$2:$D$1114,A109)</f>
        <v>2</v>
      </c>
      <c r="E109" s="11" t="s">
        <v>1162</v>
      </c>
      <c r="F109" s="12" t="s">
        <v>6</v>
      </c>
      <c r="G109" s="11"/>
    </row>
    <row r="110" customFormat="false" ht="15" hidden="false" customHeight="true" outlineLevel="0" collapsed="false">
      <c r="A110" s="11" t="s">
        <v>805</v>
      </c>
      <c r="B110" s="11" t="s">
        <v>1159</v>
      </c>
      <c r="C110" s="11" t="s">
        <v>1059</v>
      </c>
      <c r="D110" s="11" t="n">
        <f aca="false">COUNTIF('Recipe Usage'!$D$2:$D$1114,A110)</f>
        <v>2</v>
      </c>
      <c r="E110" s="11" t="s">
        <v>1163</v>
      </c>
      <c r="F110" s="12" t="s">
        <v>6</v>
      </c>
      <c r="G110" s="11"/>
    </row>
    <row r="111" customFormat="false" ht="15" hidden="false" customHeight="true" outlineLevel="0" collapsed="false">
      <c r="A111" s="11" t="s">
        <v>857</v>
      </c>
      <c r="B111" s="11" t="s">
        <v>1159</v>
      </c>
      <c r="C111" s="11" t="s">
        <v>1059</v>
      </c>
      <c r="D111" s="11" t="n">
        <f aca="false">COUNTIF('Recipe Usage'!$D$2:$D$1114,A111)</f>
        <v>1</v>
      </c>
      <c r="E111" s="11" t="s">
        <v>1164</v>
      </c>
      <c r="F111" s="12" t="s">
        <v>6</v>
      </c>
      <c r="G111" s="11"/>
    </row>
    <row r="112" customFormat="false" ht="15" hidden="false" customHeight="true" outlineLevel="0" collapsed="false">
      <c r="A112" s="11" t="s">
        <v>81</v>
      </c>
      <c r="B112" s="11" t="s">
        <v>1159</v>
      </c>
      <c r="C112" s="11" t="s">
        <v>1059</v>
      </c>
      <c r="D112" s="11" t="n">
        <f aca="false">COUNTIF('Recipe Usage'!$D$2:$D$1114,A112)</f>
        <v>4</v>
      </c>
      <c r="E112" s="11" t="s">
        <v>1165</v>
      </c>
      <c r="F112" s="12" t="s">
        <v>6</v>
      </c>
      <c r="G112" s="11"/>
    </row>
    <row r="113" customFormat="false" ht="15" hidden="false" customHeight="true" outlineLevel="0" collapsed="false">
      <c r="A113" s="11" t="s">
        <v>78</v>
      </c>
      <c r="B113" s="11" t="s">
        <v>1159</v>
      </c>
      <c r="C113" s="11" t="s">
        <v>1059</v>
      </c>
      <c r="D113" s="11" t="n">
        <f aca="false">COUNTIF('Recipe Usage'!$D$2:$D$1114,A113)</f>
        <v>8</v>
      </c>
      <c r="E113" s="11" t="s">
        <v>1166</v>
      </c>
      <c r="F113" s="12" t="s">
        <v>6</v>
      </c>
      <c r="G113" s="11"/>
    </row>
    <row r="114" customFormat="false" ht="15" hidden="false" customHeight="true" outlineLevel="0" collapsed="false">
      <c r="A114" s="11" t="s">
        <v>141</v>
      </c>
      <c r="B114" s="11" t="s">
        <v>1159</v>
      </c>
      <c r="C114" s="11" t="s">
        <v>1059</v>
      </c>
      <c r="D114" s="11" t="n">
        <f aca="false">COUNTIF('Recipe Usage'!$D$2:$D$1114,A114)</f>
        <v>7</v>
      </c>
      <c r="E114" s="11" t="s">
        <v>1167</v>
      </c>
      <c r="F114" s="12" t="s">
        <v>6</v>
      </c>
      <c r="G114" s="11"/>
    </row>
    <row r="115" customFormat="false" ht="15" hidden="false" customHeight="true" outlineLevel="0" collapsed="false">
      <c r="A115" s="11" t="s">
        <v>397</v>
      </c>
      <c r="B115" s="11" t="s">
        <v>1159</v>
      </c>
      <c r="C115" s="11" t="s">
        <v>1059</v>
      </c>
      <c r="D115" s="11" t="n">
        <f aca="false">COUNTIF('Recipe Usage'!$D$2:$D$1114,A115)</f>
        <v>3</v>
      </c>
      <c r="E115" s="11" t="s">
        <v>1168</v>
      </c>
      <c r="F115" s="12" t="s">
        <v>6</v>
      </c>
      <c r="G115" s="11"/>
    </row>
    <row r="116" customFormat="false" ht="15" hidden="false" customHeight="true" outlineLevel="0" collapsed="false">
      <c r="A116" s="11" t="s">
        <v>33</v>
      </c>
      <c r="B116" s="11" t="s">
        <v>1159</v>
      </c>
      <c r="C116" s="11" t="s">
        <v>1059</v>
      </c>
      <c r="D116" s="11" t="n">
        <f aca="false">COUNTIF('Recipe Usage'!$D$2:$D$1114,A116)</f>
        <v>25</v>
      </c>
      <c r="E116" s="11" t="s">
        <v>1169</v>
      </c>
      <c r="F116" s="12" t="s">
        <v>6</v>
      </c>
      <c r="G116" s="11"/>
    </row>
    <row r="117" customFormat="false" ht="15" hidden="false" customHeight="true" outlineLevel="0" collapsed="false">
      <c r="A117" s="11" t="s">
        <v>305</v>
      </c>
      <c r="B117" s="11" t="s">
        <v>1159</v>
      </c>
      <c r="C117" s="11" t="s">
        <v>1059</v>
      </c>
      <c r="D117" s="11" t="n">
        <f aca="false">COUNTIF('Recipe Usage'!$D$2:$D$1114,A117)</f>
        <v>2</v>
      </c>
      <c r="E117" s="11" t="s">
        <v>1170</v>
      </c>
      <c r="F117" s="12" t="s">
        <v>6</v>
      </c>
      <c r="G117" s="11"/>
    </row>
    <row r="118" customFormat="false" ht="15" hidden="false" customHeight="true" outlineLevel="0" collapsed="false">
      <c r="A118" s="11" t="s">
        <v>761</v>
      </c>
      <c r="B118" s="11" t="s">
        <v>1159</v>
      </c>
      <c r="C118" s="11" t="s">
        <v>1059</v>
      </c>
      <c r="D118" s="11" t="n">
        <f aca="false">COUNTIF('Recipe Usage'!$D$2:$D$1114,A118)</f>
        <v>2</v>
      </c>
      <c r="E118" s="11" t="s">
        <v>1171</v>
      </c>
      <c r="F118" s="12" t="s">
        <v>6</v>
      </c>
      <c r="G118" s="11"/>
    </row>
    <row r="119" customFormat="false" ht="15" hidden="false" customHeight="true" outlineLevel="0" collapsed="false">
      <c r="A119" s="11" t="s">
        <v>592</v>
      </c>
      <c r="B119" s="11" t="s">
        <v>1159</v>
      </c>
      <c r="C119" s="11" t="s">
        <v>1059</v>
      </c>
      <c r="D119" s="11" t="n">
        <f aca="false">COUNTIF('Recipe Usage'!$D$2:$D$1114,A119)</f>
        <v>1</v>
      </c>
      <c r="E119" s="11" t="s">
        <v>1172</v>
      </c>
      <c r="F119" s="12" t="s">
        <v>6</v>
      </c>
      <c r="G119" s="11"/>
    </row>
    <row r="120" customFormat="false" ht="15" hidden="false" customHeight="true" outlineLevel="0" collapsed="false">
      <c r="A120" s="11" t="s">
        <v>55</v>
      </c>
      <c r="B120" s="11" t="s">
        <v>1159</v>
      </c>
      <c r="C120" s="11" t="s">
        <v>1059</v>
      </c>
      <c r="D120" s="11" t="n">
        <f aca="false">COUNTIF('Recipe Usage'!$D$2:$D$1114,A120)</f>
        <v>3</v>
      </c>
      <c r="E120" s="11" t="s">
        <v>1173</v>
      </c>
      <c r="F120" s="12" t="s">
        <v>6</v>
      </c>
      <c r="G120" s="11"/>
    </row>
    <row r="121" customFormat="false" ht="15" hidden="false" customHeight="true" outlineLevel="0" collapsed="false">
      <c r="A121" s="11" t="s">
        <v>144</v>
      </c>
      <c r="B121" s="11" t="s">
        <v>1159</v>
      </c>
      <c r="C121" s="11" t="s">
        <v>1059</v>
      </c>
      <c r="D121" s="11" t="n">
        <f aca="false">COUNTIF('Recipe Usage'!$D$2:$D$1114,A121)</f>
        <v>1</v>
      </c>
      <c r="E121" s="11" t="s">
        <v>1174</v>
      </c>
      <c r="F121" s="12" t="s">
        <v>6</v>
      </c>
      <c r="G121" s="11"/>
    </row>
    <row r="122" customFormat="false" ht="15" hidden="false" customHeight="true" outlineLevel="0" collapsed="false">
      <c r="A122" s="11" t="s">
        <v>345</v>
      </c>
      <c r="B122" s="11" t="s">
        <v>1159</v>
      </c>
      <c r="C122" s="11" t="s">
        <v>1059</v>
      </c>
      <c r="D122" s="11" t="n">
        <f aca="false">COUNTIF('Recipe Usage'!$D$2:$D$1114,A122)</f>
        <v>2</v>
      </c>
      <c r="E122" s="11" t="s">
        <v>1175</v>
      </c>
      <c r="F122" s="12" t="s">
        <v>6</v>
      </c>
      <c r="G122" s="11"/>
    </row>
    <row r="123" customFormat="false" ht="15" hidden="false" customHeight="true" outlineLevel="0" collapsed="false">
      <c r="A123" s="11" t="s">
        <v>294</v>
      </c>
      <c r="B123" s="11" t="s">
        <v>1159</v>
      </c>
      <c r="C123" s="11" t="s">
        <v>1059</v>
      </c>
      <c r="D123" s="11" t="n">
        <f aca="false">COUNTIF('Recipe Usage'!$D$2:$D$1114,A123)</f>
        <v>1</v>
      </c>
      <c r="E123" s="11" t="s">
        <v>1176</v>
      </c>
      <c r="F123" s="12" t="s">
        <v>6</v>
      </c>
      <c r="G123" s="11"/>
    </row>
    <row r="124" customFormat="false" ht="15" hidden="false" customHeight="true" outlineLevel="0" collapsed="false">
      <c r="A124" s="11" t="s">
        <v>91</v>
      </c>
      <c r="B124" s="11" t="s">
        <v>1159</v>
      </c>
      <c r="C124" s="11" t="s">
        <v>1059</v>
      </c>
      <c r="D124" s="11" t="n">
        <f aca="false">COUNTIF('Recipe Usage'!$D$2:$D$1114,A124)</f>
        <v>3</v>
      </c>
      <c r="E124" s="11" t="s">
        <v>1177</v>
      </c>
      <c r="F124" s="12" t="s">
        <v>6</v>
      </c>
      <c r="G124" s="11"/>
    </row>
    <row r="125" customFormat="false" ht="15" hidden="false" customHeight="true" outlineLevel="0" collapsed="false">
      <c r="A125" s="11" t="s">
        <v>192</v>
      </c>
      <c r="B125" s="11" t="s">
        <v>1159</v>
      </c>
      <c r="C125" s="11" t="s">
        <v>1059</v>
      </c>
      <c r="D125" s="11" t="n">
        <f aca="false">COUNTIF('Recipe Usage'!$D$2:$D$1114,A125)</f>
        <v>12</v>
      </c>
      <c r="E125" s="11" t="s">
        <v>1178</v>
      </c>
      <c r="F125" s="12" t="s">
        <v>6</v>
      </c>
      <c r="G125" s="11"/>
    </row>
    <row r="126" customFormat="false" ht="15" hidden="false" customHeight="true" outlineLevel="0" collapsed="false">
      <c r="A126" s="11" t="s">
        <v>139</v>
      </c>
      <c r="B126" s="11" t="s">
        <v>1159</v>
      </c>
      <c r="C126" s="11" t="s">
        <v>1059</v>
      </c>
      <c r="D126" s="11" t="n">
        <f aca="false">COUNTIF('Recipe Usage'!$D$2:$D$1114,A126)</f>
        <v>5</v>
      </c>
      <c r="E126" s="11" t="s">
        <v>1179</v>
      </c>
      <c r="F126" s="12" t="s">
        <v>6</v>
      </c>
      <c r="G126" s="11"/>
    </row>
    <row r="127" customFormat="false" ht="15" hidden="false" customHeight="true" outlineLevel="0" collapsed="false">
      <c r="A127" s="11" t="s">
        <v>269</v>
      </c>
      <c r="B127" s="11" t="s">
        <v>1159</v>
      </c>
      <c r="C127" s="11" t="s">
        <v>1059</v>
      </c>
      <c r="D127" s="11" t="n">
        <f aca="false">COUNTIF('Recipe Usage'!$D$2:$D$1114,A127)</f>
        <v>3</v>
      </c>
      <c r="E127" s="11" t="s">
        <v>1180</v>
      </c>
      <c r="F127" s="12" t="s">
        <v>6</v>
      </c>
      <c r="G127" s="11"/>
    </row>
    <row r="128" customFormat="false" ht="15" hidden="false" customHeight="true" outlineLevel="0" collapsed="false">
      <c r="A128" s="11" t="s">
        <v>193</v>
      </c>
      <c r="B128" s="11" t="s">
        <v>1159</v>
      </c>
      <c r="C128" s="11" t="s">
        <v>1059</v>
      </c>
      <c r="D128" s="11" t="n">
        <f aca="false">COUNTIF('Recipe Usage'!$D$2:$D$1114,A128)</f>
        <v>3</v>
      </c>
      <c r="E128" s="11" t="s">
        <v>1181</v>
      </c>
      <c r="F128" s="12" t="s">
        <v>6</v>
      </c>
      <c r="G128" s="11"/>
    </row>
    <row r="129" customFormat="false" ht="15" hidden="false" customHeight="true" outlineLevel="0" collapsed="false">
      <c r="A129" s="11" t="s">
        <v>197</v>
      </c>
      <c r="B129" s="11" t="s">
        <v>1159</v>
      </c>
      <c r="C129" s="11" t="s">
        <v>1059</v>
      </c>
      <c r="D129" s="11" t="n">
        <f aca="false">COUNTIF('Recipe Usage'!$D$2:$D$1114,A129)</f>
        <v>2</v>
      </c>
      <c r="E129" s="11" t="s">
        <v>1182</v>
      </c>
      <c r="F129" s="12" t="s">
        <v>6</v>
      </c>
      <c r="G129" s="11"/>
    </row>
    <row r="130" customFormat="false" ht="15" hidden="false" customHeight="true" outlineLevel="0" collapsed="false">
      <c r="A130" s="11" t="s">
        <v>287</v>
      </c>
      <c r="B130" s="11" t="s">
        <v>1159</v>
      </c>
      <c r="C130" s="11" t="s">
        <v>1059</v>
      </c>
      <c r="D130" s="11" t="n">
        <f aca="false">COUNTIF('Recipe Usage'!$D$2:$D$1114,A130)</f>
        <v>7</v>
      </c>
      <c r="E130" s="11" t="s">
        <v>1183</v>
      </c>
      <c r="F130" s="12" t="s">
        <v>6</v>
      </c>
      <c r="G130" s="11"/>
    </row>
    <row r="131" customFormat="false" ht="15" hidden="false" customHeight="true" outlineLevel="0" collapsed="false">
      <c r="A131" s="11" t="s">
        <v>701</v>
      </c>
      <c r="B131" s="11" t="s">
        <v>1159</v>
      </c>
      <c r="C131" s="11" t="s">
        <v>1059</v>
      </c>
      <c r="D131" s="11" t="n">
        <f aca="false">COUNTIF('Recipe Usage'!$D$2:$D$1114,A131)</f>
        <v>1</v>
      </c>
      <c r="E131" s="11" t="s">
        <v>1184</v>
      </c>
      <c r="F131" s="12" t="s">
        <v>6</v>
      </c>
      <c r="G131" s="11"/>
    </row>
    <row r="132" customFormat="false" ht="15" hidden="false" customHeight="true" outlineLevel="0" collapsed="false">
      <c r="A132" s="11" t="s">
        <v>384</v>
      </c>
      <c r="B132" s="11" t="s">
        <v>1159</v>
      </c>
      <c r="C132" s="11" t="s">
        <v>1059</v>
      </c>
      <c r="D132" s="11" t="n">
        <f aca="false">COUNTIF('Recipe Usage'!$D$2:$D$1114,A132)</f>
        <v>9</v>
      </c>
      <c r="E132" s="11" t="s">
        <v>1185</v>
      </c>
      <c r="F132" s="12" t="s">
        <v>6</v>
      </c>
      <c r="G132" s="11"/>
    </row>
    <row r="133" customFormat="false" ht="15" hidden="false" customHeight="true" outlineLevel="0" collapsed="false">
      <c r="A133" s="11" t="s">
        <v>176</v>
      </c>
      <c r="B133" s="11" t="s">
        <v>1159</v>
      </c>
      <c r="C133" s="11" t="s">
        <v>1059</v>
      </c>
      <c r="D133" s="11" t="n">
        <f aca="false">COUNTIF('Recipe Usage'!$D$2:$D$1114,A133)</f>
        <v>5</v>
      </c>
      <c r="E133" s="11" t="s">
        <v>1186</v>
      </c>
      <c r="F133" s="12" t="s">
        <v>6</v>
      </c>
      <c r="G133" s="11"/>
    </row>
    <row r="134" customFormat="false" ht="15" hidden="false" customHeight="true" outlineLevel="0" collapsed="false">
      <c r="A134" s="11" t="s">
        <v>493</v>
      </c>
      <c r="B134" s="11" t="s">
        <v>1159</v>
      </c>
      <c r="C134" s="11" t="s">
        <v>1059</v>
      </c>
      <c r="D134" s="11" t="n">
        <f aca="false">COUNTIF('Recipe Usage'!$D$2:$D$1114,A134)</f>
        <v>3</v>
      </c>
      <c r="E134" s="11" t="s">
        <v>1187</v>
      </c>
      <c r="F134" s="12" t="s">
        <v>6</v>
      </c>
      <c r="G134" s="11"/>
    </row>
    <row r="135" customFormat="false" ht="15" hidden="false" customHeight="true" outlineLevel="0" collapsed="false">
      <c r="A135" s="11" t="s">
        <v>797</v>
      </c>
      <c r="B135" s="11" t="s">
        <v>1159</v>
      </c>
      <c r="C135" s="11" t="s">
        <v>1059</v>
      </c>
      <c r="D135" s="11" t="n">
        <f aca="false">COUNTIF('Recipe Usage'!$D$2:$D$1114,A135)</f>
        <v>2</v>
      </c>
      <c r="E135" s="11" t="s">
        <v>1188</v>
      </c>
      <c r="F135" s="12" t="s">
        <v>6</v>
      </c>
      <c r="G135" s="11"/>
    </row>
    <row r="136" customFormat="false" ht="15" hidden="false" customHeight="true" outlineLevel="0" collapsed="false">
      <c r="A136" s="11" t="s">
        <v>552</v>
      </c>
      <c r="B136" s="11" t="s">
        <v>1159</v>
      </c>
      <c r="C136" s="11" t="s">
        <v>1059</v>
      </c>
      <c r="D136" s="11" t="n">
        <f aca="false">COUNTIF('Recipe Usage'!$D$2:$D$1114,A136)</f>
        <v>2</v>
      </c>
      <c r="E136" s="11" t="s">
        <v>1189</v>
      </c>
      <c r="F136" s="12" t="s">
        <v>6</v>
      </c>
      <c r="G136" s="11"/>
    </row>
    <row r="137" customFormat="false" ht="15" hidden="false" customHeight="true" outlineLevel="0" collapsed="false">
      <c r="A137" s="11" t="s">
        <v>511</v>
      </c>
      <c r="B137" s="11" t="s">
        <v>1190</v>
      </c>
      <c r="C137" s="11" t="s">
        <v>1068</v>
      </c>
      <c r="D137" s="11" t="n">
        <f aca="false">COUNTIF('Recipe Usage'!$D$2:$D$1114,A137)</f>
        <v>2</v>
      </c>
      <c r="E137" s="11" t="s">
        <v>1191</v>
      </c>
      <c r="F137" s="12" t="s">
        <v>6</v>
      </c>
      <c r="G137" s="11"/>
    </row>
    <row r="138" customFormat="false" ht="15" hidden="false" customHeight="true" outlineLevel="0" collapsed="false">
      <c r="A138" s="11" t="s">
        <v>609</v>
      </c>
      <c r="B138" s="11" t="s">
        <v>1190</v>
      </c>
      <c r="C138" s="11" t="s">
        <v>1068</v>
      </c>
      <c r="D138" s="11" t="n">
        <f aca="false">COUNTIF('Recipe Usage'!$D$2:$D$1114,A138)</f>
        <v>2</v>
      </c>
      <c r="E138" s="11" t="s">
        <v>1192</v>
      </c>
      <c r="F138" s="12" t="s">
        <v>6</v>
      </c>
      <c r="G138" s="11"/>
    </row>
    <row r="139" customFormat="false" ht="15" hidden="false" customHeight="true" outlineLevel="0" collapsed="false">
      <c r="A139" s="11" t="s">
        <v>240</v>
      </c>
      <c r="B139" s="11" t="s">
        <v>1190</v>
      </c>
      <c r="C139" s="11" t="s">
        <v>1068</v>
      </c>
      <c r="D139" s="11" t="n">
        <f aca="false">COUNTIF('Recipe Usage'!$D$2:$D$1114,A139)</f>
        <v>8</v>
      </c>
      <c r="E139" s="11" t="s">
        <v>1193</v>
      </c>
      <c r="F139" s="12" t="s">
        <v>6</v>
      </c>
      <c r="G139" s="11"/>
    </row>
    <row r="140" customFormat="false" ht="15" hidden="false" customHeight="true" outlineLevel="0" collapsed="false">
      <c r="A140" s="11" t="s">
        <v>204</v>
      </c>
      <c r="B140" s="11" t="s">
        <v>1190</v>
      </c>
      <c r="C140" s="11" t="s">
        <v>1068</v>
      </c>
      <c r="D140" s="11" t="n">
        <f aca="false">COUNTIF('Recipe Usage'!$D$2:$D$1114,A140)</f>
        <v>7</v>
      </c>
      <c r="E140" s="11" t="s">
        <v>1194</v>
      </c>
      <c r="F140" s="12" t="s">
        <v>6</v>
      </c>
      <c r="G140" s="11"/>
    </row>
    <row r="141" customFormat="false" ht="15" hidden="false" customHeight="true" outlineLevel="0" collapsed="false">
      <c r="A141" s="11" t="s">
        <v>265</v>
      </c>
      <c r="B141" s="11" t="s">
        <v>1190</v>
      </c>
      <c r="C141" s="11" t="s">
        <v>1068</v>
      </c>
      <c r="D141" s="11" t="n">
        <f aca="false">COUNTIF('Recipe Usage'!$D$2:$D$1114,A141)</f>
        <v>3</v>
      </c>
      <c r="E141" s="11" t="s">
        <v>1195</v>
      </c>
      <c r="F141" s="12" t="s">
        <v>6</v>
      </c>
      <c r="G141" s="11"/>
    </row>
    <row r="142" customFormat="false" ht="15" hidden="false" customHeight="true" outlineLevel="0" collapsed="false">
      <c r="A142" s="11" t="s">
        <v>608</v>
      </c>
      <c r="B142" s="11" t="s">
        <v>1190</v>
      </c>
      <c r="C142" s="11" t="s">
        <v>1068</v>
      </c>
      <c r="D142" s="11" t="n">
        <f aca="false">COUNTIF('Recipe Usage'!$D$2:$D$1114,A142)</f>
        <v>3</v>
      </c>
      <c r="E142" s="11" t="s">
        <v>1196</v>
      </c>
      <c r="F142" s="12" t="s">
        <v>6</v>
      </c>
      <c r="G142" s="11"/>
    </row>
    <row r="143" customFormat="false" ht="15" hidden="false" customHeight="true" outlineLevel="0" collapsed="false">
      <c r="A143" s="11" t="s">
        <v>232</v>
      </c>
      <c r="B143" s="11" t="s">
        <v>1197</v>
      </c>
      <c r="C143" s="11" t="s">
        <v>1198</v>
      </c>
      <c r="D143" s="11" t="n">
        <f aca="false">COUNTIF('Recipe Usage'!$D$2:$D$1114,A143)</f>
        <v>6</v>
      </c>
      <c r="E143" s="11" t="s">
        <v>1199</v>
      </c>
      <c r="F143" s="12" t="s">
        <v>6</v>
      </c>
      <c r="G143" s="11"/>
    </row>
    <row r="144" customFormat="false" ht="15" hidden="false" customHeight="true" outlineLevel="0" collapsed="false">
      <c r="A144" s="11" t="s">
        <v>253</v>
      </c>
      <c r="B144" s="11" t="s">
        <v>1197</v>
      </c>
      <c r="C144" s="11" t="s">
        <v>1198</v>
      </c>
      <c r="D144" s="11" t="n">
        <f aca="false">COUNTIF('Recipe Usage'!$D$2:$D$1114,A144)</f>
        <v>5</v>
      </c>
      <c r="E144" s="11" t="s">
        <v>1200</v>
      </c>
      <c r="F144" s="12" t="s">
        <v>6</v>
      </c>
      <c r="G144" s="11"/>
    </row>
    <row r="145" customFormat="false" ht="15" hidden="false" customHeight="true" outlineLevel="0" collapsed="false">
      <c r="A145" s="11" t="s">
        <v>532</v>
      </c>
      <c r="B145" s="11" t="s">
        <v>1197</v>
      </c>
      <c r="C145" s="11" t="s">
        <v>1198</v>
      </c>
      <c r="D145" s="11" t="n">
        <f aca="false">COUNTIF('Recipe Usage'!$D$2:$D$1114,A145)</f>
        <v>5</v>
      </c>
      <c r="E145" s="11" t="s">
        <v>1201</v>
      </c>
      <c r="F145" s="12" t="s">
        <v>6</v>
      </c>
      <c r="G145" s="11"/>
    </row>
    <row r="146" customFormat="false" ht="15" hidden="false" customHeight="true" outlineLevel="0" collapsed="false">
      <c r="A146" s="11" t="s">
        <v>678</v>
      </c>
      <c r="B146" s="11" t="s">
        <v>1197</v>
      </c>
      <c r="C146" s="11" t="s">
        <v>1198</v>
      </c>
      <c r="D146" s="11" t="n">
        <f aca="false">COUNTIF('Recipe Usage'!$D$2:$D$1114,A146)</f>
        <v>1</v>
      </c>
      <c r="E146" s="11" t="s">
        <v>1202</v>
      </c>
      <c r="F146" s="12" t="s">
        <v>6</v>
      </c>
      <c r="G146" s="11"/>
    </row>
    <row r="147" customFormat="false" ht="15" hidden="false" customHeight="true" outlineLevel="0" collapsed="false">
      <c r="A147" s="11" t="s">
        <v>183</v>
      </c>
      <c r="B147" s="11" t="s">
        <v>1197</v>
      </c>
      <c r="C147" s="11" t="s">
        <v>1198</v>
      </c>
      <c r="D147" s="11" t="n">
        <f aca="false">COUNTIF('Recipe Usage'!$D$2:$D$1114,A147)</f>
        <v>2</v>
      </c>
      <c r="E147" s="11" t="s">
        <v>1203</v>
      </c>
      <c r="F147" s="12" t="s">
        <v>6</v>
      </c>
      <c r="G147" s="11"/>
    </row>
    <row r="148" customFormat="false" ht="15" hidden="false" customHeight="true" outlineLevel="0" collapsed="false">
      <c r="A148" s="11" t="s">
        <v>280</v>
      </c>
      <c r="B148" s="11" t="s">
        <v>1197</v>
      </c>
      <c r="C148" s="11" t="s">
        <v>1198</v>
      </c>
      <c r="D148" s="11" t="n">
        <f aca="false">COUNTIF('Recipe Usage'!$D$2:$D$1114,A148)</f>
        <v>5</v>
      </c>
      <c r="E148" s="11" t="s">
        <v>1204</v>
      </c>
      <c r="F148" s="12" t="s">
        <v>6</v>
      </c>
      <c r="G148" s="11"/>
    </row>
    <row r="149" customFormat="false" ht="15" hidden="false" customHeight="true" outlineLevel="0" collapsed="false">
      <c r="A149" s="11" t="s">
        <v>74</v>
      </c>
      <c r="B149" s="11" t="s">
        <v>1197</v>
      </c>
      <c r="C149" s="11" t="s">
        <v>1198</v>
      </c>
      <c r="D149" s="11" t="n">
        <f aca="false">COUNTIF('Recipe Usage'!$D$2:$D$1114,A149)</f>
        <v>10</v>
      </c>
      <c r="E149" s="11" t="s">
        <v>1205</v>
      </c>
      <c r="F149" s="12" t="s">
        <v>6</v>
      </c>
      <c r="G149" s="11"/>
    </row>
    <row r="150" customFormat="false" ht="15" hidden="false" customHeight="true" outlineLevel="0" collapsed="false">
      <c r="A150" s="11" t="s">
        <v>331</v>
      </c>
      <c r="B150" s="11" t="s">
        <v>1197</v>
      </c>
      <c r="C150" s="11" t="s">
        <v>1198</v>
      </c>
      <c r="D150" s="11" t="n">
        <f aca="false">COUNTIF('Recipe Usage'!$D$2:$D$1114,A150)</f>
        <v>8</v>
      </c>
      <c r="E150" s="11" t="s">
        <v>1206</v>
      </c>
      <c r="F150" s="12" t="s">
        <v>6</v>
      </c>
      <c r="G150" s="11"/>
    </row>
    <row r="151" customFormat="false" ht="15" hidden="false" customHeight="true" outlineLevel="0" collapsed="false">
      <c r="A151" s="11" t="s">
        <v>219</v>
      </c>
      <c r="B151" s="11" t="s">
        <v>1197</v>
      </c>
      <c r="C151" s="11" t="s">
        <v>1198</v>
      </c>
      <c r="D151" s="11" t="n">
        <f aca="false">COUNTIF('Recipe Usage'!$D$2:$D$1114,A151)</f>
        <v>9</v>
      </c>
      <c r="E151" s="11" t="s">
        <v>1207</v>
      </c>
      <c r="F151" s="12" t="s">
        <v>6</v>
      </c>
      <c r="G151" s="11"/>
    </row>
    <row r="152" customFormat="false" ht="15" hidden="false" customHeight="true" outlineLevel="0" collapsed="false">
      <c r="A152" s="11" t="s">
        <v>447</v>
      </c>
      <c r="B152" s="11" t="s">
        <v>1197</v>
      </c>
      <c r="C152" s="11" t="s">
        <v>1198</v>
      </c>
      <c r="D152" s="11" t="n">
        <f aca="false">COUNTIF('Recipe Usage'!$D$2:$D$1114,A152)</f>
        <v>4</v>
      </c>
      <c r="E152" s="11" t="s">
        <v>1208</v>
      </c>
      <c r="F152" s="12" t="s">
        <v>6</v>
      </c>
      <c r="G152" s="11"/>
    </row>
    <row r="153" customFormat="false" ht="15" hidden="false" customHeight="true" outlineLevel="0" collapsed="false">
      <c r="A153" s="11" t="s">
        <v>59</v>
      </c>
      <c r="B153" s="11" t="s">
        <v>1197</v>
      </c>
      <c r="C153" s="11" t="s">
        <v>1198</v>
      </c>
      <c r="D153" s="11" t="n">
        <f aca="false">COUNTIF('Recipe Usage'!$D$2:$D$1114,A153)</f>
        <v>5</v>
      </c>
      <c r="E153" s="11" t="s">
        <v>1209</v>
      </c>
      <c r="F153" s="12" t="s">
        <v>6</v>
      </c>
      <c r="G153" s="11"/>
    </row>
    <row r="154" customFormat="false" ht="15" hidden="false" customHeight="true" outlineLevel="0" collapsed="false">
      <c r="A154" s="11" t="s">
        <v>317</v>
      </c>
      <c r="B154" s="11" t="s">
        <v>1197</v>
      </c>
      <c r="C154" s="11" t="s">
        <v>1198</v>
      </c>
      <c r="D154" s="11" t="n">
        <f aca="false">COUNTIF('Recipe Usage'!$D$2:$D$1114,A154)</f>
        <v>8</v>
      </c>
      <c r="E154" s="11" t="s">
        <v>1210</v>
      </c>
      <c r="F154" s="12" t="s">
        <v>6</v>
      </c>
      <c r="G154" s="11"/>
    </row>
    <row r="155" customFormat="false" ht="15" hidden="false" customHeight="true" outlineLevel="0" collapsed="false">
      <c r="A155" s="11" t="s">
        <v>214</v>
      </c>
      <c r="B155" s="11" t="s">
        <v>1197</v>
      </c>
      <c r="C155" s="11" t="s">
        <v>1198</v>
      </c>
      <c r="D155" s="11" t="n">
        <f aca="false">COUNTIF('Recipe Usage'!$D$2:$D$1114,A155)</f>
        <v>4</v>
      </c>
      <c r="E155" s="11" t="s">
        <v>1211</v>
      </c>
      <c r="F155" s="12" t="s">
        <v>6</v>
      </c>
      <c r="G155" s="11"/>
    </row>
    <row r="156" customFormat="false" ht="15" hidden="false" customHeight="true" outlineLevel="0" collapsed="false">
      <c r="A156" s="11" t="s">
        <v>589</v>
      </c>
      <c r="B156" s="11" t="s">
        <v>1197</v>
      </c>
      <c r="C156" s="11" t="s">
        <v>1198</v>
      </c>
      <c r="D156" s="11" t="n">
        <f aca="false">COUNTIF('Recipe Usage'!$D$2:$D$1114,A156)</f>
        <v>4</v>
      </c>
      <c r="E156" s="11" t="s">
        <v>1212</v>
      </c>
      <c r="F156" s="12" t="s">
        <v>6</v>
      </c>
      <c r="G156" s="11"/>
    </row>
    <row r="157" customFormat="false" ht="15" hidden="false" customHeight="true" outlineLevel="0" collapsed="false">
      <c r="A157" s="11" t="s">
        <v>166</v>
      </c>
      <c r="B157" s="11" t="s">
        <v>1197</v>
      </c>
      <c r="C157" s="11" t="s">
        <v>1198</v>
      </c>
      <c r="D157" s="11" t="n">
        <f aca="false">COUNTIF('Recipe Usage'!$D$2:$D$1114,A157)</f>
        <v>3</v>
      </c>
      <c r="E157" s="11" t="s">
        <v>1213</v>
      </c>
      <c r="F157" s="12" t="s">
        <v>6</v>
      </c>
      <c r="G157" s="11"/>
    </row>
    <row r="158" customFormat="false" ht="15" hidden="false" customHeight="true" outlineLevel="0" collapsed="false">
      <c r="A158" s="11" t="s">
        <v>428</v>
      </c>
      <c r="B158" s="11" t="s">
        <v>1197</v>
      </c>
      <c r="C158" s="11" t="s">
        <v>1198</v>
      </c>
      <c r="D158" s="11" t="n">
        <f aca="false">COUNTIF('Recipe Usage'!$D$2:$D$1114,A158)</f>
        <v>8</v>
      </c>
      <c r="E158" s="11" t="s">
        <v>1214</v>
      </c>
      <c r="F158" s="12" t="s">
        <v>6</v>
      </c>
      <c r="G158" s="11"/>
    </row>
    <row r="159" customFormat="false" ht="15" hidden="false" customHeight="true" outlineLevel="0" collapsed="false">
      <c r="A159" s="11" t="s">
        <v>587</v>
      </c>
      <c r="B159" s="11" t="s">
        <v>1197</v>
      </c>
      <c r="C159" s="11" t="s">
        <v>1198</v>
      </c>
      <c r="D159" s="11" t="n">
        <f aca="false">COUNTIF('Recipe Usage'!$D$2:$D$1114,A159)</f>
        <v>3</v>
      </c>
      <c r="E159" s="11" t="s">
        <v>1215</v>
      </c>
      <c r="F159" s="12" t="s">
        <v>6</v>
      </c>
      <c r="G159" s="11"/>
    </row>
    <row r="160" customFormat="false" ht="15" hidden="false" customHeight="true" outlineLevel="0" collapsed="false">
      <c r="A160" s="11" t="s">
        <v>234</v>
      </c>
      <c r="B160" s="11" t="s">
        <v>1197</v>
      </c>
      <c r="C160" s="11" t="s">
        <v>1198</v>
      </c>
      <c r="D160" s="11" t="n">
        <f aca="false">COUNTIF('Recipe Usage'!$D$2:$D$1114,A160)</f>
        <v>2</v>
      </c>
      <c r="E160" s="11" t="s">
        <v>1216</v>
      </c>
      <c r="F160" s="12" t="s">
        <v>6</v>
      </c>
      <c r="G160" s="11"/>
    </row>
    <row r="161" customFormat="false" ht="15" hidden="false" customHeight="true" outlineLevel="0" collapsed="false">
      <c r="A161" s="11" t="s">
        <v>178</v>
      </c>
      <c r="B161" s="11" t="s">
        <v>1197</v>
      </c>
      <c r="C161" s="11" t="s">
        <v>1198</v>
      </c>
      <c r="D161" s="11" t="n">
        <f aca="false">COUNTIF('Recipe Usage'!$D$2:$D$1114,A161)</f>
        <v>12</v>
      </c>
      <c r="E161" s="11" t="s">
        <v>1217</v>
      </c>
      <c r="F161" s="12" t="s">
        <v>6</v>
      </c>
      <c r="G161" s="11"/>
    </row>
    <row r="162" customFormat="false" ht="15" hidden="false" customHeight="true" outlineLevel="0" collapsed="false">
      <c r="A162" s="11" t="s">
        <v>516</v>
      </c>
      <c r="B162" s="11" t="s">
        <v>1197</v>
      </c>
      <c r="C162" s="11" t="s">
        <v>1198</v>
      </c>
      <c r="D162" s="11" t="n">
        <f aca="false">COUNTIF('Recipe Usage'!$D$2:$D$1114,A162)</f>
        <v>4</v>
      </c>
      <c r="E162" s="11" t="s">
        <v>1218</v>
      </c>
      <c r="F162" s="12" t="s">
        <v>6</v>
      </c>
      <c r="G162" s="11"/>
    </row>
    <row r="163" customFormat="false" ht="15" hidden="false" customHeight="true" outlineLevel="0" collapsed="false">
      <c r="A163" s="11" t="s">
        <v>118</v>
      </c>
      <c r="B163" s="11" t="s">
        <v>1197</v>
      </c>
      <c r="C163" s="11" t="s">
        <v>1198</v>
      </c>
      <c r="D163" s="11" t="n">
        <f aca="false">COUNTIF('Recipe Usage'!$D$2:$D$1114,A163)</f>
        <v>14</v>
      </c>
      <c r="E163" s="11" t="s">
        <v>1219</v>
      </c>
      <c r="F163" s="12" t="s">
        <v>6</v>
      </c>
      <c r="G163" s="11"/>
    </row>
    <row r="164" customFormat="false" ht="15" hidden="false" customHeight="true" outlineLevel="0" collapsed="false">
      <c r="A164" s="11" t="s">
        <v>89</v>
      </c>
      <c r="B164" s="11" t="s">
        <v>1197</v>
      </c>
      <c r="C164" s="11" t="s">
        <v>1198</v>
      </c>
      <c r="D164" s="11" t="n">
        <f aca="false">COUNTIF('Recipe Usage'!$D$2:$D$1114,A164)</f>
        <v>7</v>
      </c>
      <c r="E164" s="11" t="s">
        <v>1220</v>
      </c>
      <c r="F164" s="12" t="s">
        <v>6</v>
      </c>
      <c r="G164" s="11"/>
    </row>
    <row r="165" customFormat="false" ht="15" hidden="false" customHeight="true" outlineLevel="0" collapsed="false">
      <c r="A165" s="11" t="s">
        <v>689</v>
      </c>
      <c r="B165" s="11" t="s">
        <v>1197</v>
      </c>
      <c r="C165" s="11" t="s">
        <v>1198</v>
      </c>
      <c r="D165" s="11" t="n">
        <f aca="false">COUNTIF('Recipe Usage'!$D$2:$D$1114,A165)</f>
        <v>2</v>
      </c>
      <c r="E165" s="11" t="s">
        <v>1221</v>
      </c>
      <c r="F165" s="12" t="s">
        <v>6</v>
      </c>
      <c r="G165" s="11"/>
    </row>
    <row r="166" customFormat="false" ht="15" hidden="false" customHeight="true" outlineLevel="0" collapsed="false">
      <c r="A166" s="11" t="s">
        <v>327</v>
      </c>
      <c r="B166" s="11" t="s">
        <v>1197</v>
      </c>
      <c r="C166" s="11" t="s">
        <v>1198</v>
      </c>
      <c r="D166" s="11" t="n">
        <f aca="false">COUNTIF('Recipe Usage'!$D$2:$D$1114,A166)</f>
        <v>4</v>
      </c>
      <c r="E166" s="11" t="s">
        <v>1222</v>
      </c>
      <c r="F166" s="12" t="s">
        <v>6</v>
      </c>
      <c r="G166" s="11"/>
    </row>
    <row r="167" customFormat="false" ht="15" hidden="false" customHeight="true" outlineLevel="0" collapsed="false">
      <c r="A167" s="11" t="s">
        <v>132</v>
      </c>
      <c r="B167" s="11" t="s">
        <v>1197</v>
      </c>
      <c r="C167" s="11" t="s">
        <v>1198</v>
      </c>
      <c r="D167" s="11" t="n">
        <f aca="false">COUNTIF('Recipe Usage'!$D$2:$D$1114,A167)</f>
        <v>4</v>
      </c>
      <c r="E167" s="11" t="s">
        <v>1223</v>
      </c>
      <c r="F167" s="12" t="s">
        <v>6</v>
      </c>
      <c r="G167" s="11"/>
    </row>
    <row r="168" customFormat="false" ht="15" hidden="false" customHeight="true" outlineLevel="0" collapsed="false">
      <c r="A168" s="11" t="s">
        <v>35</v>
      </c>
      <c r="B168" s="11" t="s">
        <v>1197</v>
      </c>
      <c r="C168" s="11" t="s">
        <v>1198</v>
      </c>
      <c r="D168" s="11" t="n">
        <f aca="false">COUNTIF('Recipe Usage'!$D$2:$D$1114,A168)</f>
        <v>10</v>
      </c>
      <c r="E168" s="11" t="s">
        <v>1224</v>
      </c>
      <c r="F168" s="12" t="s">
        <v>6</v>
      </c>
      <c r="G168" s="11"/>
    </row>
    <row r="169" customFormat="false" ht="15" hidden="false" customHeight="true" outlineLevel="0" collapsed="false">
      <c r="A169" s="11" t="s">
        <v>291</v>
      </c>
      <c r="B169" s="11" t="s">
        <v>1197</v>
      </c>
      <c r="C169" s="11" t="s">
        <v>1198</v>
      </c>
      <c r="D169" s="11" t="n">
        <f aca="false">COUNTIF('Recipe Usage'!$D$2:$D$1114,A169)</f>
        <v>4</v>
      </c>
      <c r="E169" s="11" t="s">
        <v>1225</v>
      </c>
      <c r="F169" s="12" t="s">
        <v>6</v>
      </c>
      <c r="G169" s="11"/>
    </row>
    <row r="170" customFormat="false" ht="15" hidden="false" customHeight="true" outlineLevel="0" collapsed="false">
      <c r="A170" s="11" t="s">
        <v>263</v>
      </c>
      <c r="B170" s="11" t="s">
        <v>1197</v>
      </c>
      <c r="C170" s="11" t="s">
        <v>1198</v>
      </c>
      <c r="D170" s="11" t="n">
        <f aca="false">COUNTIF('Recipe Usage'!$D$2:$D$1114,A170)</f>
        <v>3</v>
      </c>
      <c r="E170" s="11" t="s">
        <v>1226</v>
      </c>
      <c r="F170" s="12" t="s">
        <v>6</v>
      </c>
      <c r="G170" s="11"/>
    </row>
    <row r="171" customFormat="false" ht="15" hidden="false" customHeight="true" outlineLevel="0" collapsed="false">
      <c r="A171" s="11" t="s">
        <v>402</v>
      </c>
      <c r="B171" s="11" t="s">
        <v>1197</v>
      </c>
      <c r="C171" s="11" t="s">
        <v>1198</v>
      </c>
      <c r="D171" s="11" t="n">
        <f aca="false">COUNTIF('Recipe Usage'!$D$2:$D$1114,A171)</f>
        <v>7</v>
      </c>
      <c r="E171" s="11" t="s">
        <v>1227</v>
      </c>
      <c r="F171" s="12" t="s">
        <v>6</v>
      </c>
      <c r="G171" s="11"/>
    </row>
    <row r="172" customFormat="false" ht="15" hidden="false" customHeight="true" outlineLevel="0" collapsed="false">
      <c r="A172" s="11" t="s">
        <v>338</v>
      </c>
      <c r="B172" s="11" t="s">
        <v>1197</v>
      </c>
      <c r="C172" s="11" t="s">
        <v>1198</v>
      </c>
      <c r="D172" s="11" t="n">
        <f aca="false">COUNTIF('Recipe Usage'!$D$2:$D$1114,A172)</f>
        <v>3</v>
      </c>
      <c r="E172" s="11" t="s">
        <v>1228</v>
      </c>
      <c r="F172" s="12" t="s">
        <v>6</v>
      </c>
      <c r="G172" s="11"/>
    </row>
    <row r="173" customFormat="false" ht="15" hidden="false" customHeight="true" outlineLevel="0" collapsed="false">
      <c r="A173" s="11" t="s">
        <v>615</v>
      </c>
      <c r="B173" s="11" t="s">
        <v>1197</v>
      </c>
      <c r="C173" s="11" t="s">
        <v>1198</v>
      </c>
      <c r="D173" s="11" t="n">
        <f aca="false">COUNTIF('Recipe Usage'!$D$2:$D$1114,A173)</f>
        <v>2</v>
      </c>
      <c r="E173" s="11" t="s">
        <v>1229</v>
      </c>
      <c r="F173" s="12" t="s">
        <v>6</v>
      </c>
      <c r="G173" s="11"/>
    </row>
    <row r="174" customFormat="false" ht="15" hidden="false" customHeight="true" outlineLevel="0" collapsed="false">
      <c r="A174" s="11" t="s">
        <v>539</v>
      </c>
      <c r="B174" s="11" t="s">
        <v>1230</v>
      </c>
      <c r="C174" s="11" t="s">
        <v>1231</v>
      </c>
      <c r="D174" s="11" t="n">
        <f aca="false">COUNTIF('Recipe Usage'!$D$2:$D$1114,A174)</f>
        <v>1</v>
      </c>
      <c r="E174" s="11" t="s">
        <v>1232</v>
      </c>
      <c r="F174" s="12" t="s">
        <v>6</v>
      </c>
      <c r="G174" s="11"/>
    </row>
    <row r="175" customFormat="false" ht="15" hidden="false" customHeight="true" outlineLevel="0" collapsed="false">
      <c r="A175" s="11" t="s">
        <v>48</v>
      </c>
      <c r="B175" s="11" t="s">
        <v>1230</v>
      </c>
      <c r="C175" s="11" t="s">
        <v>1231</v>
      </c>
      <c r="D175" s="11" t="n">
        <f aca="false">COUNTIF('Recipe Usage'!$D$2:$D$1114,A175)</f>
        <v>3</v>
      </c>
      <c r="E175" s="11" t="s">
        <v>1233</v>
      </c>
      <c r="F175" s="12" t="s">
        <v>6</v>
      </c>
      <c r="G175" s="11"/>
    </row>
    <row r="176" customFormat="false" ht="15" hidden="false" customHeight="true" outlineLevel="0" collapsed="false">
      <c r="A176" s="11" t="s">
        <v>120</v>
      </c>
      <c r="B176" s="11" t="s">
        <v>1230</v>
      </c>
      <c r="C176" s="11" t="s">
        <v>1231</v>
      </c>
      <c r="D176" s="11" t="n">
        <f aca="false">COUNTIF('Recipe Usage'!$D$2:$D$1114,A176)</f>
        <v>3</v>
      </c>
      <c r="E176" s="11" t="s">
        <v>1234</v>
      </c>
      <c r="F176" s="12" t="s">
        <v>6</v>
      </c>
      <c r="G176" s="11"/>
    </row>
    <row r="177" customFormat="false" ht="15" hidden="false" customHeight="true" outlineLevel="0" collapsed="false">
      <c r="A177" s="11" t="s">
        <v>405</v>
      </c>
      <c r="B177" s="11" t="s">
        <v>1230</v>
      </c>
      <c r="C177" s="11" t="s">
        <v>1231</v>
      </c>
      <c r="D177" s="11" t="n">
        <f aca="false">COUNTIF('Recipe Usage'!$D$2:$D$1114,A177)</f>
        <v>2</v>
      </c>
      <c r="E177" s="11" t="s">
        <v>1235</v>
      </c>
      <c r="F177" s="12" t="s">
        <v>6</v>
      </c>
      <c r="G177" s="11"/>
    </row>
    <row r="178" customFormat="false" ht="15" hidden="false" customHeight="true" outlineLevel="0" collapsed="false">
      <c r="A178" s="11" t="s">
        <v>375</v>
      </c>
      <c r="B178" s="11" t="s">
        <v>1230</v>
      </c>
      <c r="C178" s="11" t="s">
        <v>1231</v>
      </c>
      <c r="D178" s="11" t="n">
        <f aca="false">COUNTIF('Recipe Usage'!$D$2:$D$1114,A178)</f>
        <v>6</v>
      </c>
      <c r="E178" s="11" t="s">
        <v>1236</v>
      </c>
      <c r="F178" s="12" t="s">
        <v>6</v>
      </c>
      <c r="G178" s="11"/>
    </row>
    <row r="179" customFormat="false" ht="15" hidden="false" customHeight="true" outlineLevel="0" collapsed="false">
      <c r="A179" s="11" t="s">
        <v>632</v>
      </c>
      <c r="B179" s="11" t="s">
        <v>1230</v>
      </c>
      <c r="C179" s="11" t="s">
        <v>1231</v>
      </c>
      <c r="D179" s="11" t="n">
        <f aca="false">COUNTIF('Recipe Usage'!$D$2:$D$1114,A179)</f>
        <v>3</v>
      </c>
      <c r="E179" s="11" t="s">
        <v>1237</v>
      </c>
      <c r="F179" s="12" t="s">
        <v>6</v>
      </c>
      <c r="G179" s="11"/>
    </row>
    <row r="180" customFormat="false" ht="15" hidden="false" customHeight="true" outlineLevel="0" collapsed="false">
      <c r="A180" s="11" t="s">
        <v>255</v>
      </c>
      <c r="B180" s="11" t="s">
        <v>1230</v>
      </c>
      <c r="C180" s="11" t="s">
        <v>1231</v>
      </c>
      <c r="D180" s="11" t="n">
        <f aca="false">COUNTIF('Recipe Usage'!$D$2:$D$1114,A180)</f>
        <v>6</v>
      </c>
      <c r="E180" s="11" t="s">
        <v>1238</v>
      </c>
      <c r="F180" s="12" t="s">
        <v>6</v>
      </c>
      <c r="G180" s="11"/>
    </row>
    <row r="181" customFormat="false" ht="15" hidden="false" customHeight="true" outlineLevel="0" collapsed="false">
      <c r="A181" s="11" t="s">
        <v>93</v>
      </c>
      <c r="B181" s="11" t="s">
        <v>1230</v>
      </c>
      <c r="C181" s="11" t="s">
        <v>1231</v>
      </c>
      <c r="D181" s="11" t="n">
        <f aca="false">COUNTIF('Recipe Usage'!$D$2:$D$1114,A181)</f>
        <v>5</v>
      </c>
      <c r="E181" s="11" t="s">
        <v>1239</v>
      </c>
      <c r="F181" s="12" t="s">
        <v>6</v>
      </c>
      <c r="G181" s="11"/>
    </row>
    <row r="182" customFormat="false" ht="15" hidden="false" customHeight="true" outlineLevel="0" collapsed="false">
      <c r="A182" s="11" t="s">
        <v>298</v>
      </c>
      <c r="B182" s="11" t="s">
        <v>1230</v>
      </c>
      <c r="C182" s="11" t="s">
        <v>1231</v>
      </c>
      <c r="D182" s="11" t="n">
        <f aca="false">COUNTIF('Recipe Usage'!$D$2:$D$1114,A182)</f>
        <v>4</v>
      </c>
      <c r="E182" s="11" t="s">
        <v>1240</v>
      </c>
      <c r="F182" s="12" t="s">
        <v>6</v>
      </c>
      <c r="G182" s="11"/>
    </row>
    <row r="183" customFormat="false" ht="15" hidden="false" customHeight="true" outlineLevel="0" collapsed="false">
      <c r="A183" s="11" t="s">
        <v>414</v>
      </c>
      <c r="B183" s="11" t="s">
        <v>1230</v>
      </c>
      <c r="C183" s="11" t="s">
        <v>1231</v>
      </c>
      <c r="D183" s="11" t="n">
        <f aca="false">COUNTIF('Recipe Usage'!$D$2:$D$1114,A183)</f>
        <v>3</v>
      </c>
      <c r="E183" s="11" t="s">
        <v>1241</v>
      </c>
      <c r="F183" s="12" t="s">
        <v>6</v>
      </c>
      <c r="G183" s="11"/>
    </row>
    <row r="184" customFormat="false" ht="15" hidden="false" customHeight="true" outlineLevel="0" collapsed="false">
      <c r="A184" s="11" t="s">
        <v>274</v>
      </c>
      <c r="B184" s="11" t="s">
        <v>1230</v>
      </c>
      <c r="C184" s="11" t="s">
        <v>1231</v>
      </c>
      <c r="D184" s="11" t="n">
        <f aca="false">COUNTIF('Recipe Usage'!$D$2:$D$1114,A184)</f>
        <v>2</v>
      </c>
      <c r="E184" s="11" t="s">
        <v>1242</v>
      </c>
      <c r="F184" s="12" t="s">
        <v>6</v>
      </c>
      <c r="G184" s="11"/>
    </row>
    <row r="185" customFormat="false" ht="15" hidden="false" customHeight="true" outlineLevel="0" collapsed="false">
      <c r="A185" s="11" t="s">
        <v>454</v>
      </c>
      <c r="B185" s="11" t="s">
        <v>1230</v>
      </c>
      <c r="C185" s="11" t="s">
        <v>1231</v>
      </c>
      <c r="D185" s="11" t="n">
        <f aca="false">COUNTIF('Recipe Usage'!$D$2:$D$1114,A185)</f>
        <v>3</v>
      </c>
      <c r="E185" s="11" t="s">
        <v>1243</v>
      </c>
      <c r="F185" s="12" t="s">
        <v>6</v>
      </c>
      <c r="G185" s="11"/>
    </row>
    <row r="186" customFormat="false" ht="15" hidden="false" customHeight="true" outlineLevel="0" collapsed="false">
      <c r="A186" s="11" t="s">
        <v>236</v>
      </c>
      <c r="B186" s="11" t="s">
        <v>1230</v>
      </c>
      <c r="C186" s="11" t="s">
        <v>1231</v>
      </c>
      <c r="D186" s="11" t="n">
        <f aca="false">COUNTIF('Recipe Usage'!$D$2:$D$1114,A186)</f>
        <v>6</v>
      </c>
      <c r="E186" s="11" t="s">
        <v>1244</v>
      </c>
      <c r="F186" s="12" t="s">
        <v>6</v>
      </c>
      <c r="G186" s="11"/>
    </row>
    <row r="187" customFormat="false" ht="15" hidden="false" customHeight="true" outlineLevel="0" collapsed="false">
      <c r="A187" s="11" t="s">
        <v>151</v>
      </c>
      <c r="B187" s="11" t="s">
        <v>1230</v>
      </c>
      <c r="C187" s="11" t="s">
        <v>1231</v>
      </c>
      <c r="D187" s="11" t="n">
        <f aca="false">COUNTIF('Recipe Usage'!$D$2:$D$1114,A187)</f>
        <v>2</v>
      </c>
      <c r="E187" s="11" t="s">
        <v>1245</v>
      </c>
      <c r="F187" s="12" t="s">
        <v>6</v>
      </c>
      <c r="G187" s="11"/>
    </row>
    <row r="188" customFormat="false" ht="15" hidden="false" customHeight="true" outlineLevel="0" collapsed="false">
      <c r="A188" s="11" t="s">
        <v>432</v>
      </c>
      <c r="B188" s="11" t="s">
        <v>1230</v>
      </c>
      <c r="C188" s="11" t="s">
        <v>1231</v>
      </c>
      <c r="D188" s="11" t="n">
        <f aca="false">COUNTIF('Recipe Usage'!$D$2:$D$1114,A188)</f>
        <v>3</v>
      </c>
      <c r="E188" s="11" t="s">
        <v>1246</v>
      </c>
      <c r="F188" s="12" t="s">
        <v>6</v>
      </c>
      <c r="G188" s="11"/>
    </row>
    <row r="189" customFormat="false" ht="15" hidden="false" customHeight="true" outlineLevel="0" collapsed="false">
      <c r="A189" s="11" t="s">
        <v>390</v>
      </c>
      <c r="B189" s="11" t="s">
        <v>1230</v>
      </c>
      <c r="C189" s="11" t="s">
        <v>1231</v>
      </c>
      <c r="D189" s="11" t="n">
        <f aca="false">COUNTIF('Recipe Usage'!$D$2:$D$1114,A189)</f>
        <v>2</v>
      </c>
      <c r="E189" s="11" t="s">
        <v>1247</v>
      </c>
      <c r="F189" s="12" t="s">
        <v>6</v>
      </c>
      <c r="G189" s="11"/>
    </row>
    <row r="190" customFormat="false" ht="15" hidden="false" customHeight="true" outlineLevel="0" collapsed="false">
      <c r="A190" s="11" t="s">
        <v>276</v>
      </c>
      <c r="B190" s="11" t="s">
        <v>1248</v>
      </c>
      <c r="C190" s="11" t="s">
        <v>1249</v>
      </c>
      <c r="D190" s="11" t="n">
        <f aca="false">COUNTIF('Recipe Usage'!$D$2:$D$1114,A190)</f>
        <v>6</v>
      </c>
      <c r="E190" s="11" t="s">
        <v>1250</v>
      </c>
      <c r="F190" s="12" t="s">
        <v>6</v>
      </c>
      <c r="G190" s="11"/>
    </row>
    <row r="191" customFormat="false" ht="15" hidden="false" customHeight="true" outlineLevel="0" collapsed="false">
      <c r="A191" s="11" t="s">
        <v>506</v>
      </c>
      <c r="B191" s="11" t="s">
        <v>1248</v>
      </c>
      <c r="C191" s="11" t="s">
        <v>1249</v>
      </c>
      <c r="D191" s="11" t="n">
        <f aca="false">COUNTIF('Recipe Usage'!$D$2:$D$1114,A191)</f>
        <v>3</v>
      </c>
      <c r="E191" s="11" t="s">
        <v>1251</v>
      </c>
      <c r="F191" s="12" t="s">
        <v>6</v>
      </c>
      <c r="G191" s="11"/>
    </row>
    <row r="192" customFormat="false" ht="15" hidden="false" customHeight="true" outlineLevel="0" collapsed="false">
      <c r="A192" s="11" t="s">
        <v>343</v>
      </c>
      <c r="B192" s="11" t="s">
        <v>1248</v>
      </c>
      <c r="C192" s="11" t="s">
        <v>1249</v>
      </c>
      <c r="D192" s="11" t="n">
        <f aca="false">COUNTIF('Recipe Usage'!$D$2:$D$1114,A192)</f>
        <v>2</v>
      </c>
      <c r="E192" s="11" t="s">
        <v>1252</v>
      </c>
      <c r="F192" s="12" t="s">
        <v>6</v>
      </c>
      <c r="G192" s="11"/>
    </row>
    <row r="193" customFormat="false" ht="15" hidden="false" customHeight="true" outlineLevel="0" collapsed="false">
      <c r="A193" s="11" t="s">
        <v>46</v>
      </c>
      <c r="B193" s="11" t="s">
        <v>1248</v>
      </c>
      <c r="C193" s="11" t="s">
        <v>1249</v>
      </c>
      <c r="D193" s="11" t="n">
        <f aca="false">COUNTIF('Recipe Usage'!$D$2:$D$1114,A193)</f>
        <v>2</v>
      </c>
      <c r="E193" s="11" t="s">
        <v>1253</v>
      </c>
      <c r="F193" s="12" t="s">
        <v>6</v>
      </c>
      <c r="G193" s="11"/>
    </row>
    <row r="194" customFormat="false" ht="15" hidden="false" customHeight="true" outlineLevel="0" collapsed="false">
      <c r="A194" s="11" t="s">
        <v>434</v>
      </c>
      <c r="B194" s="11" t="s">
        <v>1248</v>
      </c>
      <c r="C194" s="11" t="s">
        <v>1249</v>
      </c>
      <c r="D194" s="11" t="n">
        <f aca="false">COUNTIF('Recipe Usage'!$D$2:$D$1114,A194)</f>
        <v>1</v>
      </c>
      <c r="E194" s="11" t="s">
        <v>1254</v>
      </c>
      <c r="F194" s="12" t="s">
        <v>6</v>
      </c>
      <c r="G194" s="11"/>
    </row>
    <row r="195" customFormat="false" ht="15" hidden="false" customHeight="true" outlineLevel="0" collapsed="false">
      <c r="A195" s="11" t="s">
        <v>489</v>
      </c>
      <c r="B195" s="11" t="s">
        <v>1248</v>
      </c>
      <c r="C195" s="11" t="s">
        <v>1249</v>
      </c>
      <c r="D195" s="11" t="n">
        <f aca="false">COUNTIF('Recipe Usage'!$D$2:$D$1114,A195)</f>
        <v>1</v>
      </c>
      <c r="E195" s="11" t="s">
        <v>1255</v>
      </c>
      <c r="F195" s="12" t="s">
        <v>6</v>
      </c>
      <c r="G195" s="11"/>
    </row>
    <row r="196" customFormat="false" ht="15" hidden="false" customHeight="true" outlineLevel="0" collapsed="false">
      <c r="A196" s="11" t="s">
        <v>822</v>
      </c>
      <c r="B196" s="11" t="s">
        <v>1248</v>
      </c>
      <c r="C196" s="11" t="s">
        <v>1249</v>
      </c>
      <c r="D196" s="11" t="n">
        <f aca="false">COUNTIF('Recipe Usage'!$D$2:$D$1114,A196)</f>
        <v>1</v>
      </c>
      <c r="E196" s="11" t="s">
        <v>1256</v>
      </c>
      <c r="F196" s="12" t="s">
        <v>6</v>
      </c>
      <c r="G196" s="11"/>
    </row>
    <row r="197" customFormat="false" ht="15" hidden="false" customHeight="true" outlineLevel="0" collapsed="false">
      <c r="A197" s="11" t="s">
        <v>102</v>
      </c>
      <c r="B197" s="11" t="s">
        <v>1248</v>
      </c>
      <c r="C197" s="11" t="s">
        <v>1249</v>
      </c>
      <c r="D197" s="11" t="n">
        <f aca="false">COUNTIF('Recipe Usage'!$D$2:$D$1114,A197)</f>
        <v>8</v>
      </c>
      <c r="E197" s="11" t="s">
        <v>1257</v>
      </c>
      <c r="F197" s="12" t="s">
        <v>6</v>
      </c>
      <c r="G197" s="11"/>
    </row>
    <row r="198" customFormat="false" ht="15" hidden="false" customHeight="true" outlineLevel="0" collapsed="false">
      <c r="A198" s="11" t="s">
        <v>445</v>
      </c>
      <c r="B198" s="11" t="s">
        <v>1248</v>
      </c>
      <c r="C198" s="11" t="s">
        <v>1249</v>
      </c>
      <c r="D198" s="11" t="n">
        <f aca="false">COUNTIF('Recipe Usage'!$D$2:$D$1114,A198)</f>
        <v>2</v>
      </c>
      <c r="E198" s="11" t="s">
        <v>1258</v>
      </c>
      <c r="F198" s="12" t="s">
        <v>6</v>
      </c>
      <c r="G198" s="11"/>
    </row>
    <row r="199" customFormat="false" ht="15" hidden="false" customHeight="true" outlineLevel="0" collapsed="false">
      <c r="A199" s="11" t="s">
        <v>111</v>
      </c>
      <c r="B199" s="11" t="s">
        <v>1259</v>
      </c>
      <c r="C199" s="11" t="s">
        <v>1260</v>
      </c>
      <c r="D199" s="11" t="n">
        <f aca="false">COUNTIF('Recipe Usage'!$D$2:$D$1114,A199)</f>
        <v>6</v>
      </c>
      <c r="E199" s="11" t="s">
        <v>1261</v>
      </c>
      <c r="F199" s="12" t="s">
        <v>6</v>
      </c>
      <c r="G199" s="11"/>
    </row>
    <row r="200" customFormat="false" ht="15" hidden="false" customHeight="true" outlineLevel="0" collapsed="false">
      <c r="A200" s="11" t="s">
        <v>225</v>
      </c>
      <c r="B200" s="11" t="s">
        <v>1259</v>
      </c>
      <c r="C200" s="11" t="s">
        <v>1260</v>
      </c>
      <c r="D200" s="11" t="n">
        <f aca="false">COUNTIF('Recipe Usage'!$D$2:$D$1114,A200)</f>
        <v>8</v>
      </c>
      <c r="E200" s="11" t="s">
        <v>1262</v>
      </c>
      <c r="F200" s="12" t="s">
        <v>6</v>
      </c>
      <c r="G200" s="11"/>
    </row>
    <row r="201" customFormat="false" ht="15" hidden="false" customHeight="true" outlineLevel="0" collapsed="false">
      <c r="A201" s="11" t="s">
        <v>333</v>
      </c>
      <c r="B201" s="11" t="s">
        <v>1259</v>
      </c>
      <c r="C201" s="11" t="s">
        <v>1260</v>
      </c>
      <c r="D201" s="11" t="n">
        <f aca="false">COUNTIF('Recipe Usage'!$D$2:$D$1114,A201)</f>
        <v>5</v>
      </c>
      <c r="E201" s="11" t="s">
        <v>1263</v>
      </c>
      <c r="F201" s="12" t="s">
        <v>6</v>
      </c>
      <c r="G201" s="11"/>
    </row>
    <row r="202" customFormat="false" ht="15" hidden="false" customHeight="true" outlineLevel="0" collapsed="false">
      <c r="A202" s="11" t="s">
        <v>370</v>
      </c>
      <c r="B202" s="11" t="s">
        <v>1259</v>
      </c>
      <c r="C202" s="11" t="s">
        <v>1260</v>
      </c>
      <c r="D202" s="11" t="n">
        <f aca="false">COUNTIF('Recipe Usage'!$D$2:$D$1114,A202)</f>
        <v>7</v>
      </c>
      <c r="E202" s="11" t="s">
        <v>1264</v>
      </c>
      <c r="F202" s="12" t="s">
        <v>6</v>
      </c>
      <c r="G202" s="11"/>
    </row>
    <row r="203" customFormat="false" ht="15" hidden="false" customHeight="true" outlineLevel="0" collapsed="false">
      <c r="A203" s="11" t="s">
        <v>112</v>
      </c>
      <c r="B203" s="11" t="s">
        <v>1259</v>
      </c>
      <c r="C203" s="11" t="s">
        <v>1260</v>
      </c>
      <c r="D203" s="11" t="n">
        <f aca="false">COUNTIF('Recipe Usage'!$D$2:$D$1114,A203)</f>
        <v>5</v>
      </c>
      <c r="E203" s="11" t="s">
        <v>1265</v>
      </c>
      <c r="F203" s="12" t="s">
        <v>6</v>
      </c>
      <c r="G203" s="11"/>
    </row>
    <row r="204" customFormat="false" ht="15" hidden="false" customHeight="true" outlineLevel="0" collapsed="false">
      <c r="A204" s="11" t="s">
        <v>508</v>
      </c>
      <c r="B204" s="11" t="s">
        <v>1259</v>
      </c>
      <c r="C204" s="11" t="s">
        <v>1260</v>
      </c>
      <c r="D204" s="11" t="n">
        <f aca="false">COUNTIF('Recipe Usage'!$D$2:$D$1114,A204)</f>
        <v>3</v>
      </c>
      <c r="E204" s="11" t="s">
        <v>1266</v>
      </c>
      <c r="F204" s="12" t="s">
        <v>6</v>
      </c>
      <c r="G204" s="11"/>
    </row>
    <row r="205" customFormat="false" ht="15" hidden="false" customHeight="true" outlineLevel="0" collapsed="false">
      <c r="A205" s="11" t="s">
        <v>61</v>
      </c>
      <c r="B205" s="11" t="s">
        <v>1259</v>
      </c>
      <c r="C205" s="11" t="s">
        <v>1260</v>
      </c>
      <c r="D205" s="11" t="n">
        <f aca="false">COUNTIF('Recipe Usage'!$D$2:$D$1114,A205)</f>
        <v>7</v>
      </c>
      <c r="E205" s="11" t="s">
        <v>1267</v>
      </c>
      <c r="F205" s="12" t="s">
        <v>6</v>
      </c>
      <c r="G205" s="11"/>
    </row>
    <row r="206" customFormat="false" ht="15" hidden="false" customHeight="true" outlineLevel="0" collapsed="false">
      <c r="A206" s="11" t="s">
        <v>561</v>
      </c>
      <c r="B206" s="11" t="s">
        <v>1259</v>
      </c>
      <c r="C206" s="11" t="s">
        <v>1260</v>
      </c>
      <c r="D206" s="11" t="n">
        <f aca="false">COUNTIF('Recipe Usage'!$D$2:$D$1114,A206)</f>
        <v>4</v>
      </c>
      <c r="E206" s="11" t="s">
        <v>1268</v>
      </c>
      <c r="F206" s="12" t="s">
        <v>6</v>
      </c>
      <c r="G206" s="11"/>
    </row>
    <row r="207" customFormat="false" ht="15" hidden="false" customHeight="true" outlineLevel="0" collapsed="false">
      <c r="A207" s="11" t="s">
        <v>485</v>
      </c>
      <c r="B207" s="11" t="s">
        <v>1259</v>
      </c>
      <c r="C207" s="11" t="s">
        <v>1260</v>
      </c>
      <c r="D207" s="11" t="n">
        <f aca="false">COUNTIF('Recipe Usage'!$D$2:$D$1114,A207)</f>
        <v>3</v>
      </c>
      <c r="E207" s="11" t="s">
        <v>1269</v>
      </c>
      <c r="F207" s="12" t="s">
        <v>6</v>
      </c>
      <c r="G207" s="11"/>
    </row>
    <row r="208" customFormat="false" ht="15" hidden="false" customHeight="true" outlineLevel="0" collapsed="false">
      <c r="A208" s="11" t="s">
        <v>42</v>
      </c>
      <c r="B208" s="11" t="s">
        <v>1259</v>
      </c>
      <c r="C208" s="11" t="s">
        <v>1260</v>
      </c>
      <c r="D208" s="11" t="n">
        <f aca="false">COUNTIF('Recipe Usage'!$D$2:$D$1114,A208)</f>
        <v>5</v>
      </c>
      <c r="E208" s="11" t="s">
        <v>1270</v>
      </c>
      <c r="F208" s="12" t="s">
        <v>6</v>
      </c>
      <c r="G208" s="11"/>
    </row>
    <row r="209" customFormat="false" ht="15" hidden="false" customHeight="true" outlineLevel="0" collapsed="false">
      <c r="A209" s="11" t="s">
        <v>187</v>
      </c>
      <c r="B209" s="11" t="s">
        <v>1259</v>
      </c>
      <c r="C209" s="11" t="s">
        <v>1260</v>
      </c>
      <c r="D209" s="11" t="n">
        <f aca="false">COUNTIF('Recipe Usage'!$D$2:$D$1114,A209)</f>
        <v>10</v>
      </c>
      <c r="E209" s="11" t="s">
        <v>1271</v>
      </c>
      <c r="F209" s="12" t="s">
        <v>6</v>
      </c>
      <c r="G209" s="11"/>
    </row>
    <row r="210" customFormat="false" ht="15" hidden="false" customHeight="true" outlineLevel="0" collapsed="false">
      <c r="A210" s="11" t="s">
        <v>257</v>
      </c>
      <c r="B210" s="11" t="s">
        <v>1259</v>
      </c>
      <c r="C210" s="11" t="s">
        <v>1260</v>
      </c>
      <c r="D210" s="11" t="n">
        <f aca="false">COUNTIF('Recipe Usage'!$D$2:$D$1114,A210)</f>
        <v>4</v>
      </c>
      <c r="E210" s="11" t="s">
        <v>1272</v>
      </c>
      <c r="F210" s="12" t="s">
        <v>6</v>
      </c>
      <c r="G210" s="11"/>
    </row>
    <row r="211" customFormat="false" ht="15" hidden="false" customHeight="true" outlineLevel="0" collapsed="false">
      <c r="A211" s="11" t="s">
        <v>503</v>
      </c>
      <c r="B211" s="11" t="s">
        <v>1259</v>
      </c>
      <c r="C211" s="11" t="s">
        <v>1260</v>
      </c>
      <c r="D211" s="11" t="n">
        <f aca="false">COUNTIF('Recipe Usage'!$D$2:$D$1114,A211)</f>
        <v>4</v>
      </c>
      <c r="E211" s="11" t="s">
        <v>1273</v>
      </c>
      <c r="F211" s="12" t="s">
        <v>6</v>
      </c>
      <c r="G211" s="11"/>
    </row>
    <row r="212" customFormat="false" ht="15" hidden="false" customHeight="true" outlineLevel="0" collapsed="false">
      <c r="A212" s="11" t="s">
        <v>475</v>
      </c>
      <c r="B212" s="11" t="s">
        <v>1259</v>
      </c>
      <c r="C212" s="11" t="s">
        <v>1260</v>
      </c>
      <c r="D212" s="11" t="n">
        <f aca="false">COUNTIF('Recipe Usage'!$D$2:$D$1114,A212)</f>
        <v>3</v>
      </c>
      <c r="E212" s="11" t="s">
        <v>1274</v>
      </c>
      <c r="F212" s="12" t="s">
        <v>6</v>
      </c>
      <c r="G212" s="11"/>
    </row>
    <row r="213" customFormat="false" ht="15" hidden="false" customHeight="true" outlineLevel="0" collapsed="false">
      <c r="A213" s="11" t="s">
        <v>40</v>
      </c>
      <c r="B213" s="11" t="s">
        <v>1259</v>
      </c>
      <c r="C213" s="11" t="s">
        <v>1260</v>
      </c>
      <c r="D213" s="11" t="n">
        <f aca="false">COUNTIF('Recipe Usage'!$D$2:$D$1114,A213)</f>
        <v>3</v>
      </c>
      <c r="E213" s="11" t="s">
        <v>1275</v>
      </c>
      <c r="F213" s="12" t="s">
        <v>6</v>
      </c>
      <c r="G213" s="11"/>
    </row>
    <row r="214" customFormat="false" ht="15" hidden="false" customHeight="true" outlineLevel="0" collapsed="false">
      <c r="A214" s="11" t="s">
        <v>449</v>
      </c>
      <c r="B214" s="11" t="s">
        <v>1259</v>
      </c>
      <c r="C214" s="11" t="s">
        <v>1260</v>
      </c>
      <c r="D214" s="11" t="n">
        <f aca="false">COUNTIF('Recipe Usage'!$D$2:$D$1114,A214)</f>
        <v>4</v>
      </c>
      <c r="E214" s="11" t="s">
        <v>1276</v>
      </c>
      <c r="F214" s="12" t="s">
        <v>6</v>
      </c>
      <c r="G214" s="11"/>
    </row>
    <row r="215" customFormat="false" ht="15" hidden="false" customHeight="true" outlineLevel="0" collapsed="false">
      <c r="A215" s="11" t="s">
        <v>97</v>
      </c>
      <c r="B215" s="11" t="s">
        <v>1259</v>
      </c>
      <c r="C215" s="11" t="s">
        <v>1260</v>
      </c>
      <c r="D215" s="11" t="n">
        <f aca="false">COUNTIF('Recipe Usage'!$D$2:$D$1114,A215)</f>
        <v>1</v>
      </c>
      <c r="E215" s="11" t="s">
        <v>1277</v>
      </c>
      <c r="F215" s="12" t="s">
        <v>6</v>
      </c>
      <c r="G215" s="11"/>
    </row>
    <row r="216" customFormat="false" ht="15" hidden="false" customHeight="true" outlineLevel="0" collapsed="false">
      <c r="A216" s="11" t="s">
        <v>472</v>
      </c>
      <c r="B216" s="11" t="s">
        <v>1259</v>
      </c>
      <c r="C216" s="11" t="s">
        <v>1260</v>
      </c>
      <c r="D216" s="11" t="n">
        <f aca="false">COUNTIF('Recipe Usage'!$D$2:$D$1114,A216)</f>
        <v>1</v>
      </c>
      <c r="E216" s="11" t="s">
        <v>1278</v>
      </c>
      <c r="F216" s="12" t="s">
        <v>6</v>
      </c>
      <c r="G216" s="11"/>
    </row>
    <row r="217" customFormat="false" ht="15" hidden="false" customHeight="true" outlineLevel="0" collapsed="false">
      <c r="A217" s="11" t="s">
        <v>520</v>
      </c>
      <c r="B217" s="11" t="s">
        <v>1259</v>
      </c>
      <c r="C217" s="11" t="s">
        <v>1260</v>
      </c>
      <c r="D217" s="11" t="n">
        <f aca="false">COUNTIF('Recipe Usage'!$D$2:$D$1114,A217)</f>
        <v>5</v>
      </c>
      <c r="E217" s="11" t="s">
        <v>1279</v>
      </c>
      <c r="F217" s="12" t="s">
        <v>6</v>
      </c>
      <c r="G217" s="11"/>
    </row>
    <row r="218" customFormat="false" ht="15" hidden="false" customHeight="true" outlineLevel="0" collapsed="false">
      <c r="A218" s="11" t="s">
        <v>565</v>
      </c>
      <c r="B218" s="11" t="s">
        <v>1259</v>
      </c>
      <c r="C218" s="11" t="s">
        <v>1260</v>
      </c>
      <c r="D218" s="11" t="n">
        <f aca="false">COUNTIF('Recipe Usage'!$D$2:$D$1114,A218)</f>
        <v>4</v>
      </c>
      <c r="E218" s="11" t="s">
        <v>1280</v>
      </c>
      <c r="F218" s="12" t="s">
        <v>6</v>
      </c>
      <c r="G218" s="11"/>
    </row>
    <row r="219" customFormat="false" ht="15" hidden="false" customHeight="true" outlineLevel="0" collapsed="false">
      <c r="A219" s="11" t="s">
        <v>682</v>
      </c>
      <c r="B219" s="11" t="s">
        <v>1281</v>
      </c>
      <c r="C219" s="11" t="s">
        <v>1282</v>
      </c>
      <c r="D219" s="11" t="n">
        <f aca="false">COUNTIF('Recipe Usage'!$D$2:$D$1114,A219)</f>
        <v>1</v>
      </c>
      <c r="E219" s="11" t="s">
        <v>1283</v>
      </c>
      <c r="F219" s="12" t="s">
        <v>6</v>
      </c>
      <c r="G219" s="11"/>
    </row>
    <row r="220" customFormat="false" ht="15" hidden="false" customHeight="true" outlineLevel="0" collapsed="false">
      <c r="A220" s="11" t="s">
        <v>640</v>
      </c>
      <c r="B220" s="11" t="s">
        <v>1281</v>
      </c>
      <c r="C220" s="11" t="s">
        <v>1282</v>
      </c>
      <c r="D220" s="11" t="n">
        <f aca="false">COUNTIF('Recipe Usage'!$D$2:$D$1114,A220)</f>
        <v>1</v>
      </c>
      <c r="E220" s="11" t="s">
        <v>1284</v>
      </c>
      <c r="F220" s="12" t="s">
        <v>6</v>
      </c>
      <c r="G220" s="11"/>
    </row>
    <row r="221" customFormat="false" ht="15" hidden="false" customHeight="true" outlineLevel="0" collapsed="false">
      <c r="A221" s="11" t="s">
        <v>685</v>
      </c>
      <c r="B221" s="11" t="s">
        <v>1281</v>
      </c>
      <c r="C221" s="11" t="s">
        <v>1282</v>
      </c>
      <c r="D221" s="11" t="n">
        <f aca="false">COUNTIF('Recipe Usage'!$D$2:$D$1114,A221)</f>
        <v>1</v>
      </c>
      <c r="E221" s="11" t="s">
        <v>1285</v>
      </c>
      <c r="F221" s="12" t="s">
        <v>6</v>
      </c>
      <c r="G221" s="11"/>
    </row>
    <row r="222" customFormat="false" ht="15" hidden="false" customHeight="true" outlineLevel="0" collapsed="false">
      <c r="A222" s="11" t="s">
        <v>578</v>
      </c>
      <c r="B222" s="11" t="s">
        <v>1281</v>
      </c>
      <c r="C222" s="11" t="s">
        <v>1282</v>
      </c>
      <c r="D222" s="11" t="n">
        <f aca="false">COUNTIF('Recipe Usage'!$D$2:$D$1114,A222)</f>
        <v>2</v>
      </c>
      <c r="E222" s="11" t="s">
        <v>1286</v>
      </c>
      <c r="F222" s="12" t="s">
        <v>6</v>
      </c>
      <c r="G222" s="11"/>
    </row>
    <row r="223" customFormat="false" ht="15" hidden="false" customHeight="true" outlineLevel="0" collapsed="false">
      <c r="A223" s="11" t="s">
        <v>770</v>
      </c>
      <c r="B223" s="11" t="s">
        <v>1281</v>
      </c>
      <c r="C223" s="11" t="s">
        <v>1282</v>
      </c>
      <c r="D223" s="11" t="n">
        <f aca="false">COUNTIF('Recipe Usage'!$D$2:$D$1114,A223)</f>
        <v>1</v>
      </c>
      <c r="E223" s="11" t="s">
        <v>1287</v>
      </c>
      <c r="F223" s="12" t="s">
        <v>6</v>
      </c>
      <c r="G223" s="11"/>
    </row>
    <row r="224" customFormat="false" ht="15" hidden="false" customHeight="true" outlineLevel="0" collapsed="false">
      <c r="A224" s="11" t="s">
        <v>642</v>
      </c>
      <c r="B224" s="11" t="s">
        <v>1281</v>
      </c>
      <c r="C224" s="11" t="s">
        <v>1282</v>
      </c>
      <c r="D224" s="11" t="n">
        <f aca="false">COUNTIF('Recipe Usage'!$D$2:$D$1114,A224)</f>
        <v>3</v>
      </c>
      <c r="E224" s="11" t="s">
        <v>1288</v>
      </c>
      <c r="F224" s="12" t="s">
        <v>6</v>
      </c>
      <c r="G224" s="11"/>
    </row>
    <row r="225" customFormat="false" ht="15" hidden="false" customHeight="true" outlineLevel="0" collapsed="false">
      <c r="A225" s="11" t="s">
        <v>261</v>
      </c>
      <c r="B225" s="11" t="s">
        <v>1281</v>
      </c>
      <c r="C225" s="11" t="s">
        <v>1282</v>
      </c>
      <c r="D225" s="11" t="n">
        <f aca="false">COUNTIF('Recipe Usage'!$D$2:$D$1114,A225)</f>
        <v>2</v>
      </c>
      <c r="E225" s="11" t="s">
        <v>1289</v>
      </c>
      <c r="F225" s="12" t="s">
        <v>6</v>
      </c>
      <c r="G225" s="11"/>
    </row>
    <row r="226" customFormat="false" ht="15" hidden="false" customHeight="true" outlineLevel="0" collapsed="false">
      <c r="A226" s="11" t="s">
        <v>211</v>
      </c>
      <c r="B226" s="11" t="s">
        <v>1281</v>
      </c>
      <c r="C226" s="11" t="s">
        <v>1282</v>
      </c>
      <c r="D226" s="11" t="n">
        <f aca="false">COUNTIF('Recipe Usage'!$D$2:$D$1114,A226)</f>
        <v>1</v>
      </c>
      <c r="E226" s="11" t="s">
        <v>1290</v>
      </c>
      <c r="F226" s="12" t="s">
        <v>6</v>
      </c>
      <c r="G226" s="11"/>
    </row>
    <row r="227" customFormat="false" ht="15" hidden="false" customHeight="true" outlineLevel="0" collapsed="false">
      <c r="A227" s="11" t="s">
        <v>849</v>
      </c>
      <c r="B227" s="11" t="s">
        <v>1281</v>
      </c>
      <c r="C227" s="11" t="s">
        <v>1282</v>
      </c>
      <c r="D227" s="11" t="n">
        <f aca="false">COUNTIF('Recipe Usage'!$D$2:$D$1114,A227)</f>
        <v>2</v>
      </c>
      <c r="E227" s="11" t="s">
        <v>1291</v>
      </c>
      <c r="F227" s="12" t="s">
        <v>6</v>
      </c>
      <c r="G227" s="11"/>
    </row>
    <row r="228" customFormat="false" ht="15" hidden="false" customHeight="true" outlineLevel="0" collapsed="false">
      <c r="A228" s="11" t="s">
        <v>559</v>
      </c>
      <c r="B228" s="11" t="s">
        <v>1281</v>
      </c>
      <c r="C228" s="11" t="s">
        <v>1282</v>
      </c>
      <c r="D228" s="11" t="n">
        <f aca="false">COUNTIF('Recipe Usage'!$D$2:$D$1114,A228)</f>
        <v>1</v>
      </c>
      <c r="E228" s="11" t="s">
        <v>1292</v>
      </c>
      <c r="F228" s="12" t="s">
        <v>6</v>
      </c>
      <c r="G228" s="11"/>
    </row>
    <row r="229" customFormat="false" ht="15" hidden="false" customHeight="true" outlineLevel="0" collapsed="false">
      <c r="A229" s="11" t="s">
        <v>789</v>
      </c>
      <c r="B229" s="11" t="s">
        <v>1281</v>
      </c>
      <c r="C229" s="11" t="s">
        <v>1282</v>
      </c>
      <c r="D229" s="11" t="n">
        <f aca="false">COUNTIF('Recipe Usage'!$D$2:$D$1114,A229)</f>
        <v>1</v>
      </c>
      <c r="E229" s="11" t="s">
        <v>1293</v>
      </c>
      <c r="F229" s="12" t="s">
        <v>6</v>
      </c>
      <c r="G229" s="11"/>
    </row>
    <row r="230" customFormat="false" ht="15" hidden="false" customHeight="true" outlineLevel="0" collapsed="false">
      <c r="A230" s="11" t="s">
        <v>164</v>
      </c>
      <c r="B230" s="11" t="s">
        <v>1281</v>
      </c>
      <c r="C230" s="11" t="s">
        <v>1282</v>
      </c>
      <c r="D230" s="11" t="n">
        <f aca="false">COUNTIF('Recipe Usage'!$D$2:$D$1114,A230)</f>
        <v>7</v>
      </c>
      <c r="E230" s="11" t="s">
        <v>1294</v>
      </c>
      <c r="F230" s="12" t="s">
        <v>6</v>
      </c>
      <c r="G230" s="11"/>
    </row>
    <row r="231" customFormat="false" ht="15" hidden="false" customHeight="true" outlineLevel="0" collapsed="false">
      <c r="A231" s="11" t="s">
        <v>369</v>
      </c>
      <c r="B231" s="11" t="s">
        <v>1281</v>
      </c>
      <c r="C231" s="11" t="s">
        <v>1282</v>
      </c>
      <c r="D231" s="11" t="n">
        <f aca="false">COUNTIF('Recipe Usage'!$D$2:$D$1114,A231)</f>
        <v>2</v>
      </c>
      <c r="E231" s="11" t="s">
        <v>1295</v>
      </c>
      <c r="F231" s="12" t="s">
        <v>6</v>
      </c>
      <c r="G231" s="11"/>
    </row>
    <row r="232" customFormat="false" ht="15" hidden="false" customHeight="true" outlineLevel="0" collapsed="false">
      <c r="A232" s="11" t="s">
        <v>149</v>
      </c>
      <c r="B232" s="11" t="s">
        <v>1296</v>
      </c>
      <c r="C232" s="11" t="s">
        <v>1282</v>
      </c>
      <c r="D232" s="11" t="n">
        <f aca="false">COUNTIF('Recipe Usage'!$D$2:$D$1114,A232)</f>
        <v>9</v>
      </c>
      <c r="E232" s="11" t="s">
        <v>1297</v>
      </c>
      <c r="F232" s="12" t="s">
        <v>6</v>
      </c>
      <c r="G232" s="11"/>
    </row>
    <row r="233" customFormat="false" ht="15" hidden="false" customHeight="true" outlineLevel="0" collapsed="false">
      <c r="A233" s="11" t="s">
        <v>661</v>
      </c>
      <c r="B233" s="11" t="s">
        <v>1296</v>
      </c>
      <c r="C233" s="11" t="s">
        <v>1282</v>
      </c>
      <c r="D233" s="11" t="n">
        <f aca="false">COUNTIF('Recipe Usage'!$D$2:$D$1114,A233)</f>
        <v>1</v>
      </c>
      <c r="E233" s="11" t="s">
        <v>1298</v>
      </c>
      <c r="F233" s="12" t="s">
        <v>6</v>
      </c>
      <c r="G233" s="11"/>
    </row>
    <row r="234" customFormat="false" ht="15" hidden="false" customHeight="true" outlineLevel="0" collapsed="false">
      <c r="A234" s="11" t="s">
        <v>427</v>
      </c>
      <c r="B234" s="11" t="s">
        <v>1296</v>
      </c>
      <c r="C234" s="11" t="s">
        <v>1282</v>
      </c>
      <c r="D234" s="11" t="n">
        <f aca="false">COUNTIF('Recipe Usage'!$D$2:$D$1114,A234)</f>
        <v>2</v>
      </c>
      <c r="E234" s="11" t="s">
        <v>1299</v>
      </c>
      <c r="F234" s="12" t="s">
        <v>6</v>
      </c>
      <c r="G234" s="11"/>
    </row>
    <row r="235" customFormat="false" ht="15" hidden="false" customHeight="true" outlineLevel="0" collapsed="false">
      <c r="A235" s="11" t="s">
        <v>373</v>
      </c>
      <c r="B235" s="11" t="s">
        <v>1296</v>
      </c>
      <c r="C235" s="11" t="s">
        <v>1282</v>
      </c>
      <c r="D235" s="11" t="n">
        <f aca="false">COUNTIF('Recipe Usage'!$D$2:$D$1114,A235)</f>
        <v>2</v>
      </c>
      <c r="E235" s="11" t="s">
        <v>1300</v>
      </c>
      <c r="F235" s="12" t="s">
        <v>6</v>
      </c>
      <c r="G235" s="11"/>
    </row>
    <row r="236" customFormat="false" ht="15" hidden="false" customHeight="true" outlineLevel="0" collapsed="false">
      <c r="A236" s="11" t="s">
        <v>773</v>
      </c>
      <c r="B236" s="11" t="s">
        <v>1296</v>
      </c>
      <c r="C236" s="11" t="s">
        <v>1282</v>
      </c>
      <c r="D236" s="11" t="n">
        <f aca="false">COUNTIF('Recipe Usage'!$D$2:$D$1114,A236)</f>
        <v>1</v>
      </c>
      <c r="E236" s="11" t="s">
        <v>1301</v>
      </c>
      <c r="F236" s="12" t="s">
        <v>6</v>
      </c>
      <c r="G236" s="11"/>
    </row>
    <row r="237" customFormat="false" ht="15" hidden="false" customHeight="true" outlineLevel="0" collapsed="false">
      <c r="A237" s="11" t="s">
        <v>217</v>
      </c>
      <c r="B237" s="11" t="s">
        <v>1296</v>
      </c>
      <c r="C237" s="11" t="s">
        <v>1282</v>
      </c>
      <c r="D237" s="11" t="n">
        <f aca="false">COUNTIF('Recipe Usage'!$D$2:$D$1114,A237)</f>
        <v>3</v>
      </c>
      <c r="E237" s="11" t="s">
        <v>1302</v>
      </c>
      <c r="F237" s="12" t="s">
        <v>6</v>
      </c>
      <c r="G237" s="11"/>
    </row>
    <row r="238" customFormat="false" ht="15" hidden="false" customHeight="true" outlineLevel="0" collapsed="false">
      <c r="A238" s="11" t="s">
        <v>341</v>
      </c>
      <c r="B238" s="11" t="s">
        <v>1296</v>
      </c>
      <c r="C238" s="11" t="s">
        <v>1282</v>
      </c>
      <c r="D238" s="11" t="n">
        <f aca="false">COUNTIF('Recipe Usage'!$D$2:$D$1114,A238)</f>
        <v>5</v>
      </c>
      <c r="E238" s="11" t="s">
        <v>1303</v>
      </c>
      <c r="F238" s="12" t="s">
        <v>6</v>
      </c>
      <c r="G238" s="11"/>
    </row>
    <row r="239" customFormat="false" ht="15" hidden="false" customHeight="true" outlineLevel="0" collapsed="false">
      <c r="A239" s="11" t="s">
        <v>267</v>
      </c>
      <c r="B239" s="11" t="s">
        <v>1296</v>
      </c>
      <c r="C239" s="11" t="s">
        <v>1282</v>
      </c>
      <c r="D239" s="11" t="n">
        <f aca="false">COUNTIF('Recipe Usage'!$D$2:$D$1114,A239)</f>
        <v>1</v>
      </c>
      <c r="E239" s="11" t="s">
        <v>1304</v>
      </c>
      <c r="F239" s="12" t="s">
        <v>6</v>
      </c>
      <c r="G239" s="11"/>
    </row>
    <row r="240" customFormat="false" ht="15" hidden="false" customHeight="true" outlineLevel="0" collapsed="false">
      <c r="A240" s="11" t="s">
        <v>182</v>
      </c>
      <c r="B240" s="11" t="s">
        <v>1296</v>
      </c>
      <c r="C240" s="11" t="s">
        <v>1282</v>
      </c>
      <c r="D240" s="11" t="n">
        <f aca="false">COUNTIF('Recipe Usage'!$D$2:$D$1114,A240)</f>
        <v>1</v>
      </c>
      <c r="E240" s="11" t="s">
        <v>1305</v>
      </c>
      <c r="F240" s="12" t="s">
        <v>6</v>
      </c>
      <c r="G240" s="11"/>
    </row>
    <row r="241" customFormat="false" ht="15" hidden="false" customHeight="true" outlineLevel="0" collapsed="false">
      <c r="A241" s="11" t="s">
        <v>122</v>
      </c>
      <c r="B241" s="11" t="s">
        <v>1296</v>
      </c>
      <c r="C241" s="11" t="s">
        <v>1282</v>
      </c>
      <c r="D241" s="11" t="n">
        <f aca="false">COUNTIF('Recipe Usage'!$D$2:$D$1114,A241)</f>
        <v>1</v>
      </c>
      <c r="E241" s="11" t="s">
        <v>1306</v>
      </c>
      <c r="F241" s="12" t="s">
        <v>6</v>
      </c>
      <c r="G241" s="11"/>
    </row>
    <row r="242" customFormat="false" ht="15" hidden="false" customHeight="true" outlineLevel="0" collapsed="false">
      <c r="A242" s="11" t="s">
        <v>786</v>
      </c>
      <c r="B242" s="11" t="s">
        <v>1296</v>
      </c>
      <c r="C242" s="11" t="s">
        <v>1282</v>
      </c>
      <c r="D242" s="11" t="n">
        <f aca="false">COUNTIF('Recipe Usage'!$D$2:$D$1114,A242)</f>
        <v>1</v>
      </c>
      <c r="E242" s="11" t="s">
        <v>1307</v>
      </c>
      <c r="F242" s="12" t="s">
        <v>6</v>
      </c>
      <c r="G242" s="11"/>
    </row>
    <row r="243" customFormat="false" ht="15" hidden="false" customHeight="true" outlineLevel="0" collapsed="false">
      <c r="A243" s="11" t="s">
        <v>464</v>
      </c>
      <c r="B243" s="11" t="s">
        <v>1296</v>
      </c>
      <c r="C243" s="11" t="s">
        <v>1282</v>
      </c>
      <c r="D243" s="11" t="n">
        <f aca="false">COUNTIF('Recipe Usage'!$D$2:$D$1114,A243)</f>
        <v>2</v>
      </c>
      <c r="E243" s="11" t="s">
        <v>1308</v>
      </c>
      <c r="F243" s="12" t="s">
        <v>6</v>
      </c>
      <c r="G243" s="11"/>
    </row>
    <row r="244" customFormat="false" ht="15" hidden="false" customHeight="true" outlineLevel="0" collapsed="false">
      <c r="A244" s="11" t="s">
        <v>172</v>
      </c>
      <c r="B244" s="11" t="s">
        <v>1296</v>
      </c>
      <c r="C244" s="11" t="s">
        <v>1282</v>
      </c>
      <c r="D244" s="11" t="n">
        <f aca="false">COUNTIF('Recipe Usage'!$D$2:$D$1114,A244)</f>
        <v>12</v>
      </c>
      <c r="E244" s="11" t="s">
        <v>1309</v>
      </c>
      <c r="F244" s="12" t="s">
        <v>6</v>
      </c>
      <c r="G244" s="11"/>
    </row>
    <row r="245" customFormat="false" ht="15" hidden="false" customHeight="true" outlineLevel="0" collapsed="false">
      <c r="A245" s="11" t="s">
        <v>644</v>
      </c>
      <c r="B245" s="11" t="s">
        <v>1296</v>
      </c>
      <c r="C245" s="11" t="s">
        <v>1282</v>
      </c>
      <c r="D245" s="11" t="n">
        <f aca="false">COUNTIF('Recipe Usage'!$D$2:$D$1114,A245)</f>
        <v>1</v>
      </c>
      <c r="E245" s="11" t="s">
        <v>1310</v>
      </c>
      <c r="F245" s="12" t="s">
        <v>6</v>
      </c>
      <c r="G245" s="11"/>
    </row>
    <row r="246" customFormat="false" ht="15" hidden="false" customHeight="true" outlineLevel="0" collapsed="false">
      <c r="A246" s="11" t="s">
        <v>534</v>
      </c>
      <c r="B246" s="11" t="s">
        <v>1296</v>
      </c>
      <c r="C246" s="11" t="s">
        <v>1282</v>
      </c>
      <c r="D246" s="11" t="n">
        <f aca="false">COUNTIF('Recipe Usage'!$D$2:$D$1114,A246)</f>
        <v>2</v>
      </c>
      <c r="E246" s="11" t="s">
        <v>1311</v>
      </c>
      <c r="F246" s="12" t="s">
        <v>6</v>
      </c>
      <c r="G246" s="11"/>
    </row>
    <row r="247" customFormat="false" ht="15" hidden="false" customHeight="true" outlineLevel="0" collapsed="false">
      <c r="A247" s="11" t="s">
        <v>207</v>
      </c>
      <c r="B247" s="11" t="s">
        <v>1296</v>
      </c>
      <c r="C247" s="11" t="s">
        <v>1282</v>
      </c>
      <c r="D247" s="11" t="n">
        <f aca="false">COUNTIF('Recipe Usage'!$D$2:$D$1114,A247)</f>
        <v>7</v>
      </c>
      <c r="E247" s="11" t="s">
        <v>1312</v>
      </c>
      <c r="F247" s="12" t="s">
        <v>6</v>
      </c>
      <c r="G247" s="11"/>
    </row>
    <row r="248" customFormat="false" ht="15" hidden="false" customHeight="true" outlineLevel="0" collapsed="false">
      <c r="A248" s="11" t="s">
        <v>722</v>
      </c>
      <c r="B248" s="11" t="s">
        <v>1296</v>
      </c>
      <c r="C248" s="11" t="s">
        <v>1282</v>
      </c>
      <c r="D248" s="11" t="n">
        <f aca="false">COUNTIF('Recipe Usage'!$D$2:$D$1114,A248)</f>
        <v>1</v>
      </c>
      <c r="E248" s="11" t="s">
        <v>1313</v>
      </c>
      <c r="F248" s="12" t="s">
        <v>6</v>
      </c>
      <c r="G248" s="11"/>
    </row>
    <row r="249" customFormat="false" ht="15" hidden="false" customHeight="true" outlineLevel="0" collapsed="false">
      <c r="A249" s="11" t="s">
        <v>584</v>
      </c>
      <c r="B249" s="11" t="s">
        <v>1296</v>
      </c>
      <c r="C249" s="11" t="s">
        <v>1282</v>
      </c>
      <c r="D249" s="11" t="n">
        <f aca="false">COUNTIF('Recipe Usage'!$D$2:$D$1114,A249)</f>
        <v>2</v>
      </c>
      <c r="E249" s="11" t="s">
        <v>1314</v>
      </c>
      <c r="F249" s="12" t="s">
        <v>6</v>
      </c>
      <c r="G249" s="11"/>
    </row>
    <row r="250" customFormat="false" ht="15" hidden="false" customHeight="true" outlineLevel="0" collapsed="false">
      <c r="A250" s="11" t="s">
        <v>302</v>
      </c>
      <c r="B250" s="11" t="s">
        <v>1296</v>
      </c>
      <c r="C250" s="11" t="s">
        <v>1282</v>
      </c>
      <c r="D250" s="11" t="n">
        <f aca="false">COUNTIF('Recipe Usage'!$D$2:$D$1114,A250)</f>
        <v>2</v>
      </c>
      <c r="E250" s="11" t="s">
        <v>1315</v>
      </c>
      <c r="F250" s="12" t="s">
        <v>6</v>
      </c>
      <c r="G250" s="11"/>
    </row>
    <row r="251" customFormat="false" ht="15" hidden="false" customHeight="true" outlineLevel="0" collapsed="false">
      <c r="A251" s="11" t="s">
        <v>852</v>
      </c>
      <c r="B251" s="11" t="s">
        <v>1296</v>
      </c>
      <c r="C251" s="11" t="s">
        <v>1282</v>
      </c>
      <c r="D251" s="11" t="n">
        <f aca="false">COUNTIF('Recipe Usage'!$D$2:$D$1114,A251)</f>
        <v>1</v>
      </c>
      <c r="E251" s="11" t="s">
        <v>1316</v>
      </c>
      <c r="F251" s="12" t="s">
        <v>6</v>
      </c>
      <c r="G251" s="11"/>
    </row>
    <row r="252" customFormat="false" ht="15" hidden="false" customHeight="true" outlineLevel="0" collapsed="false">
      <c r="A252" s="11" t="s">
        <v>202</v>
      </c>
      <c r="B252" s="11" t="s">
        <v>1317</v>
      </c>
      <c r="C252" s="11" t="s">
        <v>1282</v>
      </c>
      <c r="D252" s="11" t="n">
        <f aca="false">COUNTIF('Recipe Usage'!$D$2:$D$1114,A252)</f>
        <v>1</v>
      </c>
      <c r="E252" s="11" t="s">
        <v>1318</v>
      </c>
      <c r="F252" s="12" t="s">
        <v>6</v>
      </c>
      <c r="G252" s="11"/>
    </row>
    <row r="253" customFormat="false" ht="15" hidden="false" customHeight="true" outlineLevel="0" collapsed="false">
      <c r="A253" s="11" t="s">
        <v>572</v>
      </c>
      <c r="B253" s="11" t="s">
        <v>1317</v>
      </c>
      <c r="C253" s="11" t="s">
        <v>1282</v>
      </c>
      <c r="D253" s="11" t="n">
        <f aca="false">COUNTIF('Recipe Usage'!$D$2:$D$1114,A253)</f>
        <v>2</v>
      </c>
      <c r="E253" s="11" t="s">
        <v>1319</v>
      </c>
      <c r="F253" s="12" t="s">
        <v>6</v>
      </c>
      <c r="G253" s="11"/>
    </row>
    <row r="254" customFormat="false" ht="15" hidden="false" customHeight="true" outlineLevel="0" collapsed="false">
      <c r="A254" s="11" t="s">
        <v>300</v>
      </c>
      <c r="B254" s="11" t="s">
        <v>1317</v>
      </c>
      <c r="C254" s="11" t="s">
        <v>1282</v>
      </c>
      <c r="D254" s="11" t="n">
        <f aca="false">COUNTIF('Recipe Usage'!$D$2:$D$1114,A254)</f>
        <v>4</v>
      </c>
      <c r="E254" s="11" t="s">
        <v>1320</v>
      </c>
      <c r="F254" s="12" t="s">
        <v>6</v>
      </c>
      <c r="G254" s="11"/>
    </row>
    <row r="255" customFormat="false" ht="15" hidden="false" customHeight="true" outlineLevel="0" collapsed="false">
      <c r="A255" s="11" t="s">
        <v>777</v>
      </c>
      <c r="B255" s="11" t="s">
        <v>1317</v>
      </c>
      <c r="C255" s="11" t="s">
        <v>1282</v>
      </c>
      <c r="D255" s="11" t="n">
        <f aca="false">COUNTIF('Recipe Usage'!$D$2:$D$1114,A255)</f>
        <v>1</v>
      </c>
      <c r="E255" s="11" t="s">
        <v>1321</v>
      </c>
      <c r="F255" s="12" t="s">
        <v>6</v>
      </c>
      <c r="G255" s="11"/>
    </row>
    <row r="256" customFormat="false" ht="15" hidden="false" customHeight="true" outlineLevel="0" collapsed="false">
      <c r="A256" s="11" t="s">
        <v>649</v>
      </c>
      <c r="B256" s="11" t="s">
        <v>1317</v>
      </c>
      <c r="C256" s="11" t="s">
        <v>1282</v>
      </c>
      <c r="D256" s="11" t="n">
        <f aca="false">COUNTIF('Recipe Usage'!$D$2:$D$1114,A256)</f>
        <v>2</v>
      </c>
      <c r="E256" s="11" t="s">
        <v>1322</v>
      </c>
      <c r="F256" s="12" t="s">
        <v>6</v>
      </c>
      <c r="G256" s="11"/>
    </row>
    <row r="257" customFormat="false" ht="15" hidden="false" customHeight="true" outlineLevel="0" collapsed="false">
      <c r="A257" s="11" t="s">
        <v>173</v>
      </c>
      <c r="B257" s="11" t="s">
        <v>1317</v>
      </c>
      <c r="C257" s="11" t="s">
        <v>1282</v>
      </c>
      <c r="D257" s="11" t="n">
        <f aca="false">COUNTIF('Recipe Usage'!$D$2:$D$1114,A257)</f>
        <v>2</v>
      </c>
      <c r="E257" s="11" t="s">
        <v>1323</v>
      </c>
      <c r="F257" s="12" t="s">
        <v>6</v>
      </c>
      <c r="G257" s="11"/>
    </row>
    <row r="258" customFormat="false" ht="15" hidden="false" customHeight="true" outlineLevel="0" collapsed="false">
      <c r="A258" s="11" t="s">
        <v>336</v>
      </c>
      <c r="B258" s="11" t="s">
        <v>1317</v>
      </c>
      <c r="C258" s="11" t="s">
        <v>1282</v>
      </c>
      <c r="D258" s="11" t="n">
        <f aca="false">COUNTIF('Recipe Usage'!$D$2:$D$1114,A258)</f>
        <v>1</v>
      </c>
      <c r="E258" s="11" t="s">
        <v>1324</v>
      </c>
      <c r="F258" s="12" t="s">
        <v>6</v>
      </c>
      <c r="G258" s="11"/>
    </row>
    <row r="259" customFormat="false" ht="15" hidden="false" customHeight="true" outlineLevel="0" collapsed="false">
      <c r="A259" s="11" t="s">
        <v>579</v>
      </c>
      <c r="B259" s="11" t="s">
        <v>1317</v>
      </c>
      <c r="C259" s="11" t="s">
        <v>1282</v>
      </c>
      <c r="D259" s="11" t="n">
        <f aca="false">COUNTIF('Recipe Usage'!$D$2:$D$1114,A259)</f>
        <v>1</v>
      </c>
      <c r="E259" s="11" t="s">
        <v>1325</v>
      </c>
      <c r="F259" s="12" t="s">
        <v>6</v>
      </c>
      <c r="G259" s="11"/>
    </row>
    <row r="260" customFormat="false" ht="15" hidden="false" customHeight="true" outlineLevel="0" collapsed="false"/>
    <row r="261" customFormat="false" ht="15" hidden="false" customHeight="true" outlineLevel="0" collapsed="false"/>
  </sheetData>
  <autoFilter ref="A1:G259"/>
  <dataValidations count="1">
    <dataValidation allowBlank="true" errorStyle="stop" operator="between" showDropDown="false" showErrorMessage="false" showInputMessage="false" sqref="F2:F259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2"/>
    <col collapsed="false" customWidth="true" hidden="false" outlineLevel="0" max="3" min="3" style="1" width="30"/>
    <col collapsed="false" customWidth="true" hidden="false" outlineLevel="0" max="4" min="4" style="1" width="9"/>
    <col collapsed="false" customWidth="true" hidden="false" outlineLevel="0" max="5" min="5" style="1" width="10"/>
    <col collapsed="false" customWidth="true" hidden="false" outlineLevel="0" max="6" min="6" style="1" width="4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44"/>
    <col collapsed="false" customWidth="true" hidden="true" outlineLevel="0" max="11" min="10" style="1" width="30"/>
    <col collapsed="false" customWidth="true" hidden="true" outlineLevel="0" max="12" min="12" style="1" width="13"/>
  </cols>
  <sheetData>
    <row r="1" customFormat="false" ht="15" hidden="false" customHeight="true" outlineLevel="0" collapsed="false">
      <c r="A1" s="4" t="s">
        <v>1039</v>
      </c>
      <c r="B1" s="4" t="s">
        <v>866</v>
      </c>
      <c r="C1" s="4" t="s">
        <v>1326</v>
      </c>
      <c r="D1" s="4" t="s">
        <v>1327</v>
      </c>
      <c r="E1" s="4" t="s">
        <v>940</v>
      </c>
      <c r="F1" s="4" t="s">
        <v>1328</v>
      </c>
      <c r="G1" s="4" t="s">
        <v>1329</v>
      </c>
      <c r="H1" s="4" t="s">
        <v>1330</v>
      </c>
      <c r="I1" s="4" t="s">
        <v>1331</v>
      </c>
      <c r="J1" s="4" t="s">
        <v>1332</v>
      </c>
      <c r="K1" s="4" t="s">
        <v>1333</v>
      </c>
      <c r="L1" s="4" t="s">
        <v>1334</v>
      </c>
    </row>
    <row r="2" customFormat="false" ht="23.25" hidden="false" customHeight="true" outlineLevel="0" collapsed="false">
      <c r="A2" s="13" t="s">
        <v>189</v>
      </c>
      <c r="B2" s="13" t="s">
        <v>1045</v>
      </c>
      <c r="C2" s="14" t="s">
        <v>1335</v>
      </c>
      <c r="D2" s="15" t="s">
        <v>1336</v>
      </c>
      <c r="E2" s="15" t="s">
        <v>1337</v>
      </c>
      <c r="F2" s="14" t="s">
        <v>1338</v>
      </c>
      <c r="G2" s="13" t="n">
        <f aca="false">IF(OR(D2="—",D2="",K2=""),"",COUNTIF($J$2:$J$259,J2)-1)</f>
        <v>0</v>
      </c>
      <c r="H2" s="15"/>
      <c r="I2" s="14"/>
      <c r="J2" s="5" t="str">
        <f aca="false">K2&amp;"|"&amp;D2&amp;"|"&amp;E2</f>
        <v>calm,dreams,intuition,release|Mind|Gentle</v>
      </c>
      <c r="K2" s="5" t="s">
        <v>1339</v>
      </c>
      <c r="L2" s="5" t="str">
        <f aca="false">", "&amp;C2&amp;", "</f>
        <v>, intuition, dreams, release, calm, </v>
      </c>
    </row>
    <row r="3" customFormat="false" ht="23.25" hidden="false" customHeight="true" outlineLevel="0" collapsed="false">
      <c r="A3" s="13" t="s">
        <v>310</v>
      </c>
      <c r="B3" s="13" t="s">
        <v>1045</v>
      </c>
      <c r="C3" s="14" t="s">
        <v>1340</v>
      </c>
      <c r="D3" s="15" t="s">
        <v>1336</v>
      </c>
      <c r="E3" s="15" t="s">
        <v>1341</v>
      </c>
      <c r="F3" s="14" t="s">
        <v>1342</v>
      </c>
      <c r="G3" s="13" t="n">
        <f aca="false">IF(OR(D3="—",D3="",K3=""),"",COUNTIF($J$2:$J$259,J3)-1)</f>
        <v>0</v>
      </c>
      <c r="H3" s="15"/>
      <c r="I3" s="14"/>
      <c r="J3" s="5" t="str">
        <f aca="false">K3&amp;"|"&amp;D3&amp;"|"&amp;E3</f>
        <v>confidence,courage,energy,joy,success|Mind|Strong</v>
      </c>
      <c r="K3" s="5" t="s">
        <v>1343</v>
      </c>
      <c r="L3" s="5" t="str">
        <f aca="false">", "&amp;C3&amp;", "</f>
        <v>, confidence, success, energy, joy, courage, </v>
      </c>
    </row>
    <row r="4" customFormat="false" ht="23.25" hidden="false" customHeight="true" outlineLevel="0" collapsed="false">
      <c r="A4" s="13" t="s">
        <v>129</v>
      </c>
      <c r="B4" s="13" t="s">
        <v>1045</v>
      </c>
      <c r="C4" s="14" t="s">
        <v>1344</v>
      </c>
      <c r="D4" s="15" t="s">
        <v>1345</v>
      </c>
      <c r="E4" s="15" t="s">
        <v>1337</v>
      </c>
      <c r="F4" s="14" t="s">
        <v>1346</v>
      </c>
      <c r="G4" s="13" t="n">
        <f aca="false">IF(OR(D4="—",D4="",K4=""),"",COUNTIF($J$2:$J$259,J4)-1)</f>
        <v>0</v>
      </c>
      <c r="H4" s="15"/>
      <c r="I4" s="14"/>
      <c r="J4" s="5" t="str">
        <f aca="false">K4&amp;"|"&amp;D4&amp;"|"&amp;E4</f>
        <v>cleansing,growth,healing|Body|Gentle</v>
      </c>
      <c r="K4" s="5" t="s">
        <v>1347</v>
      </c>
      <c r="L4" s="5" t="str">
        <f aca="false">", "&amp;C4&amp;", "</f>
        <v>, cleansing, healing, growth, </v>
      </c>
    </row>
    <row r="5" customFormat="false" ht="15" hidden="false" customHeight="true" outlineLevel="0" collapsed="false">
      <c r="A5" s="13" t="s">
        <v>85</v>
      </c>
      <c r="B5" s="13" t="s">
        <v>1045</v>
      </c>
      <c r="C5" s="14" t="s">
        <v>1348</v>
      </c>
      <c r="D5" s="15" t="s">
        <v>1345</v>
      </c>
      <c r="E5" s="15" t="s">
        <v>1337</v>
      </c>
      <c r="F5" s="14" t="s">
        <v>1349</v>
      </c>
      <c r="G5" s="13" t="n">
        <f aca="false">IF(OR(D5="—",D5="",K5=""),"",COUNTIF($J$2:$J$259,J5)-1)</f>
        <v>0</v>
      </c>
      <c r="H5" s="15"/>
      <c r="I5" s="14"/>
      <c r="J5" s="5" t="str">
        <f aca="false">K5&amp;"|"&amp;D5&amp;"|"&amp;E5</f>
        <v>beauty,beginnings,wonder|Body|Gentle</v>
      </c>
      <c r="K5" s="5" t="s">
        <v>1350</v>
      </c>
      <c r="L5" s="5" t="str">
        <f aca="false">", "&amp;C5&amp;", "</f>
        <v>, beauty, beginnings, wonder, </v>
      </c>
    </row>
    <row r="6" customFormat="false" ht="23.25" hidden="false" customHeight="true" outlineLevel="0" collapsed="false">
      <c r="A6" s="13" t="s">
        <v>515</v>
      </c>
      <c r="B6" s="13" t="s">
        <v>1045</v>
      </c>
      <c r="C6" s="14" t="s">
        <v>1351</v>
      </c>
      <c r="D6" s="15" t="s">
        <v>1352</v>
      </c>
      <c r="E6" s="15" t="s">
        <v>1341</v>
      </c>
      <c r="F6" s="14" t="s">
        <v>1353</v>
      </c>
      <c r="G6" s="13" t="n">
        <f aca="false">IF(OR(D6="—",D6="",K6=""),"",COUNTIF($J$2:$J$259,J6)-1)</f>
        <v>0</v>
      </c>
      <c r="H6" s="15"/>
      <c r="I6" s="14"/>
      <c r="J6" s="5" t="str">
        <f aca="false">K6&amp;"|"&amp;D6&amp;"|"&amp;E6</f>
        <v>connection,release|Space|Strong</v>
      </c>
      <c r="K6" s="5" t="s">
        <v>1354</v>
      </c>
      <c r="L6" s="5" t="str">
        <f aca="false">", "&amp;C6&amp;", "</f>
        <v>, release, connection, </v>
      </c>
    </row>
    <row r="7" customFormat="false" ht="15" hidden="false" customHeight="true" outlineLevel="0" collapsed="false">
      <c r="A7" s="13" t="s">
        <v>569</v>
      </c>
      <c r="B7" s="13" t="s">
        <v>1045</v>
      </c>
      <c r="C7" s="14"/>
      <c r="D7" s="15" t="s">
        <v>880</v>
      </c>
      <c r="E7" s="15" t="s">
        <v>880</v>
      </c>
      <c r="F7" s="14" t="s">
        <v>1355</v>
      </c>
      <c r="G7" s="13" t="str">
        <f aca="false">IF(OR(D7="—",D7="",K7=""),"",COUNTIF($J$2:$J$259,J7)-1)</f>
        <v/>
      </c>
      <c r="H7" s="15"/>
      <c r="I7" s="14"/>
      <c r="J7" s="5" t="str">
        <f aca="false">K7&amp;"|"&amp;D7&amp;"|"&amp;E7</f>
        <v>|—|—</v>
      </c>
      <c r="K7" s="5"/>
      <c r="L7" s="5" t="str">
        <f aca="false">", "&amp;C7&amp;", "</f>
        <v>, , </v>
      </c>
    </row>
    <row r="8" customFormat="false" ht="15" hidden="false" customHeight="true" outlineLevel="0" collapsed="false">
      <c r="A8" s="13" t="s">
        <v>26</v>
      </c>
      <c r="B8" s="13" t="s">
        <v>1045</v>
      </c>
      <c r="C8" s="14" t="s">
        <v>1356</v>
      </c>
      <c r="D8" s="15" t="s">
        <v>1336</v>
      </c>
      <c r="E8" s="15" t="s">
        <v>1337</v>
      </c>
      <c r="F8" s="14" t="s">
        <v>1357</v>
      </c>
      <c r="G8" s="13" t="n">
        <f aca="false">IF(OR(D8="—",D8="",K8=""),"",COUNTIF($J$2:$J$259,J8)-1)</f>
        <v>0</v>
      </c>
      <c r="H8" s="15"/>
      <c r="I8" s="14"/>
      <c r="J8" s="5" t="str">
        <f aca="false">K8&amp;"|"&amp;D8&amp;"|"&amp;E8</f>
        <v>beauty,confidence,love,self-love|Mind|Gentle</v>
      </c>
      <c r="K8" s="5" t="s">
        <v>1358</v>
      </c>
      <c r="L8" s="5" t="str">
        <f aca="false">", "&amp;C8&amp;", "</f>
        <v>, love, beauty, self-love, confidence, </v>
      </c>
    </row>
    <row r="9" customFormat="false" ht="15" hidden="false" customHeight="true" outlineLevel="0" collapsed="false">
      <c r="A9" s="13" t="s">
        <v>393</v>
      </c>
      <c r="B9" s="13" t="s">
        <v>1045</v>
      </c>
      <c r="C9" s="14" t="s">
        <v>1359</v>
      </c>
      <c r="D9" s="15" t="s">
        <v>1336</v>
      </c>
      <c r="E9" s="15" t="s">
        <v>1337</v>
      </c>
      <c r="F9" s="14" t="s">
        <v>1360</v>
      </c>
      <c r="G9" s="13" t="n">
        <f aca="false">IF(OR(D9="—",D9="",K9=""),"",COUNTIF($J$2:$J$259,J9)-1)</f>
        <v>0</v>
      </c>
      <c r="H9" s="15"/>
      <c r="I9" s="14"/>
      <c r="J9" s="5" t="str">
        <f aca="false">K9&amp;"|"&amp;D9&amp;"|"&amp;E9</f>
        <v>beginnings,growth,intuition|Mind|Gentle</v>
      </c>
      <c r="K9" s="5" t="s">
        <v>1361</v>
      </c>
      <c r="L9" s="5" t="str">
        <f aca="false">", "&amp;C9&amp;", "</f>
        <v>, beginnings, intuition, growth, </v>
      </c>
    </row>
    <row r="10" customFormat="false" ht="15" hidden="false" customHeight="true" outlineLevel="0" collapsed="false">
      <c r="A10" s="13" t="s">
        <v>39</v>
      </c>
      <c r="B10" s="13" t="s">
        <v>1045</v>
      </c>
      <c r="C10" s="14" t="s">
        <v>1362</v>
      </c>
      <c r="D10" s="15" t="s">
        <v>1352</v>
      </c>
      <c r="E10" s="15" t="s">
        <v>1337</v>
      </c>
      <c r="F10" s="14" t="s">
        <v>1363</v>
      </c>
      <c r="G10" s="13" t="n">
        <f aca="false">IF(OR(D10="—",D10="",K10=""),"",COUNTIF($J$2:$J$259,J10)-1)</f>
        <v>0</v>
      </c>
      <c r="H10" s="15"/>
      <c r="I10" s="14"/>
      <c r="J10" s="5" t="str">
        <f aca="false">K10&amp;"|"&amp;D10&amp;"|"&amp;E10</f>
        <v>attraction,connection,wonder|Space|Gentle</v>
      </c>
      <c r="K10" s="5" t="s">
        <v>1364</v>
      </c>
      <c r="L10" s="5" t="str">
        <f aca="false">", "&amp;C10&amp;", "</f>
        <v>, connection, attraction, wonder, </v>
      </c>
    </row>
    <row r="11" customFormat="false" ht="15" hidden="false" customHeight="true" outlineLevel="0" collapsed="false">
      <c r="A11" s="13" t="s">
        <v>437</v>
      </c>
      <c r="B11" s="13" t="s">
        <v>1045</v>
      </c>
      <c r="C11" s="14" t="s">
        <v>1365</v>
      </c>
      <c r="D11" s="15" t="s">
        <v>1345</v>
      </c>
      <c r="E11" s="15" t="s">
        <v>1337</v>
      </c>
      <c r="F11" s="14" t="s">
        <v>1366</v>
      </c>
      <c r="G11" s="13" t="n">
        <f aca="false">IF(OR(D11="—",D11="",K11=""),"",COUNTIF($J$2:$J$259,J11)-1)</f>
        <v>0</v>
      </c>
      <c r="H11" s="15"/>
      <c r="I11" s="14"/>
      <c r="J11" s="5" t="str">
        <f aca="false">K11&amp;"|"&amp;D11&amp;"|"&amp;E11</f>
        <v>calm,cleansing,rest|Body|Gentle</v>
      </c>
      <c r="K11" s="5" t="s">
        <v>1367</v>
      </c>
      <c r="L11" s="5" t="str">
        <f aca="false">", "&amp;C11&amp;", "</f>
        <v>, rest, calm, cleansing, </v>
      </c>
    </row>
    <row r="12" customFormat="false" ht="15" hidden="false" customHeight="true" outlineLevel="0" collapsed="false">
      <c r="A12" s="13" t="s">
        <v>548</v>
      </c>
      <c r="B12" s="13" t="s">
        <v>1045</v>
      </c>
      <c r="C12" s="14" t="s">
        <v>1368</v>
      </c>
      <c r="D12" s="15" t="s">
        <v>1336</v>
      </c>
      <c r="E12" s="15" t="s">
        <v>1341</v>
      </c>
      <c r="F12" s="14" t="s">
        <v>1369</v>
      </c>
      <c r="G12" s="13" t="n">
        <f aca="false">IF(OR(D12="—",D12="",K12=""),"",COUNTIF($J$2:$J$259,J12)-1)</f>
        <v>0</v>
      </c>
      <c r="H12" s="15"/>
      <c r="I12" s="14"/>
      <c r="J12" s="5" t="str">
        <f aca="false">K12&amp;"|"&amp;D12&amp;"|"&amp;E12</f>
        <v>creativity,energy|Mind|Strong</v>
      </c>
      <c r="K12" s="5" t="s">
        <v>1370</v>
      </c>
      <c r="L12" s="5" t="str">
        <f aca="false">", "&amp;C12&amp;", "</f>
        <v>, energy, creativity, </v>
      </c>
    </row>
    <row r="13" customFormat="false" ht="15" hidden="false" customHeight="true" outlineLevel="0" collapsed="false">
      <c r="A13" s="13" t="s">
        <v>65</v>
      </c>
      <c r="B13" s="13" t="s">
        <v>1058</v>
      </c>
      <c r="C13" s="14"/>
      <c r="D13" s="15" t="s">
        <v>880</v>
      </c>
      <c r="E13" s="15" t="s">
        <v>880</v>
      </c>
      <c r="F13" s="14" t="s">
        <v>1371</v>
      </c>
      <c r="G13" s="13" t="str">
        <f aca="false">IF(OR(D13="—",D13="",K13=""),"",COUNTIF($J$2:$J$259,J13)-1)</f>
        <v/>
      </c>
      <c r="H13" s="15"/>
      <c r="I13" s="14"/>
      <c r="J13" s="5" t="str">
        <f aca="false">K13&amp;"|"&amp;D13&amp;"|"&amp;E13</f>
        <v>|—|—</v>
      </c>
      <c r="K13" s="5"/>
      <c r="L13" s="5" t="str">
        <f aca="false">", "&amp;C13&amp;", "</f>
        <v>, , </v>
      </c>
    </row>
    <row r="14" customFormat="false" ht="15" hidden="false" customHeight="true" outlineLevel="0" collapsed="false">
      <c r="A14" s="13" t="s">
        <v>423</v>
      </c>
      <c r="B14" s="13" t="s">
        <v>1058</v>
      </c>
      <c r="C14" s="14"/>
      <c r="D14" s="15" t="s">
        <v>880</v>
      </c>
      <c r="E14" s="15" t="s">
        <v>880</v>
      </c>
      <c r="F14" s="14" t="s">
        <v>1372</v>
      </c>
      <c r="G14" s="13" t="str">
        <f aca="false">IF(OR(D14="—",D14="",K14=""),"",COUNTIF($J$2:$J$259,J14)-1)</f>
        <v/>
      </c>
      <c r="H14" s="15"/>
      <c r="I14" s="14"/>
      <c r="J14" s="5" t="str">
        <f aca="false">K14&amp;"|"&amp;D14&amp;"|"&amp;E14</f>
        <v>|—|—</v>
      </c>
      <c r="K14" s="5"/>
      <c r="L14" s="5" t="str">
        <f aca="false">", "&amp;C14&amp;", "</f>
        <v>, , </v>
      </c>
    </row>
    <row r="15" customFormat="false" ht="15" hidden="false" customHeight="true" outlineLevel="0" collapsed="false">
      <c r="A15" s="13" t="s">
        <v>320</v>
      </c>
      <c r="B15" s="13" t="s">
        <v>1058</v>
      </c>
      <c r="C15" s="14"/>
      <c r="D15" s="15" t="s">
        <v>880</v>
      </c>
      <c r="E15" s="15" t="s">
        <v>880</v>
      </c>
      <c r="F15" s="14" t="s">
        <v>1373</v>
      </c>
      <c r="G15" s="13" t="str">
        <f aca="false">IF(OR(D15="—",D15="",K15=""),"",COUNTIF($J$2:$J$259,J15)-1)</f>
        <v/>
      </c>
      <c r="H15" s="15"/>
      <c r="I15" s="14"/>
      <c r="J15" s="5" t="str">
        <f aca="false">K15&amp;"|"&amp;D15&amp;"|"&amp;E15</f>
        <v>|—|—</v>
      </c>
      <c r="K15" s="5"/>
      <c r="L15" s="5" t="str">
        <f aca="false">", "&amp;C15&amp;", "</f>
        <v>, , </v>
      </c>
    </row>
    <row r="16" customFormat="false" ht="15" hidden="false" customHeight="true" outlineLevel="0" collapsed="false">
      <c r="A16" s="13" t="s">
        <v>383</v>
      </c>
      <c r="B16" s="13" t="s">
        <v>1058</v>
      </c>
      <c r="C16" s="14"/>
      <c r="D16" s="15" t="s">
        <v>880</v>
      </c>
      <c r="E16" s="15" t="s">
        <v>880</v>
      </c>
      <c r="F16" s="14" t="s">
        <v>1372</v>
      </c>
      <c r="G16" s="13" t="str">
        <f aca="false">IF(OR(D16="—",D16="",K16=""),"",COUNTIF($J$2:$J$259,J16)-1)</f>
        <v/>
      </c>
      <c r="H16" s="15"/>
      <c r="I16" s="14"/>
      <c r="J16" s="5" t="str">
        <f aca="false">K16&amp;"|"&amp;D16&amp;"|"&amp;E16</f>
        <v>|—|—</v>
      </c>
      <c r="K16" s="5"/>
      <c r="L16" s="5" t="str">
        <f aca="false">", "&amp;C16&amp;", "</f>
        <v>, , </v>
      </c>
    </row>
    <row r="17" customFormat="false" ht="15" hidden="false" customHeight="true" outlineLevel="0" collapsed="false">
      <c r="A17" s="13" t="s">
        <v>126</v>
      </c>
      <c r="B17" s="13" t="s">
        <v>1058</v>
      </c>
      <c r="C17" s="14"/>
      <c r="D17" s="15" t="s">
        <v>880</v>
      </c>
      <c r="E17" s="15" t="s">
        <v>880</v>
      </c>
      <c r="F17" s="14" t="s">
        <v>1374</v>
      </c>
      <c r="G17" s="13" t="str">
        <f aca="false">IF(OR(D17="—",D17="",K17=""),"",COUNTIF($J$2:$J$259,J17)-1)</f>
        <v/>
      </c>
      <c r="H17" s="15"/>
      <c r="I17" s="14"/>
      <c r="J17" s="5" t="str">
        <f aca="false">K17&amp;"|"&amp;D17&amp;"|"&amp;E17</f>
        <v>|—|—</v>
      </c>
      <c r="K17" s="5"/>
      <c r="L17" s="5" t="str">
        <f aca="false">", "&amp;C17&amp;", "</f>
        <v>, , </v>
      </c>
    </row>
    <row r="18" customFormat="false" ht="15" hidden="false" customHeight="true" outlineLevel="0" collapsed="false">
      <c r="A18" s="13" t="s">
        <v>127</v>
      </c>
      <c r="B18" s="13" t="s">
        <v>1058</v>
      </c>
      <c r="C18" s="14"/>
      <c r="D18" s="15" t="s">
        <v>880</v>
      </c>
      <c r="E18" s="15" t="s">
        <v>880</v>
      </c>
      <c r="F18" s="14" t="s">
        <v>1374</v>
      </c>
      <c r="G18" s="13" t="str">
        <f aca="false">IF(OR(D18="—",D18="",K18=""),"",COUNTIF($J$2:$J$259,J18)-1)</f>
        <v/>
      </c>
      <c r="H18" s="15"/>
      <c r="I18" s="14"/>
      <c r="J18" s="5" t="str">
        <f aca="false">K18&amp;"|"&amp;D18&amp;"|"&amp;E18</f>
        <v>|—|—</v>
      </c>
      <c r="K18" s="5"/>
      <c r="L18" s="5" t="str">
        <f aca="false">", "&amp;C18&amp;", "</f>
        <v>, , </v>
      </c>
    </row>
    <row r="19" customFormat="false" ht="15" hidden="false" customHeight="true" outlineLevel="0" collapsed="false">
      <c r="A19" s="13" t="s">
        <v>137</v>
      </c>
      <c r="B19" s="13" t="s">
        <v>1058</v>
      </c>
      <c r="C19" s="14"/>
      <c r="D19" s="15" t="s">
        <v>880</v>
      </c>
      <c r="E19" s="15" t="s">
        <v>880</v>
      </c>
      <c r="F19" s="14" t="s">
        <v>1375</v>
      </c>
      <c r="G19" s="13" t="str">
        <f aca="false">IF(OR(D19="—",D19="",K19=""),"",COUNTIF($J$2:$J$259,J19)-1)</f>
        <v/>
      </c>
      <c r="H19" s="15"/>
      <c r="I19" s="14"/>
      <c r="J19" s="5" t="str">
        <f aca="false">K19&amp;"|"&amp;D19&amp;"|"&amp;E19</f>
        <v>|—|—</v>
      </c>
      <c r="K19" s="5"/>
      <c r="L19" s="5" t="str">
        <f aca="false">", "&amp;C19&amp;", "</f>
        <v>, , </v>
      </c>
    </row>
    <row r="20" customFormat="false" ht="23.25" hidden="false" customHeight="true" outlineLevel="0" collapsed="false">
      <c r="A20" s="13" t="s">
        <v>501</v>
      </c>
      <c r="B20" s="13" t="s">
        <v>1067</v>
      </c>
      <c r="C20" s="14" t="s">
        <v>1376</v>
      </c>
      <c r="D20" s="15" t="s">
        <v>1352</v>
      </c>
      <c r="E20" s="15" t="s">
        <v>1341</v>
      </c>
      <c r="F20" s="14" t="s">
        <v>1377</v>
      </c>
      <c r="G20" s="13" t="n">
        <f aca="false">IF(OR(D20="—",D20="",K20=""),"",COUNTIF($J$2:$J$259,J20)-1)</f>
        <v>0</v>
      </c>
      <c r="H20" s="15"/>
      <c r="I20" s="14"/>
      <c r="J20" s="5" t="str">
        <f aca="false">K20&amp;"|"&amp;D20&amp;"|"&amp;E20</f>
        <v>healing,protection,release|Space|Strong</v>
      </c>
      <c r="K20" s="5" t="s">
        <v>1378</v>
      </c>
      <c r="L20" s="5" t="str">
        <f aca="false">", "&amp;C20&amp;", "</f>
        <v>, protection, healing, release, </v>
      </c>
    </row>
    <row r="21" customFormat="false" ht="15" hidden="false" customHeight="true" outlineLevel="0" collapsed="false">
      <c r="A21" s="13" t="s">
        <v>323</v>
      </c>
      <c r="B21" s="13" t="s">
        <v>1067</v>
      </c>
      <c r="C21" s="14" t="s">
        <v>1379</v>
      </c>
      <c r="D21" s="15" t="s">
        <v>1352</v>
      </c>
      <c r="E21" s="15" t="s">
        <v>1337</v>
      </c>
      <c r="F21" s="14" t="s">
        <v>1380</v>
      </c>
      <c r="G21" s="13" t="n">
        <f aca="false">IF(OR(D21="—",D21="",K21=""),"",COUNTIF($J$2:$J$259,J21)-1)</f>
        <v>0</v>
      </c>
      <c r="H21" s="15"/>
      <c r="I21" s="14"/>
      <c r="J21" s="5" t="str">
        <f aca="false">K21&amp;"|"&amp;D21&amp;"|"&amp;E21</f>
        <v>abundance,luck|Space|Gentle</v>
      </c>
      <c r="K21" s="5" t="s">
        <v>1381</v>
      </c>
      <c r="L21" s="5" t="str">
        <f aca="false">", "&amp;C21&amp;", "</f>
        <v>, abundance, luck, </v>
      </c>
    </row>
    <row r="22" customFormat="false" ht="15" hidden="false" customHeight="true" outlineLevel="0" collapsed="false">
      <c r="A22" s="13" t="s">
        <v>195</v>
      </c>
      <c r="B22" s="13" t="s">
        <v>1067</v>
      </c>
      <c r="C22" s="14" t="s">
        <v>1382</v>
      </c>
      <c r="D22" s="15" t="s">
        <v>1352</v>
      </c>
      <c r="E22" s="15" t="s">
        <v>1341</v>
      </c>
      <c r="F22" s="14" t="s">
        <v>1383</v>
      </c>
      <c r="G22" s="13" t="n">
        <f aca="false">IF(OR(D22="—",D22="",K22=""),"",COUNTIF($J$2:$J$259,J22)-1)</f>
        <v>0</v>
      </c>
      <c r="H22" s="15"/>
      <c r="I22" s="14"/>
      <c r="J22" s="5" t="str">
        <f aca="false">K22&amp;"|"&amp;D22&amp;"|"&amp;E22</f>
        <v>luck,protection,release,success|Space|Strong</v>
      </c>
      <c r="K22" s="5" t="s">
        <v>1384</v>
      </c>
      <c r="L22" s="5" t="str">
        <f aca="false">", "&amp;C22&amp;", "</f>
        <v>, success, protection, luck, release, </v>
      </c>
    </row>
    <row r="23" customFormat="false" ht="23.25" hidden="false" customHeight="true" outlineLevel="0" collapsed="false">
      <c r="A23" s="13" t="s">
        <v>130</v>
      </c>
      <c r="B23" s="13" t="s">
        <v>1067</v>
      </c>
      <c r="C23" s="14" t="s">
        <v>1385</v>
      </c>
      <c r="D23" s="15" t="s">
        <v>1345</v>
      </c>
      <c r="E23" s="15" t="s">
        <v>1337</v>
      </c>
      <c r="F23" s="14" t="s">
        <v>1386</v>
      </c>
      <c r="G23" s="13" t="n">
        <f aca="false">IF(OR(D23="—",D23="",K23=""),"",COUNTIF($J$2:$J$259,J23)-1)</f>
        <v>0</v>
      </c>
      <c r="H23" s="15"/>
      <c r="I23" s="14"/>
      <c r="J23" s="5" t="str">
        <f aca="false">K23&amp;"|"&amp;D23&amp;"|"&amp;E23</f>
        <v>confidence,healing,joy|Body|Gentle</v>
      </c>
      <c r="K23" s="5" t="s">
        <v>1387</v>
      </c>
      <c r="L23" s="5" t="str">
        <f aca="false">", "&amp;C23&amp;", "</f>
        <v>, healing, joy, confidence, </v>
      </c>
    </row>
    <row r="24" customFormat="false" ht="15" hidden="false" customHeight="true" outlineLevel="0" collapsed="false">
      <c r="A24" s="13" t="s">
        <v>251</v>
      </c>
      <c r="B24" s="13" t="s">
        <v>1067</v>
      </c>
      <c r="C24" s="14" t="s">
        <v>1388</v>
      </c>
      <c r="D24" s="15" t="s">
        <v>1336</v>
      </c>
      <c r="E24" s="15" t="s">
        <v>1337</v>
      </c>
      <c r="F24" s="14" t="s">
        <v>1389</v>
      </c>
      <c r="G24" s="13" t="n">
        <f aca="false">IF(OR(D24="—",D24="",K24=""),"",COUNTIF($J$2:$J$259,J24)-1)</f>
        <v>0</v>
      </c>
      <c r="H24" s="15"/>
      <c r="I24" s="14"/>
      <c r="J24" s="5" t="str">
        <f aca="false">K24&amp;"|"&amp;D24&amp;"|"&amp;E24</f>
        <v>calm,comfort,healing,sleep|Mind|Gentle</v>
      </c>
      <c r="K24" s="5" t="s">
        <v>1390</v>
      </c>
      <c r="L24" s="5" t="str">
        <f aca="false">", "&amp;C24&amp;", "</f>
        <v>, calm, sleep, comfort, healing, </v>
      </c>
    </row>
    <row r="25" customFormat="false" ht="15" hidden="false" customHeight="true" outlineLevel="0" collapsed="false">
      <c r="A25" s="13" t="s">
        <v>313</v>
      </c>
      <c r="B25" s="13" t="s">
        <v>1067</v>
      </c>
      <c r="C25" s="14" t="s">
        <v>1391</v>
      </c>
      <c r="D25" s="15" t="s">
        <v>1352</v>
      </c>
      <c r="E25" s="15" t="s">
        <v>1337</v>
      </c>
      <c r="F25" s="14" t="s">
        <v>1392</v>
      </c>
      <c r="G25" s="13" t="n">
        <f aca="false">IF(OR(D25="—",D25="",K25=""),"",COUNTIF($J$2:$J$259,J25)-1)</f>
        <v>0</v>
      </c>
      <c r="H25" s="15"/>
      <c r="I25" s="14"/>
      <c r="J25" s="5" t="str">
        <f aca="false">K25&amp;"|"&amp;D25&amp;"|"&amp;E25</f>
        <v>friendship,joy,luck|Space|Gentle</v>
      </c>
      <c r="K25" s="5" t="s">
        <v>1393</v>
      </c>
      <c r="L25" s="5" t="str">
        <f aca="false">", "&amp;C25&amp;", "</f>
        <v>, luck, friendship, joy, </v>
      </c>
    </row>
    <row r="26" customFormat="false" ht="23.25" hidden="false" customHeight="true" outlineLevel="0" collapsed="false">
      <c r="A26" s="13" t="s">
        <v>228</v>
      </c>
      <c r="B26" s="13" t="s">
        <v>1067</v>
      </c>
      <c r="C26" s="14" t="s">
        <v>1394</v>
      </c>
      <c r="D26" s="15" t="s">
        <v>1352</v>
      </c>
      <c r="E26" s="15" t="s">
        <v>1337</v>
      </c>
      <c r="F26" s="14" t="s">
        <v>1395</v>
      </c>
      <c r="G26" s="13" t="n">
        <f aca="false">IF(OR(D26="—",D26="",K26=""),"",COUNTIF($J$2:$J$259,J26)-1)</f>
        <v>0</v>
      </c>
      <c r="H26" s="15" t="s">
        <v>1396</v>
      </c>
      <c r="I26" s="14" t="s">
        <v>1397</v>
      </c>
      <c r="J26" s="5" t="str">
        <f aca="false">K26&amp;"|"&amp;D26&amp;"|"&amp;E26</f>
        <v>protection,travel|Space|Gentle</v>
      </c>
      <c r="K26" s="5" t="s">
        <v>1398</v>
      </c>
      <c r="L26" s="5" t="str">
        <f aca="false">", "&amp;C26&amp;", "</f>
        <v>, travel, protection, </v>
      </c>
    </row>
    <row r="27" customFormat="false" ht="15" hidden="false" customHeight="true" outlineLevel="0" collapsed="false">
      <c r="A27" s="13" t="s">
        <v>282</v>
      </c>
      <c r="B27" s="13" t="s">
        <v>1067</v>
      </c>
      <c r="C27" s="14" t="s">
        <v>1399</v>
      </c>
      <c r="D27" s="15" t="s">
        <v>1336</v>
      </c>
      <c r="E27" s="15" t="s">
        <v>1337</v>
      </c>
      <c r="F27" s="14" t="s">
        <v>1400</v>
      </c>
      <c r="G27" s="13" t="n">
        <f aca="false">IF(OR(D27="—",D27="",K27=""),"",COUNTIF($J$2:$J$259,J27)-1)</f>
        <v>0</v>
      </c>
      <c r="H27" s="15"/>
      <c r="I27" s="14"/>
      <c r="J27" s="5" t="str">
        <f aca="false">K27&amp;"|"&amp;D27&amp;"|"&amp;E27</f>
        <v>calm,intuition|Mind|Gentle</v>
      </c>
      <c r="K27" s="5" t="s">
        <v>1401</v>
      </c>
      <c r="L27" s="5" t="str">
        <f aca="false">", "&amp;C27&amp;", "</f>
        <v>, calm, intuition, </v>
      </c>
    </row>
    <row r="28" customFormat="false" ht="15" hidden="false" customHeight="true" outlineLevel="0" collapsed="false">
      <c r="A28" s="13" t="s">
        <v>481</v>
      </c>
      <c r="B28" s="13" t="s">
        <v>1067</v>
      </c>
      <c r="C28" s="14" t="s">
        <v>1402</v>
      </c>
      <c r="D28" s="15" t="s">
        <v>1336</v>
      </c>
      <c r="E28" s="15" t="s">
        <v>1337</v>
      </c>
      <c r="F28" s="14" t="s">
        <v>1403</v>
      </c>
      <c r="G28" s="13" t="n">
        <f aca="false">IF(OR(D28="—",D28="",K28=""),"",COUNTIF($J$2:$J$259,J28)-1)</f>
        <v>0</v>
      </c>
      <c r="H28" s="15"/>
      <c r="I28" s="14"/>
      <c r="J28" s="5" t="str">
        <f aca="false">K28&amp;"|"&amp;D28&amp;"|"&amp;E28</f>
        <v>beginnings,friendship,joy|Mind|Gentle</v>
      </c>
      <c r="K28" s="5" t="s">
        <v>1404</v>
      </c>
      <c r="L28" s="5" t="str">
        <f aca="false">", "&amp;C28&amp;", "</f>
        <v>, joy, friendship, beginnings, </v>
      </c>
    </row>
    <row r="29" customFormat="false" ht="15" hidden="false" customHeight="true" outlineLevel="0" collapsed="false">
      <c r="A29" s="13" t="s">
        <v>478</v>
      </c>
      <c r="B29" s="13" t="s">
        <v>1067</v>
      </c>
      <c r="C29" s="14" t="s">
        <v>1405</v>
      </c>
      <c r="D29" s="15" t="s">
        <v>1336</v>
      </c>
      <c r="E29" s="15" t="s">
        <v>1337</v>
      </c>
      <c r="F29" s="14" t="s">
        <v>1406</v>
      </c>
      <c r="G29" s="13" t="n">
        <f aca="false">IF(OR(D29="—",D29="",K29=""),"",COUNTIF($J$2:$J$259,J29)-1)</f>
        <v>0</v>
      </c>
      <c r="H29" s="15"/>
      <c r="I29" s="14"/>
      <c r="J29" s="5" t="str">
        <f aca="false">K29&amp;"|"&amp;D29&amp;"|"&amp;E29</f>
        <v>beginnings,joy,wonder|Mind|Gentle</v>
      </c>
      <c r="K29" s="5" t="s">
        <v>1407</v>
      </c>
      <c r="L29" s="5" t="str">
        <f aca="false">", "&amp;C29&amp;", "</f>
        <v>, wonder, joy, beginnings, </v>
      </c>
    </row>
    <row r="30" customFormat="false" ht="15" hidden="false" customHeight="true" outlineLevel="0" collapsed="false">
      <c r="A30" s="13" t="s">
        <v>601</v>
      </c>
      <c r="B30" s="13" t="s">
        <v>1067</v>
      </c>
      <c r="C30" s="14" t="s">
        <v>1408</v>
      </c>
      <c r="D30" s="15" t="s">
        <v>1336</v>
      </c>
      <c r="E30" s="15" t="s">
        <v>1341</v>
      </c>
      <c r="F30" s="14" t="s">
        <v>1409</v>
      </c>
      <c r="G30" s="13" t="n">
        <f aca="false">IF(OR(D30="—",D30="",K30=""),"",COUNTIF($J$2:$J$259,J30)-1)</f>
        <v>0</v>
      </c>
      <c r="H30" s="15"/>
      <c r="I30" s="14" t="s">
        <v>1410</v>
      </c>
      <c r="J30" s="5" t="str">
        <f aca="false">K30&amp;"|"&amp;D30&amp;"|"&amp;E30</f>
        <v>cleansing,healing,release|Mind|Strong</v>
      </c>
      <c r="K30" s="5" t="s">
        <v>1411</v>
      </c>
      <c r="L30" s="5" t="str">
        <f aca="false">", "&amp;C30&amp;", "</f>
        <v>, release, cleansing, healing, </v>
      </c>
    </row>
    <row r="31" customFormat="false" ht="15" hidden="false" customHeight="true" outlineLevel="0" collapsed="false">
      <c r="A31" s="13" t="s">
        <v>400</v>
      </c>
      <c r="B31" s="13" t="s">
        <v>1067</v>
      </c>
      <c r="C31" s="14" t="s">
        <v>1412</v>
      </c>
      <c r="D31" s="15" t="s">
        <v>1336</v>
      </c>
      <c r="E31" s="15" t="s">
        <v>1337</v>
      </c>
      <c r="F31" s="14" t="s">
        <v>1413</v>
      </c>
      <c r="G31" s="13" t="n">
        <f aca="false">IF(OR(D31="—",D31="",K31=""),"",COUNTIF($J$2:$J$259,J31)-1)</f>
        <v>0</v>
      </c>
      <c r="H31" s="15"/>
      <c r="I31" s="14"/>
      <c r="J31" s="5" t="str">
        <f aca="false">K31&amp;"|"&amp;D31&amp;"|"&amp;E31</f>
        <v>joy,wonder|Mind|Gentle</v>
      </c>
      <c r="K31" s="5" t="s">
        <v>1414</v>
      </c>
      <c r="L31" s="5" t="str">
        <f aca="false">", "&amp;C31&amp;", "</f>
        <v>, joy, wonder, </v>
      </c>
    </row>
    <row r="32" customFormat="false" ht="15" hidden="false" customHeight="true" outlineLevel="0" collapsed="false">
      <c r="A32" s="13" t="s">
        <v>597</v>
      </c>
      <c r="B32" s="13" t="s">
        <v>1067</v>
      </c>
      <c r="C32" s="14" t="s">
        <v>1415</v>
      </c>
      <c r="D32" s="15" t="s">
        <v>1345</v>
      </c>
      <c r="E32" s="15" t="s">
        <v>1341</v>
      </c>
      <c r="F32" s="14" t="s">
        <v>1416</v>
      </c>
      <c r="G32" s="13" t="n">
        <f aca="false">IF(OR(D32="—",D32="",K32=""),"",COUNTIF($J$2:$J$259,J32)-1)</f>
        <v>0</v>
      </c>
      <c r="H32" s="15"/>
      <c r="I32" s="14"/>
      <c r="J32" s="5" t="str">
        <f aca="false">K32&amp;"|"&amp;D32&amp;"|"&amp;E32</f>
        <v>cleansing,healing,release|Body|Strong</v>
      </c>
      <c r="K32" s="5" t="s">
        <v>1411</v>
      </c>
      <c r="L32" s="5" t="str">
        <f aca="false">", "&amp;C32&amp;", "</f>
        <v>, cleansing, healing, release, </v>
      </c>
    </row>
    <row r="33" customFormat="false" ht="15" hidden="false" customHeight="true" outlineLevel="0" collapsed="false">
      <c r="A33" s="13" t="s">
        <v>357</v>
      </c>
      <c r="B33" s="13" t="s">
        <v>1067</v>
      </c>
      <c r="C33" s="14" t="s">
        <v>1417</v>
      </c>
      <c r="D33" s="15" t="s">
        <v>1352</v>
      </c>
      <c r="E33" s="15" t="s">
        <v>1337</v>
      </c>
      <c r="F33" s="14" t="s">
        <v>1418</v>
      </c>
      <c r="G33" s="13" t="n">
        <f aca="false">IF(OR(D33="—",D33="",K33=""),"",COUNTIF($J$2:$J$259,J33)-1)</f>
        <v>0</v>
      </c>
      <c r="H33" s="15"/>
      <c r="I33" s="14"/>
      <c r="J33" s="5" t="str">
        <f aca="false">K33&amp;"|"&amp;D33&amp;"|"&amp;E33</f>
        <v>connection,growth|Space|Gentle</v>
      </c>
      <c r="K33" s="5" t="s">
        <v>1419</v>
      </c>
      <c r="L33" s="5" t="str">
        <f aca="false">", "&amp;C33&amp;", "</f>
        <v>, connection, growth, </v>
      </c>
    </row>
    <row r="34" customFormat="false" ht="15" hidden="false" customHeight="true" outlineLevel="0" collapsed="false">
      <c r="A34" s="13" t="s">
        <v>311</v>
      </c>
      <c r="B34" s="13" t="s">
        <v>1067</v>
      </c>
      <c r="C34" s="14" t="s">
        <v>1420</v>
      </c>
      <c r="D34" s="15" t="s">
        <v>1352</v>
      </c>
      <c r="E34" s="15" t="s">
        <v>1341</v>
      </c>
      <c r="F34" s="14" t="s">
        <v>1421</v>
      </c>
      <c r="G34" s="13" t="n">
        <f aca="false">IF(OR(D34="—",D34="",K34=""),"",COUNTIF($J$2:$J$259,J34)-1)</f>
        <v>0</v>
      </c>
      <c r="H34" s="15"/>
      <c r="I34" s="14"/>
      <c r="J34" s="5" t="str">
        <f aca="false">K34&amp;"|"&amp;D34&amp;"|"&amp;E34</f>
        <v>joy,luck,opportunity|Space|Strong</v>
      </c>
      <c r="K34" s="5" t="s">
        <v>1422</v>
      </c>
      <c r="L34" s="5" t="str">
        <f aca="false">", "&amp;C34&amp;", "</f>
        <v>, luck, opportunity, joy, </v>
      </c>
    </row>
    <row r="35" customFormat="false" ht="15" hidden="false" customHeight="true" outlineLevel="0" collapsed="false">
      <c r="A35" s="13" t="s">
        <v>241</v>
      </c>
      <c r="B35" s="13" t="s">
        <v>1067</v>
      </c>
      <c r="C35" s="14" t="s">
        <v>1423</v>
      </c>
      <c r="D35" s="15" t="s">
        <v>1352</v>
      </c>
      <c r="E35" s="15" t="s">
        <v>1341</v>
      </c>
      <c r="F35" s="14" t="s">
        <v>1424</v>
      </c>
      <c r="G35" s="13" t="n">
        <f aca="false">IF(OR(D35="—",D35="",K35=""),"",COUNTIF($J$2:$J$259,J35)-1)</f>
        <v>0</v>
      </c>
      <c r="H35" s="15"/>
      <c r="I35" s="14"/>
      <c r="J35" s="5" t="str">
        <f aca="false">K35&amp;"|"&amp;D35&amp;"|"&amp;E35</f>
        <v>cleansing,protection,truth|Space|Strong</v>
      </c>
      <c r="K35" s="5" t="s">
        <v>1425</v>
      </c>
      <c r="L35" s="5" t="str">
        <f aca="false">", "&amp;C35&amp;", "</f>
        <v>, cleansing, truth, protection, </v>
      </c>
    </row>
    <row r="36" customFormat="false" ht="15" hidden="false" customHeight="true" outlineLevel="0" collapsed="false">
      <c r="A36" s="13" t="s">
        <v>72</v>
      </c>
      <c r="B36" s="13" t="s">
        <v>1067</v>
      </c>
      <c r="C36" s="14" t="s">
        <v>1426</v>
      </c>
      <c r="D36" s="15" t="s">
        <v>1345</v>
      </c>
      <c r="E36" s="15" t="s">
        <v>1341</v>
      </c>
      <c r="F36" s="14" t="s">
        <v>1427</v>
      </c>
      <c r="G36" s="13" t="n">
        <f aca="false">IF(OR(D36="—",D36="",K36=""),"",COUNTIF($J$2:$J$259,J36)-1)</f>
        <v>0</v>
      </c>
      <c r="H36" s="15"/>
      <c r="I36" s="14"/>
      <c r="J36" s="5" t="str">
        <f aca="false">K36&amp;"|"&amp;D36&amp;"|"&amp;E36</f>
        <v>beauty,love,passion|Body|Strong</v>
      </c>
      <c r="K36" s="5" t="s">
        <v>1428</v>
      </c>
      <c r="L36" s="5" t="str">
        <f aca="false">", "&amp;C36&amp;", "</f>
        <v>, passion, love, beauty, </v>
      </c>
    </row>
    <row r="37" customFormat="false" ht="15" hidden="false" customHeight="true" outlineLevel="0" collapsed="false">
      <c r="A37" s="13" t="s">
        <v>307</v>
      </c>
      <c r="B37" s="13" t="s">
        <v>1067</v>
      </c>
      <c r="C37" s="14" t="s">
        <v>1429</v>
      </c>
      <c r="D37" s="15" t="s">
        <v>1345</v>
      </c>
      <c r="E37" s="15" t="s">
        <v>1337</v>
      </c>
      <c r="F37" s="14" t="s">
        <v>1430</v>
      </c>
      <c r="G37" s="13" t="n">
        <f aca="false">IF(OR(D37="—",D37="",K37=""),"",COUNTIF($J$2:$J$259,J37)-1)</f>
        <v>0</v>
      </c>
      <c r="H37" s="15"/>
      <c r="I37" s="14"/>
      <c r="J37" s="5" t="str">
        <f aca="false">K37&amp;"|"&amp;D37&amp;"|"&amp;E37</f>
        <v>calm,rest,sleep|Body|Gentle</v>
      </c>
      <c r="K37" s="5" t="s">
        <v>1431</v>
      </c>
      <c r="L37" s="5" t="str">
        <f aca="false">", "&amp;C37&amp;", "</f>
        <v>, sleep, rest, calm, </v>
      </c>
    </row>
    <row r="38" customFormat="false" ht="15" hidden="false" customHeight="true" outlineLevel="0" collapsed="false">
      <c r="A38" s="13" t="s">
        <v>79</v>
      </c>
      <c r="B38" s="13" t="s">
        <v>1067</v>
      </c>
      <c r="C38" s="14" t="s">
        <v>1432</v>
      </c>
      <c r="D38" s="15" t="s">
        <v>1336</v>
      </c>
      <c r="E38" s="15" t="s">
        <v>1337</v>
      </c>
      <c r="F38" s="14" t="s">
        <v>1433</v>
      </c>
      <c r="G38" s="13" t="n">
        <f aca="false">IF(OR(D38="—",D38="",K38=""),"",COUNTIF($J$2:$J$259,J38)-1)</f>
        <v>0</v>
      </c>
      <c r="H38" s="15"/>
      <c r="I38" s="14"/>
      <c r="J38" s="5" t="str">
        <f aca="false">K38&amp;"|"&amp;D38&amp;"|"&amp;E38</f>
        <v>beauty,dreams,intuition|Mind|Gentle</v>
      </c>
      <c r="K38" s="5" t="s">
        <v>1434</v>
      </c>
      <c r="L38" s="5" t="str">
        <f aca="false">", "&amp;C38&amp;", "</f>
        <v>, dreams, beauty, intuition, </v>
      </c>
    </row>
    <row r="39" customFormat="false" ht="15" hidden="false" customHeight="true" outlineLevel="0" collapsed="false">
      <c r="A39" s="13" t="s">
        <v>44</v>
      </c>
      <c r="B39" s="13" t="s">
        <v>1067</v>
      </c>
      <c r="C39" s="14" t="s">
        <v>1435</v>
      </c>
      <c r="D39" s="15" t="s">
        <v>1336</v>
      </c>
      <c r="E39" s="15" t="s">
        <v>1337</v>
      </c>
      <c r="F39" s="14" t="s">
        <v>1436</v>
      </c>
      <c r="G39" s="13" t="n">
        <f aca="false">IF(OR(D39="—",D39="",K39=""),"",COUNTIF($J$2:$J$259,J39)-1)</f>
        <v>0</v>
      </c>
      <c r="H39" s="15"/>
      <c r="I39" s="14"/>
      <c r="J39" s="5" t="str">
        <f aca="false">K39&amp;"|"&amp;D39&amp;"|"&amp;E39</f>
        <v>calm,cleansing,joy,love,sleep|Mind|Gentle</v>
      </c>
      <c r="K39" s="5" t="s">
        <v>1437</v>
      </c>
      <c r="L39" s="5" t="str">
        <f aca="false">", "&amp;C39&amp;", "</f>
        <v>, calm, sleep, cleansing, love, joy, </v>
      </c>
    </row>
    <row r="40" customFormat="false" ht="15" hidden="false" customHeight="true" outlineLevel="0" collapsed="false">
      <c r="A40" s="13" t="s">
        <v>469</v>
      </c>
      <c r="B40" s="13" t="s">
        <v>1067</v>
      </c>
      <c r="C40" s="14" t="s">
        <v>1438</v>
      </c>
      <c r="D40" s="15" t="s">
        <v>1336</v>
      </c>
      <c r="E40" s="15" t="s">
        <v>1337</v>
      </c>
      <c r="F40" s="14" t="s">
        <v>1439</v>
      </c>
      <c r="G40" s="13" t="n">
        <f aca="false">IF(OR(D40="—",D40="",K40=""),"",COUNTIF($J$2:$J$259,J40)-1)</f>
        <v>0</v>
      </c>
      <c r="H40" s="15"/>
      <c r="I40" s="14"/>
      <c r="J40" s="5" t="str">
        <f aca="false">K40&amp;"|"&amp;D40&amp;"|"&amp;E40</f>
        <v>calm,communication,healing|Mind|Gentle</v>
      </c>
      <c r="K40" s="5" t="s">
        <v>1440</v>
      </c>
      <c r="L40" s="5" t="str">
        <f aca="false">", "&amp;C40&amp;", "</f>
        <v>, calm, healing, communication, </v>
      </c>
    </row>
    <row r="41" customFormat="false" ht="15" hidden="false" customHeight="true" outlineLevel="0" collapsed="false">
      <c r="A41" s="13" t="s">
        <v>542</v>
      </c>
      <c r="B41" s="13" t="s">
        <v>1067</v>
      </c>
      <c r="C41" s="14" t="s">
        <v>1441</v>
      </c>
      <c r="D41" s="15" t="s">
        <v>1345</v>
      </c>
      <c r="E41" s="15" t="s">
        <v>1341</v>
      </c>
      <c r="F41" s="14" t="s">
        <v>1442</v>
      </c>
      <c r="G41" s="13" t="n">
        <f aca="false">IF(OR(D41="—",D41="",K41=""),"",COUNTIF($J$2:$J$259,J41)-1)</f>
        <v>0</v>
      </c>
      <c r="H41" s="15"/>
      <c r="I41" s="14"/>
      <c r="J41" s="5" t="str">
        <f aca="false">K41&amp;"|"&amp;D41&amp;"|"&amp;E41</f>
        <v>energy,focus|Body|Strong</v>
      </c>
      <c r="K41" s="5" t="s">
        <v>1443</v>
      </c>
      <c r="L41" s="5" t="str">
        <f aca="false">", "&amp;C41&amp;", "</f>
        <v>, focus, energy, </v>
      </c>
    </row>
    <row r="42" customFormat="false" ht="15" hidden="false" customHeight="true" outlineLevel="0" collapsed="false">
      <c r="A42" s="13" t="s">
        <v>420</v>
      </c>
      <c r="B42" s="13" t="s">
        <v>1067</v>
      </c>
      <c r="C42" s="14" t="s">
        <v>1444</v>
      </c>
      <c r="D42" s="15" t="s">
        <v>1336</v>
      </c>
      <c r="E42" s="15" t="s">
        <v>1341</v>
      </c>
      <c r="F42" s="14" t="s">
        <v>1445</v>
      </c>
      <c r="G42" s="13" t="n">
        <f aca="false">IF(OR(D42="—",D42="",K42=""),"",COUNTIF($J$2:$J$259,J42)-1)</f>
        <v>0</v>
      </c>
      <c r="H42" s="15"/>
      <c r="I42" s="14"/>
      <c r="J42" s="5" t="str">
        <f aca="false">K42&amp;"|"&amp;D42&amp;"|"&amp;E42</f>
        <v>communication,confidence,passion|Mind|Strong</v>
      </c>
      <c r="K42" s="5" t="s">
        <v>1446</v>
      </c>
      <c r="L42" s="5" t="str">
        <f aca="false">", "&amp;C42&amp;", "</f>
        <v>, communication, confidence, passion, </v>
      </c>
    </row>
    <row r="43" customFormat="false" ht="15" hidden="false" customHeight="true" outlineLevel="0" collapsed="false">
      <c r="A43" s="13" t="s">
        <v>444</v>
      </c>
      <c r="B43" s="13" t="s">
        <v>1067</v>
      </c>
      <c r="C43" s="14" t="s">
        <v>1447</v>
      </c>
      <c r="D43" s="15" t="s">
        <v>1336</v>
      </c>
      <c r="E43" s="15" t="s">
        <v>1337</v>
      </c>
      <c r="F43" s="14" t="s">
        <v>1448</v>
      </c>
      <c r="G43" s="13" t="n">
        <f aca="false">IF(OR(D43="—",D43="",K43=""),"",COUNTIF($J$2:$J$259,J43)-1)</f>
        <v>0</v>
      </c>
      <c r="H43" s="15"/>
      <c r="I43" s="14"/>
      <c r="J43" s="5" t="str">
        <f aca="false">K43&amp;"|"&amp;D43&amp;"|"&amp;E43</f>
        <v>beauty,comfort,memory|Mind|Gentle</v>
      </c>
      <c r="K43" s="5" t="s">
        <v>1449</v>
      </c>
      <c r="L43" s="5" t="str">
        <f aca="false">", "&amp;C43&amp;", "</f>
        <v>, memory, beauty, comfort, </v>
      </c>
    </row>
    <row r="44" customFormat="false" ht="15" hidden="false" customHeight="true" outlineLevel="0" collapsed="false">
      <c r="A44" s="13" t="s">
        <v>625</v>
      </c>
      <c r="B44" s="13" t="s">
        <v>1067</v>
      </c>
      <c r="C44" s="14" t="s">
        <v>1450</v>
      </c>
      <c r="D44" s="15" t="s">
        <v>1336</v>
      </c>
      <c r="E44" s="15" t="s">
        <v>1341</v>
      </c>
      <c r="F44" s="14" t="s">
        <v>1451</v>
      </c>
      <c r="G44" s="13" t="n">
        <f aca="false">IF(OR(D44="—",D44="",K44=""),"",COUNTIF($J$2:$J$259,J44)-1)</f>
        <v>0</v>
      </c>
      <c r="H44" s="15"/>
      <c r="I44" s="14"/>
      <c r="J44" s="5" t="str">
        <f aca="false">K44&amp;"|"&amp;D44&amp;"|"&amp;E44</f>
        <v>calm,intuition|Mind|Strong</v>
      </c>
      <c r="K44" s="5" t="s">
        <v>1401</v>
      </c>
      <c r="L44" s="5" t="str">
        <f aca="false">", "&amp;C44&amp;", "</f>
        <v>, intuition, calm, </v>
      </c>
    </row>
    <row r="45" customFormat="false" ht="15" hidden="false" customHeight="true" outlineLevel="0" collapsed="false">
      <c r="A45" s="13" t="s">
        <v>719</v>
      </c>
      <c r="B45" s="13" t="s">
        <v>1067</v>
      </c>
      <c r="C45" s="14" t="s">
        <v>1452</v>
      </c>
      <c r="D45" s="15" t="s">
        <v>1345</v>
      </c>
      <c r="E45" s="15" t="s">
        <v>1337</v>
      </c>
      <c r="F45" s="14" t="s">
        <v>1453</v>
      </c>
      <c r="G45" s="13" t="n">
        <f aca="false">IF(OR(D45="—",D45="",K45=""),"",COUNTIF($J$2:$J$259,J45)-1)</f>
        <v>0</v>
      </c>
      <c r="H45" s="15"/>
      <c r="I45" s="14"/>
      <c r="J45" s="5" t="str">
        <f aca="false">K45&amp;"|"&amp;D45&amp;"|"&amp;E45</f>
        <v>calm,cleansing,energy|Body|Gentle</v>
      </c>
      <c r="K45" s="5" t="s">
        <v>1454</v>
      </c>
      <c r="L45" s="5" t="str">
        <f aca="false">", "&amp;C45&amp;", "</f>
        <v>, energy, cleansing, calm, </v>
      </c>
    </row>
    <row r="46" customFormat="false" ht="23.25" hidden="false" customHeight="true" outlineLevel="0" collapsed="false">
      <c r="A46" s="13" t="s">
        <v>230</v>
      </c>
      <c r="B46" s="13" t="s">
        <v>1067</v>
      </c>
      <c r="C46" s="14" t="s">
        <v>1455</v>
      </c>
      <c r="D46" s="15" t="s">
        <v>1336</v>
      </c>
      <c r="E46" s="15" t="s">
        <v>1341</v>
      </c>
      <c r="F46" s="14" t="s">
        <v>1456</v>
      </c>
      <c r="G46" s="13" t="n">
        <f aca="false">IF(OR(D46="—",D46="",K46=""),"",COUNTIF($J$2:$J$259,J46)-1)</f>
        <v>0</v>
      </c>
      <c r="H46" s="15"/>
      <c r="I46" s="14"/>
      <c r="J46" s="5" t="str">
        <f aca="false">K46&amp;"|"&amp;D46&amp;"|"&amp;E46</f>
        <v>dreams,intuition,protection|Mind|Strong</v>
      </c>
      <c r="K46" s="5" t="s">
        <v>1457</v>
      </c>
      <c r="L46" s="5" t="str">
        <f aca="false">", "&amp;C46&amp;", "</f>
        <v>, dreams, intuition, protection, </v>
      </c>
    </row>
    <row r="47" customFormat="false" ht="15" hidden="false" customHeight="true" outlineLevel="0" collapsed="false">
      <c r="A47" s="13" t="s">
        <v>792</v>
      </c>
      <c r="B47" s="13" t="s">
        <v>1067</v>
      </c>
      <c r="C47" s="14" t="s">
        <v>1458</v>
      </c>
      <c r="D47" s="15" t="s">
        <v>1345</v>
      </c>
      <c r="E47" s="15" t="s">
        <v>1341</v>
      </c>
      <c r="F47" s="14" t="s">
        <v>1459</v>
      </c>
      <c r="G47" s="13" t="n">
        <f aca="false">IF(OR(D47="—",D47="",K47=""),"",COUNTIF($J$2:$J$259,J47)-1)</f>
        <v>0</v>
      </c>
      <c r="H47" s="15"/>
      <c r="I47" s="14"/>
      <c r="J47" s="5" t="str">
        <f aca="false">K47&amp;"|"&amp;D47&amp;"|"&amp;E47</f>
        <v>healing|Body|Strong</v>
      </c>
      <c r="K47" s="5" t="s">
        <v>1458</v>
      </c>
      <c r="L47" s="5" t="str">
        <f aca="false">", "&amp;C47&amp;", "</f>
        <v>, healing, </v>
      </c>
    </row>
    <row r="48" customFormat="false" ht="15" hidden="false" customHeight="true" outlineLevel="0" collapsed="false">
      <c r="A48" s="13" t="s">
        <v>386</v>
      </c>
      <c r="B48" s="13" t="s">
        <v>1067</v>
      </c>
      <c r="C48" s="14" t="s">
        <v>1460</v>
      </c>
      <c r="D48" s="15" t="s">
        <v>1352</v>
      </c>
      <c r="E48" s="15" t="s">
        <v>1337</v>
      </c>
      <c r="F48" s="14" t="s">
        <v>1461</v>
      </c>
      <c r="G48" s="13" t="n">
        <f aca="false">IF(OR(D48="—",D48="",K48=""),"",COUNTIF($J$2:$J$259,J48)-1)</f>
        <v>0</v>
      </c>
      <c r="H48" s="15"/>
      <c r="I48" s="14"/>
      <c r="J48" s="5" t="str">
        <f aca="false">K48&amp;"|"&amp;D48&amp;"|"&amp;E48</f>
        <v>abundance,connection,grounding|Space|Gentle</v>
      </c>
      <c r="K48" s="5" t="s">
        <v>1462</v>
      </c>
      <c r="L48" s="5" t="str">
        <f aca="false">", "&amp;C48&amp;", "</f>
        <v>, grounding, abundance, connection, </v>
      </c>
    </row>
    <row r="49" customFormat="false" ht="15" hidden="false" customHeight="true" outlineLevel="0" collapsed="false">
      <c r="A49" s="13" t="s">
        <v>457</v>
      </c>
      <c r="B49" s="13" t="s">
        <v>1067</v>
      </c>
      <c r="C49" s="14" t="s">
        <v>1463</v>
      </c>
      <c r="D49" s="15" t="s">
        <v>1336</v>
      </c>
      <c r="E49" s="15" t="s">
        <v>1337</v>
      </c>
      <c r="F49" s="14" t="s">
        <v>1464</v>
      </c>
      <c r="G49" s="13" t="n">
        <f aca="false">IF(OR(D49="—",D49="",K49=""),"",COUNTIF($J$2:$J$259,J49)-1)</f>
        <v>0</v>
      </c>
      <c r="H49" s="15"/>
      <c r="I49" s="14"/>
      <c r="J49" s="5" t="str">
        <f aca="false">K49&amp;"|"&amp;D49&amp;"|"&amp;E49</f>
        <v>beauty,joy|Mind|Gentle</v>
      </c>
      <c r="K49" s="5" t="s">
        <v>1465</v>
      </c>
      <c r="L49" s="5" t="str">
        <f aca="false">", "&amp;C49&amp;", "</f>
        <v>, joy, beauty, </v>
      </c>
    </row>
    <row r="50" customFormat="false" ht="15" hidden="false" customHeight="true" outlineLevel="0" collapsed="false">
      <c r="A50" s="13" t="s">
        <v>100</v>
      </c>
      <c r="B50" s="13" t="s">
        <v>1067</v>
      </c>
      <c r="C50" s="14" t="s">
        <v>1466</v>
      </c>
      <c r="D50" s="15" t="s">
        <v>1336</v>
      </c>
      <c r="E50" s="15" t="s">
        <v>1341</v>
      </c>
      <c r="F50" s="14" t="s">
        <v>1467</v>
      </c>
      <c r="G50" s="13" t="n">
        <f aca="false">IF(OR(D50="—",D50="",K50=""),"",COUNTIF($J$2:$J$259,J50)-1)</f>
        <v>0</v>
      </c>
      <c r="H50" s="15"/>
      <c r="I50" s="14"/>
      <c r="J50" s="5" t="str">
        <f aca="false">K50&amp;"|"&amp;D50&amp;"|"&amp;E50</f>
        <v>attraction,communication,love|Mind|Strong</v>
      </c>
      <c r="K50" s="5" t="s">
        <v>1468</v>
      </c>
      <c r="L50" s="5" t="str">
        <f aca="false">", "&amp;C50&amp;", "</f>
        <v>, love, attraction, communication, </v>
      </c>
    </row>
    <row r="51" customFormat="false" ht="15" hidden="false" customHeight="true" outlineLevel="0" collapsed="false">
      <c r="A51" s="13" t="s">
        <v>468</v>
      </c>
      <c r="B51" s="13" t="s">
        <v>1067</v>
      </c>
      <c r="C51" s="14" t="s">
        <v>1469</v>
      </c>
      <c r="D51" s="15" t="s">
        <v>1336</v>
      </c>
      <c r="E51" s="15" t="s">
        <v>1341</v>
      </c>
      <c r="F51" s="14" t="s">
        <v>1470</v>
      </c>
      <c r="G51" s="13" t="n">
        <f aca="false">IF(OR(D51="—",D51="",K51=""),"",COUNTIF($J$2:$J$259,J51)-1)</f>
        <v>0</v>
      </c>
      <c r="H51" s="15"/>
      <c r="I51" s="14"/>
      <c r="J51" s="5" t="str">
        <f aca="false">K51&amp;"|"&amp;D51&amp;"|"&amp;E51</f>
        <v>communication,energy,focus|Mind|Strong</v>
      </c>
      <c r="K51" s="5" t="s">
        <v>1471</v>
      </c>
      <c r="L51" s="5" t="str">
        <f aca="false">", "&amp;C51&amp;", "</f>
        <v>, focus, energy, communication, </v>
      </c>
    </row>
    <row r="52" customFormat="false" ht="15" hidden="false" customHeight="true" outlineLevel="0" collapsed="false">
      <c r="A52" s="13" t="s">
        <v>465</v>
      </c>
      <c r="B52" s="13" t="s">
        <v>1067</v>
      </c>
      <c r="C52" s="14" t="s">
        <v>1472</v>
      </c>
      <c r="D52" s="15" t="s">
        <v>1336</v>
      </c>
      <c r="E52" s="15" t="s">
        <v>1337</v>
      </c>
      <c r="F52" s="14" t="s">
        <v>1473</v>
      </c>
      <c r="G52" s="13" t="n">
        <f aca="false">IF(OR(D52="—",D52="",K52=""),"",COUNTIF($J$2:$J$259,J52)-1)</f>
        <v>0</v>
      </c>
      <c r="H52" s="15"/>
      <c r="I52" s="14"/>
      <c r="J52" s="5" t="str">
        <f aca="false">K52&amp;"|"&amp;D52&amp;"|"&amp;E52</f>
        <v>beauty,comfort,healing|Mind|Gentle</v>
      </c>
      <c r="K52" s="5" t="s">
        <v>1474</v>
      </c>
      <c r="L52" s="5" t="str">
        <f aca="false">", "&amp;C52&amp;", "</f>
        <v>, beauty, healing, comfort, </v>
      </c>
    </row>
    <row r="53" customFormat="false" ht="15" hidden="false" customHeight="true" outlineLevel="0" collapsed="false">
      <c r="A53" s="13" t="s">
        <v>27</v>
      </c>
      <c r="B53" s="13" t="s">
        <v>1067</v>
      </c>
      <c r="C53" s="14" t="s">
        <v>1475</v>
      </c>
      <c r="D53" s="15" t="s">
        <v>1336</v>
      </c>
      <c r="E53" s="15" t="s">
        <v>1337</v>
      </c>
      <c r="F53" s="14" t="s">
        <v>1476</v>
      </c>
      <c r="G53" s="13" t="n">
        <f aca="false">IF(OR(D53="—",D53="",K53=""),"",COUNTIF($J$2:$J$259,J53)-1)</f>
        <v>0</v>
      </c>
      <c r="H53" s="15"/>
      <c r="I53" s="14"/>
      <c r="J53" s="5" t="str">
        <f aca="false">K53&amp;"|"&amp;D53&amp;"|"&amp;E53</f>
        <v>comfort,joy,love,self-love|Mind|Gentle</v>
      </c>
      <c r="K53" s="5" t="s">
        <v>1477</v>
      </c>
      <c r="L53" s="5" t="str">
        <f aca="false">", "&amp;C53&amp;", "</f>
        <v>, love, self-love, comfort, joy, </v>
      </c>
    </row>
    <row r="54" customFormat="false" ht="15" hidden="false" customHeight="true" outlineLevel="0" collapsed="false">
      <c r="A54" s="13" t="s">
        <v>168</v>
      </c>
      <c r="B54" s="13" t="s">
        <v>1067</v>
      </c>
      <c r="C54" s="14" t="s">
        <v>1478</v>
      </c>
      <c r="D54" s="15" t="s">
        <v>1336</v>
      </c>
      <c r="E54" s="15" t="s">
        <v>1337</v>
      </c>
      <c r="F54" s="14" t="s">
        <v>1479</v>
      </c>
      <c r="G54" s="13" t="n">
        <f aca="false">IF(OR(D54="—",D54="",K54=""),"",COUNTIF($J$2:$J$259,J54)-1)</f>
        <v>0</v>
      </c>
      <c r="H54" s="15"/>
      <c r="I54" s="14"/>
      <c r="J54" s="5" t="str">
        <f aca="false">K54&amp;"|"&amp;D54&amp;"|"&amp;E54</f>
        <v>growth,love,patience|Mind|Gentle</v>
      </c>
      <c r="K54" s="5" t="s">
        <v>1480</v>
      </c>
      <c r="L54" s="5" t="str">
        <f aca="false">", "&amp;C54&amp;", "</f>
        <v>, patience, growth, love, </v>
      </c>
    </row>
    <row r="55" customFormat="false" ht="15" hidden="false" customHeight="true" outlineLevel="0" collapsed="false">
      <c r="A55" s="13" t="s">
        <v>114</v>
      </c>
      <c r="B55" s="13" t="s">
        <v>1067</v>
      </c>
      <c r="C55" s="14" t="s">
        <v>1481</v>
      </c>
      <c r="D55" s="15" t="s">
        <v>1352</v>
      </c>
      <c r="E55" s="15" t="s">
        <v>1341</v>
      </c>
      <c r="F55" s="14" t="s">
        <v>1482</v>
      </c>
      <c r="G55" s="13" t="n">
        <f aca="false">IF(OR(D55="—",D55="",K55=""),"",COUNTIF($J$2:$J$259,J55)-1)</f>
        <v>0</v>
      </c>
      <c r="H55" s="15"/>
      <c r="I55" s="14"/>
      <c r="J55" s="5" t="str">
        <f aca="false">K55&amp;"|"&amp;D55&amp;"|"&amp;E55</f>
        <v>boundaries,release|Space|Strong</v>
      </c>
      <c r="K55" s="5" t="s">
        <v>1483</v>
      </c>
      <c r="L55" s="5" t="str">
        <f aca="false">", "&amp;C55&amp;", "</f>
        <v>, boundaries, release, </v>
      </c>
    </row>
    <row r="56" customFormat="false" ht="15" hidden="false" customHeight="true" outlineLevel="0" collapsed="false">
      <c r="A56" s="13" t="s">
        <v>185</v>
      </c>
      <c r="B56" s="13" t="s">
        <v>1067</v>
      </c>
      <c r="C56" s="14" t="s">
        <v>1484</v>
      </c>
      <c r="D56" s="15" t="s">
        <v>1336</v>
      </c>
      <c r="E56" s="15" t="s">
        <v>1341</v>
      </c>
      <c r="F56" s="14" t="s">
        <v>1485</v>
      </c>
      <c r="G56" s="13" t="n">
        <f aca="false">IF(OR(D56="—",D56="",K56=""),"",COUNTIF($J$2:$J$259,J56)-1)</f>
        <v>0</v>
      </c>
      <c r="H56" s="15"/>
      <c r="I56" s="14"/>
      <c r="J56" s="5" t="str">
        <f aca="false">K56&amp;"|"&amp;D56&amp;"|"&amp;E56</f>
        <v>cleansing,focus,memory,protection|Mind|Strong</v>
      </c>
      <c r="K56" s="5" t="s">
        <v>1486</v>
      </c>
      <c r="L56" s="5" t="str">
        <f aca="false">", "&amp;C56&amp;", "</f>
        <v>, protection, memory, cleansing, focus, </v>
      </c>
    </row>
    <row r="57" customFormat="false" ht="15" hidden="false" customHeight="true" outlineLevel="0" collapsed="false">
      <c r="A57" s="13" t="s">
        <v>221</v>
      </c>
      <c r="B57" s="13" t="s">
        <v>1067</v>
      </c>
      <c r="C57" s="14" t="s">
        <v>1487</v>
      </c>
      <c r="D57" s="15" t="s">
        <v>1352</v>
      </c>
      <c r="E57" s="15" t="s">
        <v>1341</v>
      </c>
      <c r="F57" s="14" t="s">
        <v>1488</v>
      </c>
      <c r="G57" s="13" t="n">
        <f aca="false">IF(OR(D57="—",D57="",K57=""),"",COUNTIF($J$2:$J$259,J57)-1)</f>
        <v>0</v>
      </c>
      <c r="H57" s="15"/>
      <c r="I57" s="14"/>
      <c r="J57" s="5" t="str">
        <f aca="false">K57&amp;"|"&amp;D57&amp;"|"&amp;E57</f>
        <v>banishing,boundaries,protection|Space|Strong</v>
      </c>
      <c r="K57" s="5" t="s">
        <v>1489</v>
      </c>
      <c r="L57" s="5" t="str">
        <f aca="false">", "&amp;C57&amp;", "</f>
        <v>, protection, banishing, boundaries, </v>
      </c>
    </row>
    <row r="58" customFormat="false" ht="15" hidden="false" customHeight="true" outlineLevel="0" collapsed="false">
      <c r="A58" s="13" t="s">
        <v>545</v>
      </c>
      <c r="B58" s="13" t="s">
        <v>1067</v>
      </c>
      <c r="C58" s="14" t="s">
        <v>1490</v>
      </c>
      <c r="D58" s="15" t="s">
        <v>1336</v>
      </c>
      <c r="E58" s="15" t="s">
        <v>1337</v>
      </c>
      <c r="F58" s="14" t="s">
        <v>1491</v>
      </c>
      <c r="G58" s="13" t="n">
        <f aca="false">IF(OR(D58="—",D58="",K58=""),"",COUNTIF($J$2:$J$259,J58)-1)</f>
        <v>0</v>
      </c>
      <c r="H58" s="15"/>
      <c r="I58" s="14"/>
      <c r="J58" s="5" t="str">
        <f aca="false">K58&amp;"|"&amp;D58&amp;"|"&amp;E58</f>
        <v>beginnings,growth|Mind|Gentle</v>
      </c>
      <c r="K58" s="5" t="s">
        <v>1492</v>
      </c>
      <c r="L58" s="5" t="str">
        <f aca="false">", "&amp;C58&amp;", "</f>
        <v>, beginnings, growth, </v>
      </c>
    </row>
    <row r="59" customFormat="false" ht="15" hidden="false" customHeight="true" outlineLevel="0" collapsed="false">
      <c r="A59" s="13" t="s">
        <v>460</v>
      </c>
      <c r="B59" s="13" t="s">
        <v>1067</v>
      </c>
      <c r="C59" s="14" t="s">
        <v>1493</v>
      </c>
      <c r="D59" s="15" t="s">
        <v>1336</v>
      </c>
      <c r="E59" s="15" t="s">
        <v>1337</v>
      </c>
      <c r="F59" s="14" t="s">
        <v>1494</v>
      </c>
      <c r="G59" s="13" t="n">
        <f aca="false">IF(OR(D59="—",D59="",K59=""),"",COUNTIF($J$2:$J$259,J59)-1)</f>
        <v>0</v>
      </c>
      <c r="H59" s="15"/>
      <c r="I59" s="14"/>
      <c r="J59" s="5" t="str">
        <f aca="false">K59&amp;"|"&amp;D59&amp;"|"&amp;E59</f>
        <v>confidence,joy|Mind|Gentle</v>
      </c>
      <c r="K59" s="5" t="s">
        <v>1495</v>
      </c>
      <c r="L59" s="5" t="str">
        <f aca="false">", "&amp;C59&amp;", "</f>
        <v>, joy, confidence, </v>
      </c>
    </row>
    <row r="60" customFormat="false" ht="15" hidden="false" customHeight="true" outlineLevel="0" collapsed="false">
      <c r="A60" s="13" t="s">
        <v>483</v>
      </c>
      <c r="B60" s="13" t="s">
        <v>1067</v>
      </c>
      <c r="C60" s="14" t="s">
        <v>1496</v>
      </c>
      <c r="D60" s="15" t="s">
        <v>1352</v>
      </c>
      <c r="E60" s="15" t="s">
        <v>1337</v>
      </c>
      <c r="F60" s="14" t="s">
        <v>1497</v>
      </c>
      <c r="G60" s="13" t="n">
        <f aca="false">IF(OR(D60="—",D60="",K60=""),"",COUNTIF($J$2:$J$259,J60)-1)</f>
        <v>0</v>
      </c>
      <c r="H60" s="15"/>
      <c r="I60" s="14"/>
      <c r="J60" s="5" t="str">
        <f aca="false">K60&amp;"|"&amp;D60&amp;"|"&amp;E60</f>
        <v>friendship|Space|Gentle</v>
      </c>
      <c r="K60" s="5" t="s">
        <v>1496</v>
      </c>
      <c r="L60" s="5" t="str">
        <f aca="false">", "&amp;C60&amp;", "</f>
        <v>, friendship, </v>
      </c>
    </row>
    <row r="61" customFormat="false" ht="15" hidden="false" customHeight="true" outlineLevel="0" collapsed="false">
      <c r="A61" s="13" t="s">
        <v>353</v>
      </c>
      <c r="B61" s="13" t="s">
        <v>1067</v>
      </c>
      <c r="C61" s="14" t="s">
        <v>1498</v>
      </c>
      <c r="D61" s="15" t="s">
        <v>1336</v>
      </c>
      <c r="E61" s="15" t="s">
        <v>1341</v>
      </c>
      <c r="F61" s="14" t="s">
        <v>1499</v>
      </c>
      <c r="G61" s="13" t="n">
        <f aca="false">IF(OR(D61="—",D61="",K61=""),"",COUNTIF($J$2:$J$259,J61)-1)</f>
        <v>0</v>
      </c>
      <c r="H61" s="15"/>
      <c r="I61" s="14"/>
      <c r="J61" s="5" t="str">
        <f aca="false">K61&amp;"|"&amp;D61&amp;"|"&amp;E61</f>
        <v>confidence,courage|Mind|Strong</v>
      </c>
      <c r="K61" s="5" t="s">
        <v>1500</v>
      </c>
      <c r="L61" s="5" t="str">
        <f aca="false">", "&amp;C61&amp;", "</f>
        <v>, courage, confidence, </v>
      </c>
    </row>
    <row r="62" customFormat="false" ht="15" hidden="false" customHeight="true" outlineLevel="0" collapsed="false">
      <c r="A62" s="13" t="s">
        <v>605</v>
      </c>
      <c r="B62" s="13" t="s">
        <v>1067</v>
      </c>
      <c r="C62" s="14" t="s">
        <v>1429</v>
      </c>
      <c r="D62" s="15" t="s">
        <v>1345</v>
      </c>
      <c r="E62" s="15" t="s">
        <v>1341</v>
      </c>
      <c r="F62" s="14" t="s">
        <v>1501</v>
      </c>
      <c r="G62" s="13" t="n">
        <f aca="false">IF(OR(D62="—",D62="",K62=""),"",COUNTIF($J$2:$J$259,J62)-1)</f>
        <v>0</v>
      </c>
      <c r="H62" s="15"/>
      <c r="I62" s="14"/>
      <c r="J62" s="5" t="str">
        <f aca="false">K62&amp;"|"&amp;D62&amp;"|"&amp;E62</f>
        <v>calm,rest,sleep|Body|Strong</v>
      </c>
      <c r="K62" s="5" t="s">
        <v>1431</v>
      </c>
      <c r="L62" s="5" t="str">
        <f aca="false">", "&amp;C62&amp;", "</f>
        <v>, sleep, rest, calm, </v>
      </c>
    </row>
    <row r="63" customFormat="false" ht="15" hidden="false" customHeight="true" outlineLevel="0" collapsed="false">
      <c r="A63" s="13" t="s">
        <v>430</v>
      </c>
      <c r="B63" s="13" t="s">
        <v>1067</v>
      </c>
      <c r="C63" s="14" t="s">
        <v>1502</v>
      </c>
      <c r="D63" s="15" t="s">
        <v>1336</v>
      </c>
      <c r="E63" s="15" t="s">
        <v>1337</v>
      </c>
      <c r="F63" s="14" t="s">
        <v>1503</v>
      </c>
      <c r="G63" s="13" t="n">
        <f aca="false">IF(OR(D63="—",D63="",K63=""),"",COUNTIF($J$2:$J$259,J63)-1)</f>
        <v>0</v>
      </c>
      <c r="H63" s="15"/>
      <c r="I63" s="14"/>
      <c r="J63" s="5" t="str">
        <f aca="false">K63&amp;"|"&amp;D63&amp;"|"&amp;E63</f>
        <v>creativity,dreams,wonder|Mind|Gentle</v>
      </c>
      <c r="K63" s="5" t="s">
        <v>1504</v>
      </c>
      <c r="L63" s="5" t="str">
        <f aca="false">", "&amp;C63&amp;", "</f>
        <v>, dreams, creativity, wonder, </v>
      </c>
    </row>
    <row r="64" customFormat="false" ht="15" hidden="false" customHeight="true" outlineLevel="0" collapsed="false">
      <c r="A64" s="13" t="s">
        <v>441</v>
      </c>
      <c r="B64" s="13" t="s">
        <v>1067</v>
      </c>
      <c r="C64" s="14" t="s">
        <v>1505</v>
      </c>
      <c r="D64" s="15" t="s">
        <v>1336</v>
      </c>
      <c r="E64" s="15" t="s">
        <v>1337</v>
      </c>
      <c r="F64" s="14" t="s">
        <v>1506</v>
      </c>
      <c r="G64" s="13" t="n">
        <f aca="false">IF(OR(D64="—",D64="",K64=""),"",COUNTIF($J$2:$J$259,J64)-1)</f>
        <v>0</v>
      </c>
      <c r="H64" s="15"/>
      <c r="I64" s="14"/>
      <c r="J64" s="5" t="str">
        <f aca="false">K64&amp;"|"&amp;D64&amp;"|"&amp;E64</f>
        <v>beauty,calm,truth|Mind|Gentle</v>
      </c>
      <c r="K64" s="5" t="s">
        <v>1507</v>
      </c>
      <c r="L64" s="5" t="str">
        <f aca="false">", "&amp;C64&amp;", "</f>
        <v>, beauty, calm, truth, </v>
      </c>
    </row>
    <row r="65" customFormat="false" ht="15" hidden="false" customHeight="true" outlineLevel="0" collapsed="false">
      <c r="A65" s="13" t="s">
        <v>653</v>
      </c>
      <c r="B65" s="13" t="s">
        <v>1067</v>
      </c>
      <c r="C65" s="14" t="s">
        <v>1508</v>
      </c>
      <c r="D65" s="15" t="s">
        <v>1336</v>
      </c>
      <c r="E65" s="15" t="s">
        <v>1341</v>
      </c>
      <c r="F65" s="14" t="s">
        <v>1509</v>
      </c>
      <c r="G65" s="13" t="n">
        <f aca="false">IF(OR(D65="—",D65="",K65=""),"",COUNTIF($J$2:$J$259,J65)-1)</f>
        <v>0</v>
      </c>
      <c r="H65" s="15"/>
      <c r="I65" s="14"/>
      <c r="J65" s="5" t="str">
        <f aca="false">K65&amp;"|"&amp;D65&amp;"|"&amp;E65</f>
        <v>transformation|Mind|Strong</v>
      </c>
      <c r="K65" s="5" t="s">
        <v>1508</v>
      </c>
      <c r="L65" s="5" t="str">
        <f aca="false">", "&amp;C65&amp;", "</f>
        <v>, transformation, </v>
      </c>
    </row>
    <row r="66" customFormat="false" ht="15" hidden="false" customHeight="true" outlineLevel="0" collapsed="false">
      <c r="A66" s="13" t="s">
        <v>356</v>
      </c>
      <c r="B66" s="13" t="s">
        <v>1067</v>
      </c>
      <c r="C66" s="14" t="s">
        <v>1510</v>
      </c>
      <c r="D66" s="15" t="s">
        <v>1352</v>
      </c>
      <c r="E66" s="15" t="s">
        <v>1337</v>
      </c>
      <c r="F66" s="14" t="s">
        <v>1511</v>
      </c>
      <c r="G66" s="13" t="n">
        <f aca="false">IF(OR(D66="—",D66="",K66=""),"",COUNTIF($J$2:$J$259,J66)-1)</f>
        <v>0</v>
      </c>
      <c r="H66" s="15"/>
      <c r="I66" s="14"/>
      <c r="J66" s="5" t="str">
        <f aca="false">K66&amp;"|"&amp;D66&amp;"|"&amp;E66</f>
        <v>abundance,gratitude,home|Space|Gentle</v>
      </c>
      <c r="K66" s="5" t="s">
        <v>1512</v>
      </c>
      <c r="L66" s="5" t="str">
        <f aca="false">", "&amp;C66&amp;", "</f>
        <v>, abundance, gratitude, home, </v>
      </c>
    </row>
    <row r="67" customFormat="false" ht="23.25" hidden="false" customHeight="true" outlineLevel="0" collapsed="false">
      <c r="A67" s="13" t="s">
        <v>667</v>
      </c>
      <c r="B67" s="13" t="s">
        <v>1067</v>
      </c>
      <c r="C67" s="14" t="s">
        <v>1513</v>
      </c>
      <c r="D67" s="15" t="s">
        <v>1352</v>
      </c>
      <c r="E67" s="15" t="s">
        <v>1337</v>
      </c>
      <c r="F67" s="14" t="s">
        <v>1514</v>
      </c>
      <c r="G67" s="13" t="n">
        <f aca="false">IF(OR(D67="—",D67="",K67=""),"",COUNTIF($J$2:$J$259,J67)-1)</f>
        <v>0</v>
      </c>
      <c r="H67" s="15" t="s">
        <v>1396</v>
      </c>
      <c r="I67" s="14" t="s">
        <v>1515</v>
      </c>
      <c r="J67" s="5" t="str">
        <f aca="false">K67&amp;"|"&amp;D67&amp;"|"&amp;E67</f>
        <v>connection,healing,release|Space|Gentle</v>
      </c>
      <c r="K67" s="5" t="s">
        <v>1516</v>
      </c>
      <c r="L67" s="5" t="str">
        <f aca="false">", "&amp;C67&amp;", "</f>
        <v>, healing, connection, release, </v>
      </c>
    </row>
    <row r="68" customFormat="false" ht="15" hidden="false" customHeight="true" outlineLevel="0" collapsed="false">
      <c r="A68" s="13" t="s">
        <v>359</v>
      </c>
      <c r="B68" s="13" t="s">
        <v>1067</v>
      </c>
      <c r="C68" s="14" t="s">
        <v>1517</v>
      </c>
      <c r="D68" s="15" t="s">
        <v>1336</v>
      </c>
      <c r="E68" s="15" t="s">
        <v>1337</v>
      </c>
      <c r="F68" s="14" t="s">
        <v>1518</v>
      </c>
      <c r="G68" s="13" t="n">
        <f aca="false">IF(OR(D68="—",D68="",K68=""),"",COUNTIF($J$2:$J$259,J68)-1)</f>
        <v>0</v>
      </c>
      <c r="H68" s="15"/>
      <c r="I68" s="14"/>
      <c r="J68" s="5" t="str">
        <f aca="false">K68&amp;"|"&amp;D68&amp;"|"&amp;E68</f>
        <v>connection,gratitude,memory|Mind|Gentle</v>
      </c>
      <c r="K68" s="5" t="s">
        <v>1519</v>
      </c>
      <c r="L68" s="5" t="str">
        <f aca="false">", "&amp;C68&amp;", "</f>
        <v>, gratitude, connection, memory, </v>
      </c>
    </row>
    <row r="69" customFormat="false" ht="15" hidden="false" customHeight="true" outlineLevel="0" collapsed="false">
      <c r="A69" s="13" t="s">
        <v>160</v>
      </c>
      <c r="B69" s="13" t="s">
        <v>1067</v>
      </c>
      <c r="C69" s="14" t="s">
        <v>1520</v>
      </c>
      <c r="D69" s="15" t="s">
        <v>1345</v>
      </c>
      <c r="E69" s="15" t="s">
        <v>1341</v>
      </c>
      <c r="F69" s="14" t="s">
        <v>1521</v>
      </c>
      <c r="G69" s="13" t="n">
        <f aca="false">IF(OR(D69="—",D69="",K69=""),"",COUNTIF($J$2:$J$259,J69)-1)</f>
        <v>0</v>
      </c>
      <c r="H69" s="15"/>
      <c r="I69" s="14"/>
      <c r="J69" s="5" t="str">
        <f aca="false">K69&amp;"|"&amp;D69&amp;"|"&amp;E69</f>
        <v>comfort,energy,focus|Body|Strong</v>
      </c>
      <c r="K69" s="5" t="s">
        <v>1522</v>
      </c>
      <c r="L69" s="5" t="str">
        <f aca="false">", "&amp;C69&amp;", "</f>
        <v>, focus, energy, comfort, </v>
      </c>
    </row>
    <row r="70" customFormat="false" ht="15" hidden="false" customHeight="true" outlineLevel="0" collapsed="false">
      <c r="A70" s="13" t="s">
        <v>244</v>
      </c>
      <c r="B70" s="13" t="s">
        <v>1067</v>
      </c>
      <c r="C70" s="14" t="s">
        <v>1523</v>
      </c>
      <c r="D70" s="15" t="s">
        <v>1352</v>
      </c>
      <c r="E70" s="15" t="s">
        <v>1341</v>
      </c>
      <c r="F70" s="14" t="s">
        <v>1524</v>
      </c>
      <c r="G70" s="13" t="n">
        <f aca="false">IF(OR(D70="—",D70="",K70=""),"",COUNTIF($J$2:$J$259,J70)-1)</f>
        <v>0</v>
      </c>
      <c r="H70" s="15"/>
      <c r="I70" s="14"/>
      <c r="J70" s="5" t="str">
        <f aca="false">K70&amp;"|"&amp;D70&amp;"|"&amp;E70</f>
        <v>cleansing,home,protection|Space|Strong</v>
      </c>
      <c r="K70" s="5" t="s">
        <v>1525</v>
      </c>
      <c r="L70" s="5" t="str">
        <f aca="false">", "&amp;C70&amp;", "</f>
        <v>, protection, cleansing, home, </v>
      </c>
    </row>
    <row r="71" customFormat="false" ht="23.25" hidden="false" customHeight="true" outlineLevel="0" collapsed="false">
      <c r="A71" s="13" t="s">
        <v>52</v>
      </c>
      <c r="B71" s="13" t="s">
        <v>1067</v>
      </c>
      <c r="C71" s="14" t="s">
        <v>1526</v>
      </c>
      <c r="D71" s="15" t="s">
        <v>1352</v>
      </c>
      <c r="E71" s="15" t="s">
        <v>1337</v>
      </c>
      <c r="F71" s="14" t="s">
        <v>1527</v>
      </c>
      <c r="G71" s="13" t="n">
        <f aca="false">IF(OR(D71="—",D71="",K71=""),"",COUNTIF($J$2:$J$259,J71)-1)</f>
        <v>0</v>
      </c>
      <c r="H71" s="15"/>
      <c r="I71" s="14"/>
      <c r="J71" s="5" t="str">
        <f aca="false">K71&amp;"|"&amp;D71&amp;"|"&amp;E71</f>
        <v>home|Space|Gentle</v>
      </c>
      <c r="K71" s="5" t="s">
        <v>1526</v>
      </c>
      <c r="L71" s="5" t="str">
        <f aca="false">", "&amp;C71&amp;", "</f>
        <v>, home, </v>
      </c>
    </row>
    <row r="72" customFormat="false" ht="15" hidden="false" customHeight="true" outlineLevel="0" collapsed="false">
      <c r="A72" s="13" t="s">
        <v>116</v>
      </c>
      <c r="B72" s="13" t="s">
        <v>1067</v>
      </c>
      <c r="C72" s="14" t="s">
        <v>1528</v>
      </c>
      <c r="D72" s="15" t="s">
        <v>1336</v>
      </c>
      <c r="E72" s="15" t="s">
        <v>1337</v>
      </c>
      <c r="F72" s="14" t="s">
        <v>1529</v>
      </c>
      <c r="G72" s="13" t="n">
        <f aca="false">IF(OR(D72="—",D72="",K72=""),"",COUNTIF($J$2:$J$259,J72)-1)</f>
        <v>0</v>
      </c>
      <c r="H72" s="15"/>
      <c r="I72" s="14"/>
      <c r="J72" s="5" t="str">
        <f aca="false">K72&amp;"|"&amp;D72&amp;"|"&amp;E72</f>
        <v>comfort,endings,release|Mind|Gentle</v>
      </c>
      <c r="K72" s="5" t="s">
        <v>1530</v>
      </c>
      <c r="L72" s="5" t="str">
        <f aca="false">", "&amp;C72&amp;", "</f>
        <v>, endings, comfort, release, </v>
      </c>
    </row>
    <row r="73" customFormat="false" ht="15" hidden="false" customHeight="true" outlineLevel="0" collapsed="false">
      <c r="A73" s="13" t="s">
        <v>199</v>
      </c>
      <c r="B73" s="13" t="s">
        <v>1067</v>
      </c>
      <c r="C73" s="14" t="s">
        <v>1531</v>
      </c>
      <c r="D73" s="15" t="s">
        <v>1352</v>
      </c>
      <c r="E73" s="15" t="s">
        <v>1341</v>
      </c>
      <c r="F73" s="14" t="s">
        <v>1532</v>
      </c>
      <c r="G73" s="13" t="n">
        <f aca="false">IF(OR(D73="—",D73="",K73=""),"",COUNTIF($J$2:$J$259,J73)-1)</f>
        <v>0</v>
      </c>
      <c r="H73" s="15"/>
      <c r="I73" s="14"/>
      <c r="J73" s="5" t="str">
        <f aca="false">K73&amp;"|"&amp;D73&amp;"|"&amp;E73</f>
        <v>cleansing,protection|Space|Strong</v>
      </c>
      <c r="K73" s="5" t="s">
        <v>1533</v>
      </c>
      <c r="L73" s="5" t="str">
        <f aca="false">", "&amp;C73&amp;", "</f>
        <v>, protection, cleansing, </v>
      </c>
    </row>
    <row r="74" customFormat="false" ht="15" hidden="false" customHeight="true" outlineLevel="0" collapsed="false">
      <c r="A74" s="13" t="s">
        <v>512</v>
      </c>
      <c r="B74" s="13" t="s">
        <v>1067</v>
      </c>
      <c r="C74" s="14" t="s">
        <v>1534</v>
      </c>
      <c r="D74" s="15" t="s">
        <v>1352</v>
      </c>
      <c r="E74" s="15" t="s">
        <v>1337</v>
      </c>
      <c r="F74" s="14" t="s">
        <v>1535</v>
      </c>
      <c r="G74" s="13" t="n">
        <f aca="false">IF(OR(D74="—",D74="",K74=""),"",COUNTIF($J$2:$J$259,J74)-1)</f>
        <v>0</v>
      </c>
      <c r="H74" s="15"/>
      <c r="I74" s="14"/>
      <c r="J74" s="5" t="str">
        <f aca="false">K74&amp;"|"&amp;D74&amp;"|"&amp;E74</f>
        <v>connection,joy|Space|Gentle</v>
      </c>
      <c r="K74" s="5" t="s">
        <v>1536</v>
      </c>
      <c r="L74" s="5" t="str">
        <f aca="false">", "&amp;C74&amp;", "</f>
        <v>, joy, connection, </v>
      </c>
    </row>
    <row r="75" customFormat="false" ht="23.25" hidden="false" customHeight="true" outlineLevel="0" collapsed="false">
      <c r="A75" s="13" t="s">
        <v>616</v>
      </c>
      <c r="B75" s="13" t="s">
        <v>1067</v>
      </c>
      <c r="C75" s="14" t="s">
        <v>1537</v>
      </c>
      <c r="D75" s="15" t="s">
        <v>1345</v>
      </c>
      <c r="E75" s="15" t="s">
        <v>1337</v>
      </c>
      <c r="F75" s="14" t="s">
        <v>1538</v>
      </c>
      <c r="G75" s="13" t="n">
        <f aca="false">IF(OR(D75="—",D75="",K75=""),"",COUNTIF($J$2:$J$259,J75)-1)</f>
        <v>0</v>
      </c>
      <c r="H75" s="15" t="s">
        <v>1396</v>
      </c>
      <c r="I75" s="14" t="s">
        <v>1539</v>
      </c>
      <c r="J75" s="5" t="str">
        <f aca="false">K75&amp;"|"&amp;D75&amp;"|"&amp;E75</f>
        <v>intuition,release|Body|Gentle</v>
      </c>
      <c r="K75" s="5" t="s">
        <v>1540</v>
      </c>
      <c r="L75" s="5" t="str">
        <f aca="false">", "&amp;C75&amp;", "</f>
        <v>, release, intuition, </v>
      </c>
    </row>
    <row r="76" customFormat="false" ht="15" hidden="false" customHeight="true" outlineLevel="0" collapsed="false">
      <c r="A76" s="13" t="s">
        <v>409</v>
      </c>
      <c r="B76" s="13" t="s">
        <v>1067</v>
      </c>
      <c r="C76" s="14" t="s">
        <v>1541</v>
      </c>
      <c r="D76" s="15" t="s">
        <v>1336</v>
      </c>
      <c r="E76" s="15" t="s">
        <v>1337</v>
      </c>
      <c r="F76" s="14" t="s">
        <v>1542</v>
      </c>
      <c r="G76" s="13" t="n">
        <f aca="false">IF(OR(D76="—",D76="",K76=""),"",COUNTIF($J$2:$J$259,J76)-1)</f>
        <v>0</v>
      </c>
      <c r="H76" s="15"/>
      <c r="I76" s="14"/>
      <c r="J76" s="5" t="str">
        <f aca="false">K76&amp;"|"&amp;D76&amp;"|"&amp;E76</f>
        <v>gratitude,transformation|Mind|Gentle</v>
      </c>
      <c r="K76" s="5" t="s">
        <v>1543</v>
      </c>
      <c r="L76" s="5" t="str">
        <f aca="false">", "&amp;C76&amp;", "</f>
        <v>, transformation, gratitude, </v>
      </c>
    </row>
    <row r="77" customFormat="false" ht="15" hidden="false" customHeight="true" outlineLevel="0" collapsed="false">
      <c r="A77" s="13" t="s">
        <v>57</v>
      </c>
      <c r="B77" s="13" t="s">
        <v>1126</v>
      </c>
      <c r="C77" s="14" t="s">
        <v>1544</v>
      </c>
      <c r="D77" s="15" t="s">
        <v>1336</v>
      </c>
      <c r="E77" s="15" t="s">
        <v>1337</v>
      </c>
      <c r="F77" s="14" t="s">
        <v>1545</v>
      </c>
      <c r="G77" s="13" t="n">
        <f aca="false">IF(OR(D77="—",D77="",K77=""),"",COUNTIF($J$2:$J$259,J77)-1)</f>
        <v>0</v>
      </c>
      <c r="H77" s="15"/>
      <c r="I77" s="14"/>
      <c r="J77" s="5" t="str">
        <f aca="false">K77&amp;"|"&amp;D77&amp;"|"&amp;E77</f>
        <v>love|Mind|Gentle</v>
      </c>
      <c r="K77" s="5" t="s">
        <v>1544</v>
      </c>
      <c r="L77" s="5" t="str">
        <f aca="false">", "&amp;C77&amp;", "</f>
        <v>, love, </v>
      </c>
    </row>
    <row r="78" customFormat="false" ht="15" hidden="false" customHeight="true" outlineLevel="0" collapsed="false">
      <c r="A78" s="13" t="s">
        <v>66</v>
      </c>
      <c r="B78" s="13" t="s">
        <v>1126</v>
      </c>
      <c r="C78" s="14" t="s">
        <v>1546</v>
      </c>
      <c r="D78" s="15" t="s">
        <v>1352</v>
      </c>
      <c r="E78" s="15" t="s">
        <v>1337</v>
      </c>
      <c r="F78" s="14" t="s">
        <v>1547</v>
      </c>
      <c r="G78" s="13" t="n">
        <f aca="false">IF(OR(D78="—",D78="",K78=""),"",COUNTIF($J$2:$J$259,J78)-1)</f>
        <v>0</v>
      </c>
      <c r="H78" s="15"/>
      <c r="I78" s="14"/>
      <c r="J78" s="5" t="str">
        <f aca="false">K78&amp;"|"&amp;D78&amp;"|"&amp;E78</f>
        <v>home,love|Space|Gentle</v>
      </c>
      <c r="K78" s="5" t="s">
        <v>1548</v>
      </c>
      <c r="L78" s="5" t="str">
        <f aca="false">", "&amp;C78&amp;", "</f>
        <v>, love, home, </v>
      </c>
    </row>
    <row r="79" customFormat="false" ht="15" hidden="false" customHeight="true" outlineLevel="0" collapsed="false">
      <c r="A79" s="13" t="s">
        <v>839</v>
      </c>
      <c r="B79" s="13" t="s">
        <v>1126</v>
      </c>
      <c r="C79" s="14" t="s">
        <v>1549</v>
      </c>
      <c r="D79" s="15" t="s">
        <v>1336</v>
      </c>
      <c r="E79" s="15" t="s">
        <v>1337</v>
      </c>
      <c r="F79" s="14" t="s">
        <v>1550</v>
      </c>
      <c r="G79" s="13" t="n">
        <f aca="false">IF(OR(D79="—",D79="",K79=""),"",COUNTIF($J$2:$J$259,J79)-1)</f>
        <v>0</v>
      </c>
      <c r="H79" s="15"/>
      <c r="I79" s="14"/>
      <c r="J79" s="5" t="str">
        <f aca="false">K79&amp;"|"&amp;D79&amp;"|"&amp;E79</f>
        <v>play,wonder|Mind|Gentle</v>
      </c>
      <c r="K79" s="5" t="s">
        <v>1551</v>
      </c>
      <c r="L79" s="5" t="str">
        <f aca="false">", "&amp;C79&amp;", "</f>
        <v>, play, wonder, </v>
      </c>
    </row>
    <row r="80" customFormat="false" ht="15" hidden="false" customHeight="true" outlineLevel="0" collapsed="false">
      <c r="A80" s="13" t="s">
        <v>315</v>
      </c>
      <c r="B80" s="13" t="s">
        <v>1126</v>
      </c>
      <c r="C80" s="14" t="s">
        <v>1552</v>
      </c>
      <c r="D80" s="15" t="s">
        <v>1352</v>
      </c>
      <c r="E80" s="15" t="s">
        <v>1337</v>
      </c>
      <c r="F80" s="14" t="s">
        <v>1553</v>
      </c>
      <c r="G80" s="13" t="n">
        <f aca="false">IF(OR(D80="—",D80="",K80=""),"",COUNTIF($J$2:$J$259,J80)-1)</f>
        <v>0</v>
      </c>
      <c r="H80" s="15"/>
      <c r="I80" s="14"/>
      <c r="J80" s="5" t="str">
        <f aca="false">K80&amp;"|"&amp;D80&amp;"|"&amp;E80</f>
        <v>joy,success|Space|Gentle</v>
      </c>
      <c r="K80" s="5" t="s">
        <v>1554</v>
      </c>
      <c r="L80" s="5" t="str">
        <f aca="false">", "&amp;C80&amp;", "</f>
        <v>, joy, success, </v>
      </c>
    </row>
    <row r="81" customFormat="false" ht="15" hidden="false" customHeight="true" outlineLevel="0" collapsed="false">
      <c r="A81" s="13" t="s">
        <v>528</v>
      </c>
      <c r="B81" s="13" t="s">
        <v>1126</v>
      </c>
      <c r="C81" s="14" t="s">
        <v>1555</v>
      </c>
      <c r="D81" s="15" t="s">
        <v>1345</v>
      </c>
      <c r="E81" s="15" t="s">
        <v>1341</v>
      </c>
      <c r="F81" s="14" t="s">
        <v>1556</v>
      </c>
      <c r="G81" s="13" t="n">
        <f aca="false">IF(OR(D81="—",D81="",K81=""),"",COUNTIF($J$2:$J$259,J81)-1)</f>
        <v>0</v>
      </c>
      <c r="H81" s="15"/>
      <c r="I81" s="14"/>
      <c r="J81" s="5" t="str">
        <f aca="false">K81&amp;"|"&amp;D81&amp;"|"&amp;E81</f>
        <v>cleansing,focus,joy|Body|Strong</v>
      </c>
      <c r="K81" s="5" t="s">
        <v>1557</v>
      </c>
      <c r="L81" s="5" t="str">
        <f aca="false">", "&amp;C81&amp;", "</f>
        <v>, cleansing, joy, focus, </v>
      </c>
    </row>
    <row r="82" customFormat="false" ht="15" hidden="false" customHeight="true" outlineLevel="0" collapsed="false">
      <c r="A82" s="13" t="s">
        <v>246</v>
      </c>
      <c r="B82" s="13" t="s">
        <v>1126</v>
      </c>
      <c r="C82" s="14" t="s">
        <v>1558</v>
      </c>
      <c r="D82" s="15" t="s">
        <v>1352</v>
      </c>
      <c r="E82" s="15" t="s">
        <v>1341</v>
      </c>
      <c r="F82" s="14" t="s">
        <v>1559</v>
      </c>
      <c r="G82" s="13" t="n">
        <f aca="false">IF(OR(D82="—",D82="",K82=""),"",COUNTIF($J$2:$J$259,J82)-1)</f>
        <v>0</v>
      </c>
      <c r="H82" s="15"/>
      <c r="I82" s="14"/>
      <c r="J82" s="5" t="str">
        <f aca="false">K82&amp;"|"&amp;D82&amp;"|"&amp;E82</f>
        <v>cleansing,focus,joy|Space|Strong</v>
      </c>
      <c r="K82" s="5" t="s">
        <v>1557</v>
      </c>
      <c r="L82" s="5" t="str">
        <f aca="false">", "&amp;C82&amp;", "</f>
        <v>, cleansing, focus, joy, </v>
      </c>
    </row>
    <row r="83" customFormat="false" ht="15" hidden="false" customHeight="true" outlineLevel="0" collapsed="false">
      <c r="A83" s="13" t="s">
        <v>223</v>
      </c>
      <c r="B83" s="13" t="s">
        <v>1126</v>
      </c>
      <c r="C83" s="14" t="s">
        <v>1560</v>
      </c>
      <c r="D83" s="15" t="s">
        <v>1352</v>
      </c>
      <c r="E83" s="15" t="s">
        <v>1341</v>
      </c>
      <c r="F83" s="14" t="s">
        <v>1561</v>
      </c>
      <c r="G83" s="13" t="n">
        <f aca="false">IF(OR(D83="—",D83="",K83=""),"",COUNTIF($J$2:$J$259,J83)-1)</f>
        <v>0</v>
      </c>
      <c r="H83" s="15"/>
      <c r="I83" s="14"/>
      <c r="J83" s="5" t="str">
        <f aca="false">K83&amp;"|"&amp;D83&amp;"|"&amp;E83</f>
        <v>banishing,cleansing,release|Space|Strong</v>
      </c>
      <c r="K83" s="5" t="s">
        <v>1562</v>
      </c>
      <c r="L83" s="5" t="str">
        <f aca="false">", "&amp;C83&amp;", "</f>
        <v>, cleansing, banishing, release, </v>
      </c>
    </row>
    <row r="84" customFormat="false" ht="15" hidden="false" customHeight="true" outlineLevel="0" collapsed="false">
      <c r="A84" s="13" t="s">
        <v>622</v>
      </c>
      <c r="B84" s="13" t="s">
        <v>1126</v>
      </c>
      <c r="C84" s="14" t="s">
        <v>1563</v>
      </c>
      <c r="D84" s="15" t="s">
        <v>1336</v>
      </c>
      <c r="E84" s="15" t="s">
        <v>1337</v>
      </c>
      <c r="F84" s="14" t="s">
        <v>1564</v>
      </c>
      <c r="G84" s="13" t="n">
        <f aca="false">IF(OR(D84="—",D84="",K84=""),"",COUNTIF($J$2:$J$259,J84)-1)</f>
        <v>0</v>
      </c>
      <c r="H84" s="15"/>
      <c r="I84" s="14"/>
      <c r="J84" s="5" t="str">
        <f aca="false">K84&amp;"|"&amp;D84&amp;"|"&amp;E84</f>
        <v>abundance,joy|Mind|Gentle</v>
      </c>
      <c r="K84" s="5" t="s">
        <v>1565</v>
      </c>
      <c r="L84" s="5" t="str">
        <f aca="false">", "&amp;C84&amp;", "</f>
        <v>, joy, abundance, </v>
      </c>
    </row>
    <row r="85" customFormat="false" ht="15" hidden="false" customHeight="true" outlineLevel="0" collapsed="false">
      <c r="A85" s="13" t="s">
        <v>321</v>
      </c>
      <c r="B85" s="13" t="s">
        <v>1126</v>
      </c>
      <c r="C85" s="14" t="s">
        <v>1566</v>
      </c>
      <c r="D85" s="15" t="s">
        <v>1352</v>
      </c>
      <c r="E85" s="15" t="s">
        <v>1337</v>
      </c>
      <c r="F85" s="14" t="s">
        <v>1567</v>
      </c>
      <c r="G85" s="13" t="n">
        <f aca="false">IF(OR(D85="—",D85="",K85=""),"",COUNTIF($J$2:$J$259,J85)-1)</f>
        <v>0</v>
      </c>
      <c r="H85" s="15"/>
      <c r="I85" s="14"/>
      <c r="J85" s="5" t="str">
        <f aca="false">K85&amp;"|"&amp;D85&amp;"|"&amp;E85</f>
        <v>abundance,comfort,energy,joy|Space|Gentle</v>
      </c>
      <c r="K85" s="5" t="s">
        <v>1568</v>
      </c>
      <c r="L85" s="5" t="str">
        <f aca="false">", "&amp;C85&amp;", "</f>
        <v>, joy, abundance, energy, comfort, </v>
      </c>
    </row>
    <row r="86" customFormat="false" ht="15" hidden="false" customHeight="true" outlineLevel="0" collapsed="false">
      <c r="A86" s="13" t="s">
        <v>87</v>
      </c>
      <c r="B86" s="13" t="s">
        <v>1126</v>
      </c>
      <c r="C86" s="14" t="s">
        <v>1569</v>
      </c>
      <c r="D86" s="15" t="s">
        <v>1345</v>
      </c>
      <c r="E86" s="15" t="s">
        <v>1337</v>
      </c>
      <c r="F86" s="14" t="s">
        <v>1570</v>
      </c>
      <c r="G86" s="13" t="n">
        <f aca="false">IF(OR(D86="—",D86="",K86=""),"",COUNTIF($J$2:$J$259,J86)-1)</f>
        <v>0</v>
      </c>
      <c r="H86" s="15"/>
      <c r="I86" s="14"/>
      <c r="J86" s="5" t="str">
        <f aca="false">K86&amp;"|"&amp;D86&amp;"|"&amp;E86</f>
        <v>beauty|Body|Gentle</v>
      </c>
      <c r="K86" s="5" t="s">
        <v>1569</v>
      </c>
      <c r="L86" s="5" t="str">
        <f aca="false">", "&amp;C86&amp;", "</f>
        <v>, beauty, </v>
      </c>
    </row>
    <row r="87" customFormat="false" ht="15" hidden="false" customHeight="true" outlineLevel="0" collapsed="false">
      <c r="A87" s="13" t="s">
        <v>378</v>
      </c>
      <c r="B87" s="13" t="s">
        <v>1126</v>
      </c>
      <c r="C87" s="14" t="s">
        <v>1571</v>
      </c>
      <c r="D87" s="15" t="s">
        <v>1336</v>
      </c>
      <c r="E87" s="15" t="s">
        <v>1341</v>
      </c>
      <c r="F87" s="14" t="s">
        <v>1572</v>
      </c>
      <c r="G87" s="13" t="n">
        <f aca="false">IF(OR(D87="—",D87="",K87=""),"",COUNTIF($J$2:$J$259,J87)-1)</f>
        <v>0</v>
      </c>
      <c r="H87" s="15"/>
      <c r="I87" s="14"/>
      <c r="J87" s="5" t="str">
        <f aca="false">K87&amp;"|"&amp;D87&amp;"|"&amp;E87</f>
        <v>abundance,transformation|Mind|Strong</v>
      </c>
      <c r="K87" s="5" t="s">
        <v>1573</v>
      </c>
      <c r="L87" s="5" t="str">
        <f aca="false">", "&amp;C87&amp;", "</f>
        <v>, abundance, transformation, </v>
      </c>
    </row>
    <row r="88" customFormat="false" ht="15" hidden="false" customHeight="true" outlineLevel="0" collapsed="false">
      <c r="A88" s="13" t="s">
        <v>107</v>
      </c>
      <c r="B88" s="13" t="s">
        <v>1126</v>
      </c>
      <c r="C88" s="14" t="s">
        <v>1574</v>
      </c>
      <c r="D88" s="15" t="s">
        <v>1345</v>
      </c>
      <c r="E88" s="15" t="s">
        <v>1337</v>
      </c>
      <c r="F88" s="14" t="s">
        <v>1575</v>
      </c>
      <c r="G88" s="13" t="n">
        <f aca="false">IF(OR(D88="—",D88="",K88=""),"",COUNTIF($J$2:$J$259,J88)-1)</f>
        <v>0</v>
      </c>
      <c r="H88" s="15"/>
      <c r="I88" s="14"/>
      <c r="J88" s="5" t="str">
        <f aca="false">K88&amp;"|"&amp;D88&amp;"|"&amp;E88</f>
        <v>comfort,healing,love|Body|Gentle</v>
      </c>
      <c r="K88" s="5" t="s">
        <v>1576</v>
      </c>
      <c r="L88" s="5" t="str">
        <f aca="false">", "&amp;C88&amp;", "</f>
        <v>, healing, love, comfort, </v>
      </c>
    </row>
    <row r="89" customFormat="false" ht="15" hidden="false" customHeight="true" outlineLevel="0" collapsed="false">
      <c r="A89" s="13" t="s">
        <v>29</v>
      </c>
      <c r="B89" s="13" t="s">
        <v>1126</v>
      </c>
      <c r="C89" s="14" t="s">
        <v>1577</v>
      </c>
      <c r="D89" s="15" t="s">
        <v>1336</v>
      </c>
      <c r="E89" s="15" t="s">
        <v>1337</v>
      </c>
      <c r="F89" s="14" t="s">
        <v>1578</v>
      </c>
      <c r="G89" s="13" t="n">
        <f aca="false">IF(OR(D89="—",D89="",K89=""),"",COUNTIF($J$2:$J$259,J89)-1)</f>
        <v>0</v>
      </c>
      <c r="H89" s="15"/>
      <c r="I89" s="14"/>
      <c r="J89" s="5" t="str">
        <f aca="false">K89&amp;"|"&amp;D89&amp;"|"&amp;E89</f>
        <v>joy,love,play|Mind|Gentle</v>
      </c>
      <c r="K89" s="5" t="s">
        <v>1579</v>
      </c>
      <c r="L89" s="5" t="str">
        <f aca="false">", "&amp;C89&amp;", "</f>
        <v>, love, play, joy, </v>
      </c>
    </row>
    <row r="90" customFormat="false" ht="15" hidden="false" customHeight="true" outlineLevel="0" collapsed="false">
      <c r="A90" s="13" t="s">
        <v>593</v>
      </c>
      <c r="B90" s="13" t="s">
        <v>1126</v>
      </c>
      <c r="C90" s="14" t="s">
        <v>1580</v>
      </c>
      <c r="D90" s="15" t="s">
        <v>1336</v>
      </c>
      <c r="E90" s="15" t="s">
        <v>1337</v>
      </c>
      <c r="F90" s="14" t="s">
        <v>1581</v>
      </c>
      <c r="G90" s="13" t="n">
        <f aca="false">IF(OR(D90="—",D90="",K90=""),"",COUNTIF($J$2:$J$259,J90)-1)</f>
        <v>0</v>
      </c>
      <c r="H90" s="15"/>
      <c r="I90" s="14"/>
      <c r="J90" s="5" t="str">
        <f aca="false">K90&amp;"|"&amp;D90&amp;"|"&amp;E90</f>
        <v>joy|Mind|Gentle</v>
      </c>
      <c r="K90" s="5" t="s">
        <v>1580</v>
      </c>
      <c r="L90" s="5" t="str">
        <f aca="false">", "&amp;C90&amp;", "</f>
        <v>, joy, </v>
      </c>
    </row>
    <row r="91" customFormat="false" ht="15" hidden="false" customHeight="true" outlineLevel="0" collapsed="false">
      <c r="A91" s="13" t="s">
        <v>158</v>
      </c>
      <c r="B91" s="13" t="s">
        <v>1126</v>
      </c>
      <c r="C91" s="14" t="s">
        <v>1582</v>
      </c>
      <c r="D91" s="15" t="s">
        <v>1345</v>
      </c>
      <c r="E91" s="15" t="s">
        <v>1341</v>
      </c>
      <c r="F91" s="14" t="s">
        <v>1583</v>
      </c>
      <c r="G91" s="13" t="n">
        <f aca="false">IF(OR(D91="—",D91="",K91=""),"",COUNTIF($J$2:$J$259,J91)-1)</f>
        <v>0</v>
      </c>
      <c r="H91" s="15"/>
      <c r="I91" s="14"/>
      <c r="J91" s="5" t="str">
        <f aca="false">K91&amp;"|"&amp;D91&amp;"|"&amp;E91</f>
        <v>passion|Body|Strong</v>
      </c>
      <c r="K91" s="5" t="s">
        <v>1582</v>
      </c>
      <c r="L91" s="5" t="str">
        <f aca="false">", "&amp;C91&amp;", "</f>
        <v>, passion, </v>
      </c>
    </row>
    <row r="92" customFormat="false" ht="15" hidden="false" customHeight="true" outlineLevel="0" collapsed="false">
      <c r="A92" s="13" t="s">
        <v>325</v>
      </c>
      <c r="B92" s="13" t="s">
        <v>1142</v>
      </c>
      <c r="C92" s="14" t="s">
        <v>1584</v>
      </c>
      <c r="D92" s="15" t="s">
        <v>1352</v>
      </c>
      <c r="E92" s="15" t="s">
        <v>1341</v>
      </c>
      <c r="F92" s="14" t="s">
        <v>1585</v>
      </c>
      <c r="G92" s="13" t="n">
        <f aca="false">IF(OR(D92="—",D92="",K92=""),"",COUNTIF($J$2:$J$259,J92)-1)</f>
        <v>0</v>
      </c>
      <c r="H92" s="15"/>
      <c r="I92" s="14"/>
      <c r="J92" s="5" t="str">
        <f aca="false">K92&amp;"|"&amp;D92&amp;"|"&amp;E92</f>
        <v>abundance,energy,luck|Space|Strong</v>
      </c>
      <c r="K92" s="5" t="s">
        <v>1586</v>
      </c>
      <c r="L92" s="5" t="str">
        <f aca="false">", "&amp;C92&amp;", "</f>
        <v>, luck, abundance, energy, </v>
      </c>
    </row>
    <row r="93" customFormat="false" ht="15" hidden="false" customHeight="true" outlineLevel="0" collapsed="false">
      <c r="A93" s="13" t="s">
        <v>716</v>
      </c>
      <c r="B93" s="13" t="s">
        <v>1142</v>
      </c>
      <c r="C93" s="14" t="s">
        <v>1587</v>
      </c>
      <c r="D93" s="15" t="s">
        <v>1336</v>
      </c>
      <c r="E93" s="15" t="s">
        <v>1337</v>
      </c>
      <c r="F93" s="14" t="s">
        <v>1588</v>
      </c>
      <c r="G93" s="13" t="n">
        <f aca="false">IF(OR(D93="—",D93="",K93=""),"",COUNTIF($J$2:$J$259,J93)-1)</f>
        <v>0</v>
      </c>
      <c r="H93" s="15"/>
      <c r="I93" s="14"/>
      <c r="J93" s="5" t="str">
        <f aca="false">K93&amp;"|"&amp;D93&amp;"|"&amp;E93</f>
        <v>calm|Mind|Gentle</v>
      </c>
      <c r="K93" s="5" t="s">
        <v>1587</v>
      </c>
      <c r="L93" s="5" t="str">
        <f aca="false">", "&amp;C93&amp;", "</f>
        <v>, calm, </v>
      </c>
    </row>
    <row r="94" customFormat="false" ht="15" hidden="false" customHeight="true" outlineLevel="0" collapsed="false">
      <c r="A94" s="13" t="s">
        <v>424</v>
      </c>
      <c r="B94" s="13" t="s">
        <v>1142</v>
      </c>
      <c r="C94" s="14" t="s">
        <v>1589</v>
      </c>
      <c r="D94" s="15" t="s">
        <v>1345</v>
      </c>
      <c r="E94" s="15" t="s">
        <v>1341</v>
      </c>
      <c r="F94" s="14" t="s">
        <v>1590</v>
      </c>
      <c r="G94" s="13" t="n">
        <f aca="false">IF(OR(D94="—",D94="",K94=""),"",COUNTIF($J$2:$J$259,J94)-1)</f>
        <v>0</v>
      </c>
      <c r="H94" s="15"/>
      <c r="I94" s="14"/>
      <c r="J94" s="5" t="str">
        <f aca="false">K94&amp;"|"&amp;D94&amp;"|"&amp;E94</f>
        <v>courage|Body|Strong</v>
      </c>
      <c r="K94" s="5" t="s">
        <v>1589</v>
      </c>
      <c r="L94" s="5" t="str">
        <f aca="false">", "&amp;C94&amp;", "</f>
        <v>, courage, </v>
      </c>
    </row>
    <row r="95" customFormat="false" ht="23.25" hidden="false" customHeight="true" outlineLevel="0" collapsed="false">
      <c r="A95" s="13" t="s">
        <v>70</v>
      </c>
      <c r="B95" s="13" t="s">
        <v>1142</v>
      </c>
      <c r="C95" s="14" t="s">
        <v>1591</v>
      </c>
      <c r="D95" s="15" t="s">
        <v>1336</v>
      </c>
      <c r="E95" s="15" t="s">
        <v>1337</v>
      </c>
      <c r="F95" s="14" t="s">
        <v>1592</v>
      </c>
      <c r="G95" s="13" t="n">
        <f aca="false">IF(OR(D95="—",D95="",K95=""),"",COUNTIF($J$2:$J$259,J95)-1)</f>
        <v>0</v>
      </c>
      <c r="H95" s="15" t="s">
        <v>1396</v>
      </c>
      <c r="I95" s="14" t="s">
        <v>1593</v>
      </c>
      <c r="J95" s="5" t="str">
        <f aca="false">K95&amp;"|"&amp;D95&amp;"|"&amp;E95</f>
        <v>joy,love,passion|Mind|Gentle</v>
      </c>
      <c r="K95" s="5" t="s">
        <v>1594</v>
      </c>
      <c r="L95" s="5" t="str">
        <f aca="false">", "&amp;C95&amp;", "</f>
        <v>, love, passion, joy, </v>
      </c>
    </row>
    <row r="96" customFormat="false" ht="15" hidden="false" customHeight="true" outlineLevel="0" collapsed="false">
      <c r="A96" s="13" t="s">
        <v>156</v>
      </c>
      <c r="B96" s="13" t="s">
        <v>1142</v>
      </c>
      <c r="C96" s="14" t="s">
        <v>1595</v>
      </c>
      <c r="D96" s="15" t="s">
        <v>1345</v>
      </c>
      <c r="E96" s="15" t="s">
        <v>1341</v>
      </c>
      <c r="F96" s="14" t="s">
        <v>1596</v>
      </c>
      <c r="G96" s="13" t="n">
        <f aca="false">IF(OR(D96="—",D96="",K96=""),"",COUNTIF($J$2:$J$259,J96)-1)</f>
        <v>0</v>
      </c>
      <c r="H96" s="15"/>
      <c r="I96" s="14"/>
      <c r="J96" s="5" t="str">
        <f aca="false">K96&amp;"|"&amp;D96&amp;"|"&amp;E96</f>
        <v>courage,energy,passion|Body|Strong</v>
      </c>
      <c r="K96" s="5" t="s">
        <v>1597</v>
      </c>
      <c r="L96" s="5" t="str">
        <f aca="false">", "&amp;C96&amp;", "</f>
        <v>, passion, energy, courage, </v>
      </c>
    </row>
    <row r="97" customFormat="false" ht="23.25" hidden="false" customHeight="true" outlineLevel="0" collapsed="false">
      <c r="A97" s="13" t="s">
        <v>68</v>
      </c>
      <c r="B97" s="13" t="s">
        <v>1142</v>
      </c>
      <c r="C97" s="14" t="s">
        <v>1598</v>
      </c>
      <c r="D97" s="15" t="s">
        <v>1352</v>
      </c>
      <c r="E97" s="15" t="s">
        <v>1341</v>
      </c>
      <c r="F97" s="14" t="s">
        <v>1599</v>
      </c>
      <c r="G97" s="13" t="n">
        <f aca="false">IF(OR(D97="—",D97="",K97=""),"",COUNTIF($J$2:$J$259,J97)-1)</f>
        <v>0</v>
      </c>
      <c r="H97" s="15"/>
      <c r="I97" s="14"/>
      <c r="J97" s="5" t="str">
        <f aca="false">K97&amp;"|"&amp;D97&amp;"|"&amp;E97</f>
        <v>abundance,comfort,energy,passion,success|Space|Strong</v>
      </c>
      <c r="K97" s="5" t="s">
        <v>1600</v>
      </c>
      <c r="L97" s="5" t="str">
        <f aca="false">", "&amp;C97&amp;", "</f>
        <v>, success, passion, abundance, energy, comfort, </v>
      </c>
    </row>
    <row r="98" customFormat="false" ht="15" hidden="false" customHeight="true" outlineLevel="0" collapsed="false">
      <c r="A98" s="13" t="s">
        <v>53</v>
      </c>
      <c r="B98" s="13" t="s">
        <v>1142</v>
      </c>
      <c r="C98" s="14" t="s">
        <v>1526</v>
      </c>
      <c r="D98" s="15" t="s">
        <v>1336</v>
      </c>
      <c r="E98" s="15" t="s">
        <v>1337</v>
      </c>
      <c r="F98" s="14" t="s">
        <v>1601</v>
      </c>
      <c r="G98" s="13" t="n">
        <f aca="false">IF(OR(D98="—",D98="",K98=""),"",COUNTIF($J$2:$J$259,J98)-1)</f>
        <v>0</v>
      </c>
      <c r="H98" s="15"/>
      <c r="I98" s="14"/>
      <c r="J98" s="5" t="str">
        <f aca="false">K98&amp;"|"&amp;D98&amp;"|"&amp;E98</f>
        <v>home|Mind|Gentle</v>
      </c>
      <c r="K98" s="5" t="s">
        <v>1526</v>
      </c>
      <c r="L98" s="5" t="str">
        <f aca="false">", "&amp;C98&amp;", "</f>
        <v>, home, </v>
      </c>
    </row>
    <row r="99" customFormat="false" ht="23.25" hidden="false" customHeight="true" outlineLevel="0" collapsed="false">
      <c r="A99" s="13" t="s">
        <v>248</v>
      </c>
      <c r="B99" s="13" t="s">
        <v>1142</v>
      </c>
      <c r="C99" s="14" t="s">
        <v>1602</v>
      </c>
      <c r="D99" s="15" t="s">
        <v>1352</v>
      </c>
      <c r="E99" s="15" t="s">
        <v>1341</v>
      </c>
      <c r="F99" s="14" t="s">
        <v>1603</v>
      </c>
      <c r="G99" s="13" t="n">
        <f aca="false">IF(OR(D99="—",D99="",K99=""),"",COUNTIF($J$2:$J$259,J99)-1)</f>
        <v>0</v>
      </c>
      <c r="H99" s="15"/>
      <c r="I99" s="14"/>
      <c r="J99" s="5" t="str">
        <f aca="false">K99&amp;"|"&amp;D99&amp;"|"&amp;E99</f>
        <v>abundance,home,protection|Space|Strong</v>
      </c>
      <c r="K99" s="5" t="s">
        <v>1604</v>
      </c>
      <c r="L99" s="5" t="str">
        <f aca="false">", "&amp;C99&amp;", "</f>
        <v>, protection, abundance, home, </v>
      </c>
    </row>
    <row r="100" customFormat="false" ht="15" hidden="false" customHeight="true" outlineLevel="0" collapsed="false">
      <c r="A100" s="13" t="s">
        <v>537</v>
      </c>
      <c r="B100" s="13" t="s">
        <v>1142</v>
      </c>
      <c r="C100" s="14" t="s">
        <v>1605</v>
      </c>
      <c r="D100" s="15" t="s">
        <v>1336</v>
      </c>
      <c r="E100" s="15" t="s">
        <v>1337</v>
      </c>
      <c r="F100" s="14" t="s">
        <v>1606</v>
      </c>
      <c r="G100" s="13" t="n">
        <f aca="false">IF(OR(D100="—",D100="",K100=""),"",COUNTIF($J$2:$J$259,J100)-1)</f>
        <v>0</v>
      </c>
      <c r="H100" s="15"/>
      <c r="I100" s="14"/>
      <c r="J100" s="5" t="str">
        <f aca="false">K100&amp;"|"&amp;D100&amp;"|"&amp;E100</f>
        <v>gratitude|Mind|Gentle</v>
      </c>
      <c r="K100" s="5" t="s">
        <v>1605</v>
      </c>
      <c r="L100" s="5" t="str">
        <f aca="false">", "&amp;C100&amp;", "</f>
        <v>, gratitude, </v>
      </c>
    </row>
    <row r="101" customFormat="false" ht="15" hidden="false" customHeight="true" outlineLevel="0" collapsed="false">
      <c r="A101" s="13" t="s">
        <v>349</v>
      </c>
      <c r="B101" s="13" t="s">
        <v>1142</v>
      </c>
      <c r="C101" s="14" t="s">
        <v>1607</v>
      </c>
      <c r="D101" s="15" t="s">
        <v>1345</v>
      </c>
      <c r="E101" s="15" t="s">
        <v>1341</v>
      </c>
      <c r="F101" s="14" t="s">
        <v>1608</v>
      </c>
      <c r="G101" s="13" t="n">
        <f aca="false">IF(OR(D101="—",D101="",K101=""),"",COUNTIF($J$2:$J$259,J101)-1)</f>
        <v>0</v>
      </c>
      <c r="H101" s="15"/>
      <c r="I101" s="14"/>
      <c r="J101" s="5" t="str">
        <f aca="false">K101&amp;"|"&amp;D101&amp;"|"&amp;E101</f>
        <v>courage,energy,success|Body|Strong</v>
      </c>
      <c r="K101" s="5" t="s">
        <v>1609</v>
      </c>
      <c r="L101" s="5" t="str">
        <f aca="false">", "&amp;C101&amp;", "</f>
        <v>, energy, courage, success, </v>
      </c>
    </row>
    <row r="102" customFormat="false" ht="15" hidden="false" customHeight="true" outlineLevel="0" collapsed="false">
      <c r="A102" s="13" t="s">
        <v>364</v>
      </c>
      <c r="B102" s="13" t="s">
        <v>1142</v>
      </c>
      <c r="C102" s="14" t="s">
        <v>1610</v>
      </c>
      <c r="D102" s="15" t="s">
        <v>1352</v>
      </c>
      <c r="E102" s="15" t="s">
        <v>1337</v>
      </c>
      <c r="F102" s="14" t="s">
        <v>1611</v>
      </c>
      <c r="G102" s="13" t="n">
        <f aca="false">IF(OR(D102="—",D102="",K102=""),"",COUNTIF($J$2:$J$259,J102)-1)</f>
        <v>0</v>
      </c>
      <c r="H102" s="15"/>
      <c r="I102" s="14"/>
      <c r="J102" s="5" t="str">
        <f aca="false">K102&amp;"|"&amp;D102&amp;"|"&amp;E102</f>
        <v>comfort,luck|Space|Gentle</v>
      </c>
      <c r="K102" s="5" t="s">
        <v>1612</v>
      </c>
      <c r="L102" s="5" t="str">
        <f aca="false">", "&amp;C102&amp;", "</f>
        <v>, luck, comfort, </v>
      </c>
    </row>
    <row r="103" customFormat="false" ht="15" hidden="false" customHeight="true" outlineLevel="0" collapsed="false">
      <c r="A103" s="13" t="s">
        <v>366</v>
      </c>
      <c r="B103" s="13" t="s">
        <v>1142</v>
      </c>
      <c r="C103" s="14" t="s">
        <v>1613</v>
      </c>
      <c r="D103" s="15" t="s">
        <v>1336</v>
      </c>
      <c r="E103" s="15" t="s">
        <v>1337</v>
      </c>
      <c r="F103" s="14" t="s">
        <v>1614</v>
      </c>
      <c r="G103" s="13" t="n">
        <f aca="false">IF(OR(D103="—",D103="",K103=""),"",COUNTIF($J$2:$J$259,J103)-1)</f>
        <v>0</v>
      </c>
      <c r="H103" s="15"/>
      <c r="I103" s="14"/>
      <c r="J103" s="5" t="str">
        <f aca="false">K103&amp;"|"&amp;D103&amp;"|"&amp;E103</f>
        <v>dreams,luck|Mind|Gentle</v>
      </c>
      <c r="K103" s="5" t="s">
        <v>1615</v>
      </c>
      <c r="L103" s="5" t="str">
        <f aca="false">", "&amp;C103&amp;", "</f>
        <v>, luck, dreams, </v>
      </c>
    </row>
    <row r="104" customFormat="false" ht="15" hidden="false" customHeight="true" outlineLevel="0" collapsed="false">
      <c r="A104" s="13" t="s">
        <v>351</v>
      </c>
      <c r="B104" s="13" t="s">
        <v>1142</v>
      </c>
      <c r="C104" s="14" t="s">
        <v>1616</v>
      </c>
      <c r="D104" s="15" t="s">
        <v>1336</v>
      </c>
      <c r="E104" s="15" t="s">
        <v>1341</v>
      </c>
      <c r="F104" s="14" t="s">
        <v>1617</v>
      </c>
      <c r="G104" s="13" t="n">
        <f aca="false">IF(OR(D104="—",D104="",K104=""),"",COUNTIF($J$2:$J$259,J104)-1)</f>
        <v>0</v>
      </c>
      <c r="H104" s="15"/>
      <c r="I104" s="14"/>
      <c r="J104" s="5" t="str">
        <f aca="false">K104&amp;"|"&amp;D104&amp;"|"&amp;E104</f>
        <v>creativity,joy,success|Mind|Strong</v>
      </c>
      <c r="K104" s="5" t="s">
        <v>1618</v>
      </c>
      <c r="L104" s="5" t="str">
        <f aca="false">", "&amp;C104&amp;", "</f>
        <v>, success, joy, creativity, </v>
      </c>
    </row>
    <row r="105" customFormat="false" ht="15" hidden="false" customHeight="true" outlineLevel="0" collapsed="false">
      <c r="A105" s="13" t="s">
        <v>394</v>
      </c>
      <c r="B105" s="13" t="s">
        <v>1142</v>
      </c>
      <c r="C105" s="14" t="s">
        <v>1619</v>
      </c>
      <c r="D105" s="15" t="s">
        <v>1336</v>
      </c>
      <c r="E105" s="15" t="s">
        <v>1341</v>
      </c>
      <c r="F105" s="14" t="s">
        <v>1620</v>
      </c>
      <c r="G105" s="13" t="n">
        <f aca="false">IF(OR(D105="—",D105="",K105=""),"",COUNTIF($J$2:$J$259,J105)-1)</f>
        <v>0</v>
      </c>
      <c r="H105" s="15"/>
      <c r="I105" s="14"/>
      <c r="J105" s="5" t="str">
        <f aca="false">K105&amp;"|"&amp;D105&amp;"|"&amp;E105</f>
        <v>intuition,luck,wonder|Mind|Strong</v>
      </c>
      <c r="K105" s="5" t="s">
        <v>1621</v>
      </c>
      <c r="L105" s="5" t="str">
        <f aca="false">", "&amp;C105&amp;", "</f>
        <v>, wonder, intuition, luck, </v>
      </c>
    </row>
    <row r="106" customFormat="false" ht="15" hidden="false" customHeight="true" outlineLevel="0" collapsed="false">
      <c r="A106" s="13" t="s">
        <v>31</v>
      </c>
      <c r="B106" s="13" t="s">
        <v>1142</v>
      </c>
      <c r="C106" s="14" t="s">
        <v>1622</v>
      </c>
      <c r="D106" s="15" t="s">
        <v>1336</v>
      </c>
      <c r="E106" s="15" t="s">
        <v>1337</v>
      </c>
      <c r="F106" s="14" t="s">
        <v>1623</v>
      </c>
      <c r="G106" s="13" t="n">
        <f aca="false">IF(OR(D106="—",D106="",K106=""),"",COUNTIF($J$2:$J$259,J106)-1)</f>
        <v>0</v>
      </c>
      <c r="H106" s="15"/>
      <c r="I106" s="14"/>
      <c r="J106" s="5" t="str">
        <f aca="false">K106&amp;"|"&amp;D106&amp;"|"&amp;E106</f>
        <v>comfort,joy,love|Mind|Gentle</v>
      </c>
      <c r="K106" s="5" t="s">
        <v>1624</v>
      </c>
      <c r="L106" s="5" t="str">
        <f aca="false">", "&amp;C106&amp;", "</f>
        <v>, love, comfort, joy, </v>
      </c>
    </row>
    <row r="107" customFormat="false" ht="15" hidden="false" customHeight="true" outlineLevel="0" collapsed="false">
      <c r="A107" s="13" t="s">
        <v>439</v>
      </c>
      <c r="B107" s="13" t="s">
        <v>1159</v>
      </c>
      <c r="C107" s="14" t="s">
        <v>1625</v>
      </c>
      <c r="D107" s="15" t="s">
        <v>1352</v>
      </c>
      <c r="E107" s="15" t="s">
        <v>1337</v>
      </c>
      <c r="F107" s="14" t="s">
        <v>1626</v>
      </c>
      <c r="G107" s="13" t="n">
        <f aca="false">IF(OR(D107="—",D107="",K107=""),"",COUNTIF($J$2:$J$259,J107)-1)</f>
        <v>0</v>
      </c>
      <c r="H107" s="15"/>
      <c r="I107" s="14"/>
      <c r="J107" s="5" t="str">
        <f aca="false">K107&amp;"|"&amp;D107&amp;"|"&amp;E107</f>
        <v>cleansing,home|Space|Gentle</v>
      </c>
      <c r="K107" s="5" t="s">
        <v>1627</v>
      </c>
      <c r="L107" s="5" t="str">
        <f aca="false">", "&amp;C107&amp;", "</f>
        <v>, cleansing, home, </v>
      </c>
    </row>
    <row r="108" customFormat="false" ht="15" hidden="false" customHeight="true" outlineLevel="0" collapsed="false">
      <c r="A108" s="13" t="s">
        <v>289</v>
      </c>
      <c r="B108" s="13" t="s">
        <v>1159</v>
      </c>
      <c r="C108" s="14" t="s">
        <v>1628</v>
      </c>
      <c r="D108" s="15" t="s">
        <v>1352</v>
      </c>
      <c r="E108" s="15" t="s">
        <v>1341</v>
      </c>
      <c r="F108" s="14" t="s">
        <v>1629</v>
      </c>
      <c r="G108" s="13" t="n">
        <f aca="false">IF(OR(D108="—",D108="",K108=""),"",COUNTIF($J$2:$J$259,J108)-1)</f>
        <v>0</v>
      </c>
      <c r="H108" s="15"/>
      <c r="I108" s="14"/>
      <c r="J108" s="5" t="str">
        <f aca="false">K108&amp;"|"&amp;D108&amp;"|"&amp;E108</f>
        <v>boundaries,protection|Space|Strong</v>
      </c>
      <c r="K108" s="5" t="s">
        <v>1630</v>
      </c>
      <c r="L108" s="5" t="str">
        <f aca="false">", "&amp;C108&amp;", "</f>
        <v>, protection, boundaries, </v>
      </c>
    </row>
    <row r="109" customFormat="false" ht="15" hidden="false" customHeight="true" outlineLevel="0" collapsed="false">
      <c r="A109" s="13" t="s">
        <v>362</v>
      </c>
      <c r="B109" s="13" t="s">
        <v>1159</v>
      </c>
      <c r="C109" s="14" t="s">
        <v>1631</v>
      </c>
      <c r="D109" s="15" t="s">
        <v>1352</v>
      </c>
      <c r="E109" s="15" t="s">
        <v>1337</v>
      </c>
      <c r="F109" s="14" t="s">
        <v>1632</v>
      </c>
      <c r="G109" s="13" t="n">
        <f aca="false">IF(OR(D109="—",D109="",K109=""),"",COUNTIF($J$2:$J$259,J109)-1)</f>
        <v>0</v>
      </c>
      <c r="H109" s="15"/>
      <c r="I109" s="14"/>
      <c r="J109" s="5" t="str">
        <f aca="false">K109&amp;"|"&amp;D109&amp;"|"&amp;E109</f>
        <v>abundance,comfort,home|Space|Gentle</v>
      </c>
      <c r="K109" s="5" t="s">
        <v>1633</v>
      </c>
      <c r="L109" s="5" t="str">
        <f aca="false">", "&amp;C109&amp;", "</f>
        <v>, abundance, comfort, home, </v>
      </c>
    </row>
    <row r="110" customFormat="false" ht="15" hidden="false" customHeight="true" outlineLevel="0" collapsed="false">
      <c r="A110" s="13" t="s">
        <v>805</v>
      </c>
      <c r="B110" s="13" t="s">
        <v>1159</v>
      </c>
      <c r="C110" s="14" t="s">
        <v>1634</v>
      </c>
      <c r="D110" s="15" t="s">
        <v>1336</v>
      </c>
      <c r="E110" s="15" t="s">
        <v>1337</v>
      </c>
      <c r="F110" s="14" t="s">
        <v>1635</v>
      </c>
      <c r="G110" s="13" t="n">
        <f aca="false">IF(OR(D110="—",D110="",K110=""),"",COUNTIF($J$2:$J$259,J110)-1)</f>
        <v>0</v>
      </c>
      <c r="H110" s="15"/>
      <c r="I110" s="14"/>
      <c r="J110" s="5" t="str">
        <f aca="false">K110&amp;"|"&amp;D110&amp;"|"&amp;E110</f>
        <v>joy,play|Mind|Gentle</v>
      </c>
      <c r="K110" s="5" t="s">
        <v>1636</v>
      </c>
      <c r="L110" s="5" t="str">
        <f aca="false">", "&amp;C110&amp;", "</f>
        <v>, joy, play, </v>
      </c>
    </row>
    <row r="111" customFormat="false" ht="15" hidden="false" customHeight="true" outlineLevel="0" collapsed="false">
      <c r="A111" s="13" t="s">
        <v>857</v>
      </c>
      <c r="B111" s="13" t="s">
        <v>1159</v>
      </c>
      <c r="C111" s="14" t="s">
        <v>1637</v>
      </c>
      <c r="D111" s="15" t="s">
        <v>1336</v>
      </c>
      <c r="E111" s="15" t="s">
        <v>1337</v>
      </c>
      <c r="F111" s="14" t="s">
        <v>1638</v>
      </c>
      <c r="G111" s="13" t="n">
        <f aca="false">IF(OR(D111="—",D111="",K111=""),"",COUNTIF($J$2:$J$259,J111)-1)</f>
        <v>0</v>
      </c>
      <c r="H111" s="15"/>
      <c r="I111" s="14"/>
      <c r="J111" s="5" t="str">
        <f aca="false">K111&amp;"|"&amp;D111&amp;"|"&amp;E111</f>
        <v>comfort,joy|Mind|Gentle</v>
      </c>
      <c r="K111" s="5" t="s">
        <v>1639</v>
      </c>
      <c r="L111" s="5" t="str">
        <f aca="false">", "&amp;C111&amp;", "</f>
        <v>, comfort, joy, </v>
      </c>
    </row>
    <row r="112" customFormat="false" ht="15" hidden="false" customHeight="true" outlineLevel="0" collapsed="false">
      <c r="A112" s="13" t="s">
        <v>81</v>
      </c>
      <c r="B112" s="13" t="s">
        <v>1159</v>
      </c>
      <c r="C112" s="14" t="s">
        <v>1640</v>
      </c>
      <c r="D112" s="15" t="s">
        <v>1345</v>
      </c>
      <c r="E112" s="15" t="s">
        <v>1337</v>
      </c>
      <c r="F112" s="14" t="s">
        <v>1641</v>
      </c>
      <c r="G112" s="13" t="n">
        <f aca="false">IF(OR(D112="—",D112="",K112=""),"",COUNTIF($J$2:$J$259,J112)-1)</f>
        <v>0</v>
      </c>
      <c r="H112" s="15"/>
      <c r="I112" s="14"/>
      <c r="J112" s="5" t="str">
        <f aca="false">K112&amp;"|"&amp;D112&amp;"|"&amp;E112</f>
        <v>beauty,comfort,self-love|Body|Gentle</v>
      </c>
      <c r="K112" s="5" t="s">
        <v>1642</v>
      </c>
      <c r="L112" s="5" t="str">
        <f aca="false">", "&amp;C112&amp;", "</f>
        <v>, self-love, comfort, beauty, </v>
      </c>
    </row>
    <row r="113" customFormat="false" ht="15" hidden="false" customHeight="true" outlineLevel="0" collapsed="false">
      <c r="A113" s="13" t="s">
        <v>78</v>
      </c>
      <c r="B113" s="13" t="s">
        <v>1159</v>
      </c>
      <c r="C113" s="14" t="s">
        <v>1643</v>
      </c>
      <c r="D113" s="15" t="s">
        <v>1345</v>
      </c>
      <c r="E113" s="15" t="s">
        <v>1341</v>
      </c>
      <c r="F113" s="14" t="s">
        <v>1644</v>
      </c>
      <c r="G113" s="13" t="n">
        <f aca="false">IF(OR(D113="—",D113="",K113=""),"",COUNTIF($J$2:$J$259,J113)-1)</f>
        <v>0</v>
      </c>
      <c r="H113" s="15"/>
      <c r="I113" s="14"/>
      <c r="J113" s="5" t="str">
        <f aca="false">K113&amp;"|"&amp;D113&amp;"|"&amp;E113</f>
        <v>cleansing|Body|Strong</v>
      </c>
      <c r="K113" s="5" t="s">
        <v>1643</v>
      </c>
      <c r="L113" s="5" t="str">
        <f aca="false">", "&amp;C113&amp;", "</f>
        <v>, cleansing, </v>
      </c>
    </row>
    <row r="114" customFormat="false" ht="15" hidden="false" customHeight="true" outlineLevel="0" collapsed="false">
      <c r="A114" s="13" t="s">
        <v>141</v>
      </c>
      <c r="B114" s="13" t="s">
        <v>1159</v>
      </c>
      <c r="C114" s="14"/>
      <c r="D114" s="15" t="s">
        <v>880</v>
      </c>
      <c r="E114" s="15" t="s">
        <v>880</v>
      </c>
      <c r="F114" s="14" t="s">
        <v>1645</v>
      </c>
      <c r="G114" s="13" t="str">
        <f aca="false">IF(OR(D114="—",D114="",K114=""),"",COUNTIF($J$2:$J$259,J114)-1)</f>
        <v/>
      </c>
      <c r="H114" s="15"/>
      <c r="I114" s="14"/>
      <c r="J114" s="5" t="str">
        <f aca="false">K114&amp;"|"&amp;D114&amp;"|"&amp;E114</f>
        <v>|—|—</v>
      </c>
      <c r="K114" s="5"/>
      <c r="L114" s="5" t="str">
        <f aca="false">", "&amp;C114&amp;", "</f>
        <v>, , </v>
      </c>
    </row>
    <row r="115" customFormat="false" ht="15" hidden="false" customHeight="true" outlineLevel="0" collapsed="false">
      <c r="A115" s="13" t="s">
        <v>397</v>
      </c>
      <c r="B115" s="13" t="s">
        <v>1159</v>
      </c>
      <c r="C115" s="14" t="s">
        <v>1646</v>
      </c>
      <c r="D115" s="15" t="s">
        <v>1336</v>
      </c>
      <c r="E115" s="15" t="s">
        <v>1337</v>
      </c>
      <c r="F115" s="14" t="s">
        <v>1647</v>
      </c>
      <c r="G115" s="13" t="n">
        <f aca="false">IF(OR(D115="—",D115="",K115=""),"",COUNTIF($J$2:$J$259,J115)-1)</f>
        <v>0</v>
      </c>
      <c r="H115" s="15"/>
      <c r="I115" s="14"/>
      <c r="J115" s="5" t="str">
        <f aca="false">K115&amp;"|"&amp;D115&amp;"|"&amp;E115</f>
        <v>joy,success|Mind|Gentle</v>
      </c>
      <c r="K115" s="5" t="s">
        <v>1554</v>
      </c>
      <c r="L115" s="5" t="str">
        <f aca="false">", "&amp;C115&amp;", "</f>
        <v>, success, joy, </v>
      </c>
    </row>
    <row r="116" customFormat="false" ht="23.25" hidden="false" customHeight="true" outlineLevel="0" collapsed="false">
      <c r="A116" s="13" t="s">
        <v>33</v>
      </c>
      <c r="B116" s="13" t="s">
        <v>1159</v>
      </c>
      <c r="C116" s="14" t="s">
        <v>1648</v>
      </c>
      <c r="D116" s="15" t="s">
        <v>1336</v>
      </c>
      <c r="E116" s="15" t="s">
        <v>1337</v>
      </c>
      <c r="F116" s="14" t="s">
        <v>1649</v>
      </c>
      <c r="G116" s="13" t="n">
        <f aca="false">IF(OR(D116="—",D116="",K116=""),"",COUNTIF($J$2:$J$259,J116)-1)</f>
        <v>0</v>
      </c>
      <c r="H116" s="15"/>
      <c r="I116" s="14"/>
      <c r="J116" s="5" t="str">
        <f aca="false">K116&amp;"|"&amp;D116&amp;"|"&amp;E116</f>
        <v>comfort,communication,friendship,joy,love|Mind|Gentle</v>
      </c>
      <c r="K116" s="5" t="s">
        <v>1650</v>
      </c>
      <c r="L116" s="5" t="str">
        <f aca="false">", "&amp;C116&amp;", "</f>
        <v>, love, comfort, joy, friendship, communication, </v>
      </c>
    </row>
    <row r="117" customFormat="false" ht="15" hidden="false" customHeight="true" outlineLevel="0" collapsed="false">
      <c r="A117" s="13" t="s">
        <v>305</v>
      </c>
      <c r="B117" s="13" t="s">
        <v>1159</v>
      </c>
      <c r="C117" s="14" t="s">
        <v>1651</v>
      </c>
      <c r="D117" s="15" t="s">
        <v>1345</v>
      </c>
      <c r="E117" s="15" t="s">
        <v>1337</v>
      </c>
      <c r="F117" s="14" t="s">
        <v>1652</v>
      </c>
      <c r="G117" s="13" t="n">
        <f aca="false">IF(OR(D117="—",D117="",K117=""),"",COUNTIF($J$2:$J$259,J117)-1)</f>
        <v>0</v>
      </c>
      <c r="H117" s="15"/>
      <c r="I117" s="14"/>
      <c r="J117" s="5" t="str">
        <f aca="false">K117&amp;"|"&amp;D117&amp;"|"&amp;E117</f>
        <v>home,rest|Body|Gentle</v>
      </c>
      <c r="K117" s="5" t="s">
        <v>1653</v>
      </c>
      <c r="L117" s="5" t="str">
        <f aca="false">", "&amp;C117&amp;", "</f>
        <v>, rest, home, </v>
      </c>
    </row>
    <row r="118" customFormat="false" ht="15" hidden="false" customHeight="true" outlineLevel="0" collapsed="false">
      <c r="A118" s="13" t="s">
        <v>761</v>
      </c>
      <c r="B118" s="13" t="s">
        <v>1159</v>
      </c>
      <c r="C118" s="14" t="s">
        <v>1654</v>
      </c>
      <c r="D118" s="15" t="s">
        <v>1336</v>
      </c>
      <c r="E118" s="15" t="s">
        <v>1337</v>
      </c>
      <c r="F118" s="14" t="s">
        <v>1655</v>
      </c>
      <c r="G118" s="13" t="n">
        <f aca="false">IF(OR(D118="—",D118="",K118=""),"",COUNTIF($J$2:$J$259,J118)-1)</f>
        <v>0</v>
      </c>
      <c r="H118" s="15"/>
      <c r="I118" s="14"/>
      <c r="J118" s="5" t="str">
        <f aca="false">K118&amp;"|"&amp;D118&amp;"|"&amp;E118</f>
        <v>comfort,rest,self-love|Mind|Gentle</v>
      </c>
      <c r="K118" s="5" t="s">
        <v>1656</v>
      </c>
      <c r="L118" s="5" t="str">
        <f aca="false">", "&amp;C118&amp;", "</f>
        <v>, comfort, rest, self-love, </v>
      </c>
    </row>
    <row r="119" customFormat="false" ht="15" hidden="false" customHeight="true" outlineLevel="0" collapsed="false">
      <c r="A119" s="13" t="s">
        <v>592</v>
      </c>
      <c r="B119" s="13" t="s">
        <v>1159</v>
      </c>
      <c r="C119" s="14"/>
      <c r="D119" s="15" t="s">
        <v>880</v>
      </c>
      <c r="E119" s="15" t="s">
        <v>880</v>
      </c>
      <c r="F119" s="14" t="s">
        <v>1645</v>
      </c>
      <c r="G119" s="13" t="str">
        <f aca="false">IF(OR(D119="—",D119="",K119=""),"",COUNTIF($J$2:$J$259,J119)-1)</f>
        <v/>
      </c>
      <c r="H119" s="15"/>
      <c r="I119" s="14"/>
      <c r="J119" s="5" t="str">
        <f aca="false">K119&amp;"|"&amp;D119&amp;"|"&amp;E119</f>
        <v>|—|—</v>
      </c>
      <c r="K119" s="5"/>
      <c r="L119" s="5" t="str">
        <f aca="false">", "&amp;C119&amp;", "</f>
        <v>, , </v>
      </c>
    </row>
    <row r="120" customFormat="false" ht="15" hidden="false" customHeight="true" outlineLevel="0" collapsed="false">
      <c r="A120" s="13" t="s">
        <v>55</v>
      </c>
      <c r="B120" s="13" t="s">
        <v>1159</v>
      </c>
      <c r="C120" s="14" t="s">
        <v>1657</v>
      </c>
      <c r="D120" s="15" t="s">
        <v>1345</v>
      </c>
      <c r="E120" s="15" t="s">
        <v>1337</v>
      </c>
      <c r="F120" s="14" t="s">
        <v>1658</v>
      </c>
      <c r="G120" s="13" t="n">
        <f aca="false">IF(OR(D120="—",D120="",K120=""),"",COUNTIF($J$2:$J$259,J120)-1)</f>
        <v>0</v>
      </c>
      <c r="H120" s="15"/>
      <c r="I120" s="14"/>
      <c r="J120" s="5" t="str">
        <f aca="false">K120&amp;"|"&amp;D120&amp;"|"&amp;E120</f>
        <v>love,self-love|Body|Gentle</v>
      </c>
      <c r="K120" s="5" t="s">
        <v>1659</v>
      </c>
      <c r="L120" s="5" t="str">
        <f aca="false">", "&amp;C120&amp;", "</f>
        <v>, self-love, love, </v>
      </c>
    </row>
    <row r="121" customFormat="false" ht="15" hidden="false" customHeight="true" outlineLevel="0" collapsed="false">
      <c r="A121" s="13" t="s">
        <v>144</v>
      </c>
      <c r="B121" s="13" t="s">
        <v>1159</v>
      </c>
      <c r="C121" s="14" t="s">
        <v>1660</v>
      </c>
      <c r="D121" s="15" t="s">
        <v>1336</v>
      </c>
      <c r="E121" s="15" t="s">
        <v>1337</v>
      </c>
      <c r="F121" s="14" t="s">
        <v>1661</v>
      </c>
      <c r="G121" s="13" t="n">
        <f aca="false">IF(OR(D121="—",D121="",K121=""),"",COUNTIF($J$2:$J$259,J121)-1)</f>
        <v>0</v>
      </c>
      <c r="H121" s="15"/>
      <c r="I121" s="14"/>
      <c r="J121" s="5" t="str">
        <f aca="false">K121&amp;"|"&amp;D121&amp;"|"&amp;E121</f>
        <v>love,play|Mind|Gentle</v>
      </c>
      <c r="K121" s="5" t="s">
        <v>1662</v>
      </c>
      <c r="L121" s="5" t="str">
        <f aca="false">", "&amp;C121&amp;", "</f>
        <v>, love, play, </v>
      </c>
    </row>
    <row r="122" customFormat="false" ht="15" hidden="false" customHeight="true" outlineLevel="0" collapsed="false">
      <c r="A122" s="13" t="s">
        <v>345</v>
      </c>
      <c r="B122" s="13" t="s">
        <v>1159</v>
      </c>
      <c r="C122" s="14" t="s">
        <v>1663</v>
      </c>
      <c r="D122" s="15" t="s">
        <v>1336</v>
      </c>
      <c r="E122" s="15" t="s">
        <v>1337</v>
      </c>
      <c r="F122" s="14" t="s">
        <v>1664</v>
      </c>
      <c r="G122" s="13" t="n">
        <f aca="false">IF(OR(D122="—",D122="",K122=""),"",COUNTIF($J$2:$J$259,J122)-1)</f>
        <v>0</v>
      </c>
      <c r="H122" s="15"/>
      <c r="I122" s="14"/>
      <c r="J122" s="5" t="str">
        <f aca="false">K122&amp;"|"&amp;D122&amp;"|"&amp;E122</f>
        <v>joy,luck|Mind|Gentle</v>
      </c>
      <c r="K122" s="5" t="s">
        <v>1665</v>
      </c>
      <c r="L122" s="5" t="str">
        <f aca="false">", "&amp;C122&amp;", "</f>
        <v>, luck, joy, </v>
      </c>
    </row>
    <row r="123" customFormat="false" ht="15" hidden="false" customHeight="true" outlineLevel="0" collapsed="false">
      <c r="A123" s="13" t="s">
        <v>294</v>
      </c>
      <c r="B123" s="13" t="s">
        <v>1159</v>
      </c>
      <c r="C123" s="14"/>
      <c r="D123" s="15" t="s">
        <v>880</v>
      </c>
      <c r="E123" s="15" t="s">
        <v>880</v>
      </c>
      <c r="F123" s="14" t="s">
        <v>1666</v>
      </c>
      <c r="G123" s="13" t="str">
        <f aca="false">IF(OR(D123="—",D123="",K123=""),"",COUNTIF($J$2:$J$259,J123)-1)</f>
        <v/>
      </c>
      <c r="H123" s="15"/>
      <c r="I123" s="14"/>
      <c r="J123" s="5" t="str">
        <f aca="false">K123&amp;"|"&amp;D123&amp;"|"&amp;E123</f>
        <v>|—|—</v>
      </c>
      <c r="K123" s="5"/>
      <c r="L123" s="5" t="str">
        <f aca="false">", "&amp;C123&amp;", "</f>
        <v>, , </v>
      </c>
    </row>
    <row r="124" customFormat="false" ht="15" hidden="false" customHeight="true" outlineLevel="0" collapsed="false">
      <c r="A124" s="13" t="s">
        <v>91</v>
      </c>
      <c r="B124" s="13" t="s">
        <v>1159</v>
      </c>
      <c r="C124" s="14" t="s">
        <v>1667</v>
      </c>
      <c r="D124" s="15" t="s">
        <v>1345</v>
      </c>
      <c r="E124" s="15" t="s">
        <v>1341</v>
      </c>
      <c r="F124" s="14" t="s">
        <v>1668</v>
      </c>
      <c r="G124" s="13" t="n">
        <f aca="false">IF(OR(D124="—",D124="",K124=""),"",COUNTIF($J$2:$J$259,J124)-1)</f>
        <v>0</v>
      </c>
      <c r="H124" s="15"/>
      <c r="I124" s="14"/>
      <c r="J124" s="5" t="str">
        <f aca="false">K124&amp;"|"&amp;D124&amp;"|"&amp;E124</f>
        <v>beauty,comfort,self-love|Body|Strong</v>
      </c>
      <c r="K124" s="5" t="s">
        <v>1642</v>
      </c>
      <c r="L124" s="5" t="str">
        <f aca="false">", "&amp;C124&amp;", "</f>
        <v>, beauty, self-love, comfort, </v>
      </c>
    </row>
    <row r="125" customFormat="false" ht="23.25" hidden="false" customHeight="true" outlineLevel="0" collapsed="false">
      <c r="A125" s="13" t="s">
        <v>192</v>
      </c>
      <c r="B125" s="13" t="s">
        <v>1159</v>
      </c>
      <c r="C125" s="14" t="s">
        <v>1669</v>
      </c>
      <c r="D125" s="15" t="s">
        <v>1352</v>
      </c>
      <c r="E125" s="15" t="s">
        <v>1341</v>
      </c>
      <c r="F125" s="14" t="s">
        <v>1670</v>
      </c>
      <c r="G125" s="13" t="n">
        <f aca="false">IF(OR(D125="—",D125="",K125=""),"",COUNTIF($J$2:$J$259,J125)-1)</f>
        <v>0</v>
      </c>
      <c r="H125" s="15"/>
      <c r="I125" s="14"/>
      <c r="J125" s="5" t="str">
        <f aca="false">K125&amp;"|"&amp;D125&amp;"|"&amp;E125</f>
        <v>cleansing,grounding,home,protection|Space|Strong</v>
      </c>
      <c r="K125" s="5" t="s">
        <v>1671</v>
      </c>
      <c r="L125" s="5" t="str">
        <f aca="false">", "&amp;C125&amp;", "</f>
        <v>, protection, cleansing, grounding, home, </v>
      </c>
    </row>
    <row r="126" customFormat="false" ht="23.25" hidden="false" customHeight="true" outlineLevel="0" collapsed="false">
      <c r="A126" s="13" t="s">
        <v>139</v>
      </c>
      <c r="B126" s="13" t="s">
        <v>1159</v>
      </c>
      <c r="C126" s="14" t="s">
        <v>1672</v>
      </c>
      <c r="D126" s="15" t="s">
        <v>1336</v>
      </c>
      <c r="E126" s="15" t="s">
        <v>1341</v>
      </c>
      <c r="F126" s="14" t="s">
        <v>1673</v>
      </c>
      <c r="G126" s="13" t="n">
        <f aca="false">IF(OR(D126="—",D126="",K126=""),"",COUNTIF($J$2:$J$259,J126)-1)</f>
        <v>0</v>
      </c>
      <c r="H126" s="15" t="s">
        <v>1396</v>
      </c>
      <c r="I126" s="14" t="s">
        <v>1674</v>
      </c>
      <c r="J126" s="5" t="str">
        <f aca="false">K126&amp;"|"&amp;D126&amp;"|"&amp;E126</f>
        <v>comfort,joy,love|Mind|Strong</v>
      </c>
      <c r="K126" s="5" t="s">
        <v>1624</v>
      </c>
      <c r="L126" s="5" t="str">
        <f aca="false">", "&amp;C126&amp;", "</f>
        <v>, love, joy, comfort, </v>
      </c>
    </row>
    <row r="127" customFormat="false" ht="15" hidden="false" customHeight="true" outlineLevel="0" collapsed="false">
      <c r="A127" s="13" t="s">
        <v>269</v>
      </c>
      <c r="B127" s="13" t="s">
        <v>1159</v>
      </c>
      <c r="C127" s="14" t="s">
        <v>1675</v>
      </c>
      <c r="D127" s="15" t="s">
        <v>1345</v>
      </c>
      <c r="E127" s="15" t="s">
        <v>1337</v>
      </c>
      <c r="F127" s="14" t="s">
        <v>1676</v>
      </c>
      <c r="G127" s="13" t="n">
        <f aca="false">IF(OR(D127="—",D127="",K127=""),"",COUNTIF($J$2:$J$259,J127)-1)</f>
        <v>0</v>
      </c>
      <c r="H127" s="15"/>
      <c r="I127" s="14"/>
      <c r="J127" s="5" t="str">
        <f aca="false">K127&amp;"|"&amp;D127&amp;"|"&amp;E127</f>
        <v>grounding,growth|Body|Gentle</v>
      </c>
      <c r="K127" s="5" t="s">
        <v>1677</v>
      </c>
      <c r="L127" s="5" t="str">
        <f aca="false">", "&amp;C127&amp;", "</f>
        <v>, grounding, growth, </v>
      </c>
    </row>
    <row r="128" customFormat="false" ht="15" hidden="false" customHeight="true" outlineLevel="0" collapsed="false">
      <c r="A128" s="13" t="s">
        <v>193</v>
      </c>
      <c r="B128" s="13" t="s">
        <v>1159</v>
      </c>
      <c r="C128" s="14" t="s">
        <v>1678</v>
      </c>
      <c r="D128" s="15" t="s">
        <v>1352</v>
      </c>
      <c r="E128" s="15" t="s">
        <v>1341</v>
      </c>
      <c r="F128" s="14" t="s">
        <v>1679</v>
      </c>
      <c r="G128" s="13" t="n">
        <f aca="false">IF(OR(D128="—",D128="",K128=""),"",COUNTIF($J$2:$J$259,J128)-1)</f>
        <v>0</v>
      </c>
      <c r="H128" s="15"/>
      <c r="I128" s="14"/>
      <c r="J128" s="5" t="str">
        <f aca="false">K128&amp;"|"&amp;D128&amp;"|"&amp;E128</f>
        <v>endings,home,protection|Space|Strong</v>
      </c>
      <c r="K128" s="5" t="s">
        <v>1680</v>
      </c>
      <c r="L128" s="5" t="str">
        <f aca="false">", "&amp;C128&amp;", "</f>
        <v>, protection, home, endings, </v>
      </c>
    </row>
    <row r="129" customFormat="false" ht="15" hidden="false" customHeight="true" outlineLevel="0" collapsed="false">
      <c r="A129" s="13" t="s">
        <v>197</v>
      </c>
      <c r="B129" s="13" t="s">
        <v>1159</v>
      </c>
      <c r="C129" s="14" t="s">
        <v>1681</v>
      </c>
      <c r="D129" s="15" t="s">
        <v>1352</v>
      </c>
      <c r="E129" s="15" t="s">
        <v>1337</v>
      </c>
      <c r="F129" s="14" t="s">
        <v>1682</v>
      </c>
      <c r="G129" s="13" t="n">
        <f aca="false">IF(OR(D129="—",D129="",K129=""),"",COUNTIF($J$2:$J$259,J129)-1)</f>
        <v>0</v>
      </c>
      <c r="H129" s="15"/>
      <c r="I129" s="14"/>
      <c r="J129" s="5" t="str">
        <f aca="false">K129&amp;"|"&amp;D129&amp;"|"&amp;E129</f>
        <v>beginnings,protection|Space|Gentle</v>
      </c>
      <c r="K129" s="5" t="s">
        <v>1683</v>
      </c>
      <c r="L129" s="5" t="str">
        <f aca="false">", "&amp;C129&amp;", "</f>
        <v>, protection, beginnings, </v>
      </c>
    </row>
    <row r="130" customFormat="false" ht="15" hidden="false" customHeight="true" outlineLevel="0" collapsed="false">
      <c r="A130" s="13" t="s">
        <v>287</v>
      </c>
      <c r="B130" s="13" t="s">
        <v>1159</v>
      </c>
      <c r="C130" s="14"/>
      <c r="D130" s="15" t="s">
        <v>880</v>
      </c>
      <c r="E130" s="15" t="s">
        <v>880</v>
      </c>
      <c r="F130" s="14" t="s">
        <v>1684</v>
      </c>
      <c r="G130" s="13" t="str">
        <f aca="false">IF(OR(D130="—",D130="",K130=""),"",COUNTIF($J$2:$J$259,J130)-1)</f>
        <v/>
      </c>
      <c r="H130" s="15"/>
      <c r="I130" s="14"/>
      <c r="J130" s="5" t="str">
        <f aca="false">K130&amp;"|"&amp;D130&amp;"|"&amp;E130</f>
        <v>|—|—</v>
      </c>
      <c r="K130" s="5"/>
      <c r="L130" s="5" t="str">
        <f aca="false">", "&amp;C130&amp;", "</f>
        <v>, , </v>
      </c>
    </row>
    <row r="131" customFormat="false" ht="15" hidden="false" customHeight="true" outlineLevel="0" collapsed="false">
      <c r="A131" s="13" t="s">
        <v>701</v>
      </c>
      <c r="B131" s="13" t="s">
        <v>1159</v>
      </c>
      <c r="C131" s="14"/>
      <c r="D131" s="15" t="s">
        <v>880</v>
      </c>
      <c r="E131" s="15" t="s">
        <v>880</v>
      </c>
      <c r="F131" s="14" t="s">
        <v>1684</v>
      </c>
      <c r="G131" s="13" t="str">
        <f aca="false">IF(OR(D131="—",D131="",K131=""),"",COUNTIF($J$2:$J$259,J131)-1)</f>
        <v/>
      </c>
      <c r="H131" s="15"/>
      <c r="I131" s="14"/>
      <c r="J131" s="5" t="str">
        <f aca="false">K131&amp;"|"&amp;D131&amp;"|"&amp;E131</f>
        <v>|—|—</v>
      </c>
      <c r="K131" s="5"/>
      <c r="L131" s="5" t="str">
        <f aca="false">", "&amp;C131&amp;", "</f>
        <v>, , </v>
      </c>
    </row>
    <row r="132" customFormat="false" ht="15" hidden="false" customHeight="true" outlineLevel="0" collapsed="false">
      <c r="A132" s="13" t="s">
        <v>384</v>
      </c>
      <c r="B132" s="13" t="s">
        <v>1159</v>
      </c>
      <c r="C132" s="14" t="s">
        <v>1685</v>
      </c>
      <c r="D132" s="15" t="s">
        <v>1345</v>
      </c>
      <c r="E132" s="15" t="s">
        <v>1337</v>
      </c>
      <c r="F132" s="14" t="s">
        <v>1686</v>
      </c>
      <c r="G132" s="13" t="n">
        <f aca="false">IF(OR(D132="—",D132="",K132=""),"",COUNTIF($J$2:$J$259,J132)-1)</f>
        <v>0</v>
      </c>
      <c r="H132" s="15"/>
      <c r="I132" s="14"/>
      <c r="J132" s="5" t="str">
        <f aca="false">K132&amp;"|"&amp;D132&amp;"|"&amp;E132</f>
        <v>confidence,joy,success|Body|Gentle</v>
      </c>
      <c r="K132" s="5" t="s">
        <v>1687</v>
      </c>
      <c r="L132" s="5" t="str">
        <f aca="false">", "&amp;C132&amp;", "</f>
        <v>, success, confidence, joy, </v>
      </c>
    </row>
    <row r="133" customFormat="false" ht="15" hidden="false" customHeight="true" outlineLevel="0" collapsed="false">
      <c r="A133" s="13" t="s">
        <v>176</v>
      </c>
      <c r="B133" s="13" t="s">
        <v>1159</v>
      </c>
      <c r="C133" s="14" t="s">
        <v>1688</v>
      </c>
      <c r="D133" s="15" t="s">
        <v>1336</v>
      </c>
      <c r="E133" s="15" t="s">
        <v>1337</v>
      </c>
      <c r="F133" s="14" t="s">
        <v>1689</v>
      </c>
      <c r="G133" s="13" t="n">
        <f aca="false">IF(OR(D133="—",D133="",K133=""),"",COUNTIF($J$2:$J$259,J133)-1)</f>
        <v>0</v>
      </c>
      <c r="H133" s="15"/>
      <c r="I133" s="14"/>
      <c r="J133" s="5" t="str">
        <f aca="false">K133&amp;"|"&amp;D133&amp;"|"&amp;E133</f>
        <v>dreams,intuition,wonder|Mind|Gentle</v>
      </c>
      <c r="K133" s="5" t="s">
        <v>1690</v>
      </c>
      <c r="L133" s="5" t="str">
        <f aca="false">", "&amp;C133&amp;", "</f>
        <v>, intuition, wonder, dreams, </v>
      </c>
    </row>
    <row r="134" customFormat="false" ht="15" hidden="false" customHeight="true" outlineLevel="0" collapsed="false">
      <c r="A134" s="13" t="s">
        <v>493</v>
      </c>
      <c r="B134" s="13" t="s">
        <v>1159</v>
      </c>
      <c r="C134" s="14" t="s">
        <v>1691</v>
      </c>
      <c r="D134" s="15" t="s">
        <v>1336</v>
      </c>
      <c r="E134" s="15" t="s">
        <v>1337</v>
      </c>
      <c r="F134" s="14" t="s">
        <v>1692</v>
      </c>
      <c r="G134" s="13" t="n">
        <f aca="false">IF(OR(D134="—",D134="",K134=""),"",COUNTIF($J$2:$J$259,J134)-1)</f>
        <v>0</v>
      </c>
      <c r="H134" s="15"/>
      <c r="I134" s="14"/>
      <c r="J134" s="5" t="str">
        <f aca="false">K134&amp;"|"&amp;D134&amp;"|"&amp;E134</f>
        <v>dreams,play,wonder|Mind|Gentle</v>
      </c>
      <c r="K134" s="5" t="s">
        <v>1693</v>
      </c>
      <c r="L134" s="5" t="str">
        <f aca="false">", "&amp;C134&amp;", "</f>
        <v>, wonder, dreams, play, </v>
      </c>
    </row>
    <row r="135" customFormat="false" ht="15" hidden="false" customHeight="true" outlineLevel="0" collapsed="false">
      <c r="A135" s="13" t="s">
        <v>797</v>
      </c>
      <c r="B135" s="13" t="s">
        <v>1159</v>
      </c>
      <c r="C135" s="14" t="s">
        <v>1694</v>
      </c>
      <c r="D135" s="15" t="s">
        <v>1336</v>
      </c>
      <c r="E135" s="15" t="s">
        <v>1337</v>
      </c>
      <c r="F135" s="14" t="s">
        <v>1695</v>
      </c>
      <c r="G135" s="13" t="n">
        <f aca="false">IF(OR(D135="—",D135="",K135=""),"",COUNTIF($J$2:$J$259,J135)-1)</f>
        <v>0</v>
      </c>
      <c r="H135" s="15"/>
      <c r="I135" s="14"/>
      <c r="J135" s="5" t="str">
        <f aca="false">K135&amp;"|"&amp;D135&amp;"|"&amp;E135</f>
        <v>play,self-love|Mind|Gentle</v>
      </c>
      <c r="K135" s="5" t="s">
        <v>1696</v>
      </c>
      <c r="L135" s="5" t="str">
        <f aca="false">", "&amp;C135&amp;", "</f>
        <v>, play, self-love, </v>
      </c>
    </row>
    <row r="136" customFormat="false" ht="15" hidden="false" customHeight="true" outlineLevel="0" collapsed="false">
      <c r="A136" s="13" t="s">
        <v>552</v>
      </c>
      <c r="B136" s="13" t="s">
        <v>1159</v>
      </c>
      <c r="C136" s="14" t="s">
        <v>1697</v>
      </c>
      <c r="D136" s="15" t="s">
        <v>1336</v>
      </c>
      <c r="E136" s="15" t="s">
        <v>1337</v>
      </c>
      <c r="F136" s="14" t="s">
        <v>1698</v>
      </c>
      <c r="G136" s="13" t="n">
        <f aca="false">IF(OR(D136="—",D136="",K136=""),"",COUNTIF($J$2:$J$259,J136)-1)</f>
        <v>0</v>
      </c>
      <c r="H136" s="15"/>
      <c r="I136" s="14"/>
      <c r="J136" s="5" t="str">
        <f aca="false">K136&amp;"|"&amp;D136&amp;"|"&amp;E136</f>
        <v>creativity,play|Mind|Gentle</v>
      </c>
      <c r="K136" s="5" t="s">
        <v>1699</v>
      </c>
      <c r="L136" s="5" t="str">
        <f aca="false">", "&amp;C136&amp;", "</f>
        <v>, play, creativity, </v>
      </c>
    </row>
    <row r="137" customFormat="false" ht="15" hidden="false" customHeight="true" outlineLevel="0" collapsed="false">
      <c r="A137" s="13" t="s">
        <v>511</v>
      </c>
      <c r="B137" s="13" t="s">
        <v>1190</v>
      </c>
      <c r="C137" s="14" t="s">
        <v>1700</v>
      </c>
      <c r="D137" s="15" t="s">
        <v>1336</v>
      </c>
      <c r="E137" s="15" t="s">
        <v>1337</v>
      </c>
      <c r="F137" s="14" t="s">
        <v>1701</v>
      </c>
      <c r="G137" s="13" t="n">
        <f aca="false">IF(OR(D137="—",D137="",K137=""),"",COUNTIF($J$2:$J$259,J137)-1)</f>
        <v>0</v>
      </c>
      <c r="H137" s="15"/>
      <c r="I137" s="14"/>
      <c r="J137" s="5" t="str">
        <f aca="false">K137&amp;"|"&amp;D137&amp;"|"&amp;E137</f>
        <v>calm,comfort,joy|Mind|Gentle</v>
      </c>
      <c r="K137" s="5" t="s">
        <v>1702</v>
      </c>
      <c r="L137" s="5" t="str">
        <f aca="false">", "&amp;C137&amp;", "</f>
        <v>, comfort, calm, joy, </v>
      </c>
    </row>
    <row r="138" customFormat="false" ht="15" hidden="false" customHeight="true" outlineLevel="0" collapsed="false">
      <c r="A138" s="13" t="s">
        <v>609</v>
      </c>
      <c r="B138" s="13" t="s">
        <v>1190</v>
      </c>
      <c r="C138" s="14" t="s">
        <v>1703</v>
      </c>
      <c r="D138" s="15" t="s">
        <v>1352</v>
      </c>
      <c r="E138" s="15" t="s">
        <v>1337</v>
      </c>
      <c r="F138" s="14" t="s">
        <v>1704</v>
      </c>
      <c r="G138" s="13" t="n">
        <f aca="false">IF(OR(D138="—",D138="",K138=""),"",COUNTIF($J$2:$J$259,J138)-1)</f>
        <v>0</v>
      </c>
      <c r="H138" s="15"/>
      <c r="I138" s="14"/>
      <c r="J138" s="5" t="str">
        <f aca="false">K138&amp;"|"&amp;D138&amp;"|"&amp;E138</f>
        <v>calm,connection|Space|Gentle</v>
      </c>
      <c r="K138" s="5" t="s">
        <v>1705</v>
      </c>
      <c r="L138" s="5" t="str">
        <f aca="false">", "&amp;C138&amp;", "</f>
        <v>, calm, connection, </v>
      </c>
    </row>
    <row r="139" customFormat="false" ht="23.25" hidden="false" customHeight="true" outlineLevel="0" collapsed="false">
      <c r="A139" s="13" t="s">
        <v>240</v>
      </c>
      <c r="B139" s="13" t="s">
        <v>1190</v>
      </c>
      <c r="C139" s="14" t="s">
        <v>1706</v>
      </c>
      <c r="D139" s="15" t="s">
        <v>1352</v>
      </c>
      <c r="E139" s="15" t="s">
        <v>1341</v>
      </c>
      <c r="F139" s="14" t="s">
        <v>1707</v>
      </c>
      <c r="G139" s="13" t="n">
        <f aca="false">IF(OR(D139="—",D139="",K139=""),"",COUNTIF($J$2:$J$259,J139)-1)</f>
        <v>0</v>
      </c>
      <c r="H139" s="15"/>
      <c r="I139" s="14"/>
      <c r="J139" s="5" t="str">
        <f aca="false">K139&amp;"|"&amp;D139&amp;"|"&amp;E139</f>
        <v>cleansing,creativity,intuition,protection|Space|Strong</v>
      </c>
      <c r="K139" s="5" t="s">
        <v>1708</v>
      </c>
      <c r="L139" s="5" t="str">
        <f aca="false">", "&amp;C139&amp;", "</f>
        <v>, cleansing, protection, intuition, creativity, </v>
      </c>
    </row>
    <row r="140" customFormat="false" ht="15" hidden="false" customHeight="true" outlineLevel="0" collapsed="false">
      <c r="A140" s="13" t="s">
        <v>204</v>
      </c>
      <c r="B140" s="13" t="s">
        <v>1190</v>
      </c>
      <c r="C140" s="14" t="s">
        <v>1709</v>
      </c>
      <c r="D140" s="15" t="s">
        <v>1345</v>
      </c>
      <c r="E140" s="15" t="s">
        <v>1341</v>
      </c>
      <c r="F140" s="14" t="s">
        <v>1710</v>
      </c>
      <c r="G140" s="13" t="n">
        <f aca="false">IF(OR(D140="—",D140="",K140=""),"",COUNTIF($J$2:$J$259,J140)-1)</f>
        <v>0</v>
      </c>
      <c r="H140" s="15"/>
      <c r="I140" s="14"/>
      <c r="J140" s="5" t="str">
        <f aca="false">K140&amp;"|"&amp;D140&amp;"|"&amp;E140</f>
        <v>healing,intuition,protection,release|Body|Strong</v>
      </c>
      <c r="K140" s="5" t="s">
        <v>1711</v>
      </c>
      <c r="L140" s="5" t="str">
        <f aca="false">", "&amp;C140&amp;", "</f>
        <v>, release, protection, healing, intuition, </v>
      </c>
    </row>
    <row r="141" customFormat="false" ht="15" hidden="false" customHeight="true" outlineLevel="0" collapsed="false">
      <c r="A141" s="13" t="s">
        <v>265</v>
      </c>
      <c r="B141" s="13" t="s">
        <v>1190</v>
      </c>
      <c r="C141" s="14" t="s">
        <v>1712</v>
      </c>
      <c r="D141" s="15" t="s">
        <v>1345</v>
      </c>
      <c r="E141" s="15" t="s">
        <v>1341</v>
      </c>
      <c r="F141" s="14" t="s">
        <v>1713</v>
      </c>
      <c r="G141" s="13" t="n">
        <f aca="false">IF(OR(D141="—",D141="",K141=""),"",COUNTIF($J$2:$J$259,J141)-1)</f>
        <v>0</v>
      </c>
      <c r="H141" s="15"/>
      <c r="I141" s="14"/>
      <c r="J141" s="5" t="str">
        <f aca="false">K141&amp;"|"&amp;D141&amp;"|"&amp;E141</f>
        <v>attraction,grounding|Body|Strong</v>
      </c>
      <c r="K141" s="5" t="s">
        <v>1714</v>
      </c>
      <c r="L141" s="5" t="str">
        <f aca="false">", "&amp;C141&amp;", "</f>
        <v>, grounding, attraction, </v>
      </c>
    </row>
    <row r="142" customFormat="false" ht="15" hidden="false" customHeight="true" outlineLevel="0" collapsed="false">
      <c r="A142" s="13" t="s">
        <v>608</v>
      </c>
      <c r="B142" s="13" t="s">
        <v>1190</v>
      </c>
      <c r="C142" s="14" t="s">
        <v>1715</v>
      </c>
      <c r="D142" s="15" t="s">
        <v>1336</v>
      </c>
      <c r="E142" s="15" t="s">
        <v>1337</v>
      </c>
      <c r="F142" s="14" t="s">
        <v>1716</v>
      </c>
      <c r="G142" s="13" t="n">
        <f aca="false">IF(OR(D142="—",D142="",K142=""),"",COUNTIF($J$2:$J$259,J142)-1)</f>
        <v>0</v>
      </c>
      <c r="H142" s="15"/>
      <c r="I142" s="14"/>
      <c r="J142" s="5" t="str">
        <f aca="false">K142&amp;"|"&amp;D142&amp;"|"&amp;E142</f>
        <v>calm,intuition,rest|Mind|Gentle</v>
      </c>
      <c r="K142" s="5" t="s">
        <v>1717</v>
      </c>
      <c r="L142" s="5" t="str">
        <f aca="false">", "&amp;C142&amp;", "</f>
        <v>, calm, intuition, rest, </v>
      </c>
    </row>
    <row r="143" customFormat="false" ht="15" hidden="false" customHeight="true" outlineLevel="0" collapsed="false">
      <c r="A143" s="13" t="s">
        <v>232</v>
      </c>
      <c r="B143" s="13" t="s">
        <v>1197</v>
      </c>
      <c r="C143" s="14" t="s">
        <v>1718</v>
      </c>
      <c r="D143" s="15" t="s">
        <v>1336</v>
      </c>
      <c r="E143" s="15" t="s">
        <v>1337</v>
      </c>
      <c r="F143" s="14" t="s">
        <v>1719</v>
      </c>
      <c r="G143" s="13" t="n">
        <f aca="false">IF(OR(D143="—",D143="",K143=""),"",COUNTIF($J$2:$J$259,J143)-1)</f>
        <v>0</v>
      </c>
      <c r="H143" s="15"/>
      <c r="I143" s="14"/>
      <c r="J143" s="5" t="str">
        <f aca="false">K143&amp;"|"&amp;D143&amp;"|"&amp;E143</f>
        <v>calm,communication,friendship|Mind|Gentle</v>
      </c>
      <c r="K143" s="5" t="s">
        <v>1720</v>
      </c>
      <c r="L143" s="5" t="str">
        <f aca="false">", "&amp;C143&amp;", "</f>
        <v>, communication, friendship, calm, </v>
      </c>
    </row>
    <row r="144" customFormat="false" ht="15" hidden="false" customHeight="true" outlineLevel="0" collapsed="false">
      <c r="A144" s="13" t="s">
        <v>253</v>
      </c>
      <c r="B144" s="13" t="s">
        <v>1197</v>
      </c>
      <c r="C144" s="14" t="s">
        <v>1721</v>
      </c>
      <c r="D144" s="15" t="s">
        <v>1336</v>
      </c>
      <c r="E144" s="15" t="s">
        <v>1337</v>
      </c>
      <c r="F144" s="14" t="s">
        <v>1722</v>
      </c>
      <c r="G144" s="13" t="n">
        <f aca="false">IF(OR(D144="—",D144="",K144=""),"",COUNTIF($J$2:$J$259,J144)-1)</f>
        <v>0</v>
      </c>
      <c r="H144" s="15"/>
      <c r="I144" s="14"/>
      <c r="J144" s="5" t="str">
        <f aca="false">K144&amp;"|"&amp;D144&amp;"|"&amp;E144</f>
        <v>calm,dreams,intuition|Mind|Gentle</v>
      </c>
      <c r="K144" s="5" t="s">
        <v>1723</v>
      </c>
      <c r="L144" s="5" t="str">
        <f aca="false">", "&amp;C144&amp;", "</f>
        <v>, intuition, dreams, calm, </v>
      </c>
    </row>
    <row r="145" customFormat="false" ht="15" hidden="false" customHeight="true" outlineLevel="0" collapsed="false">
      <c r="A145" s="13" t="s">
        <v>532</v>
      </c>
      <c r="B145" s="13" t="s">
        <v>1197</v>
      </c>
      <c r="C145" s="14" t="s">
        <v>1724</v>
      </c>
      <c r="D145" s="15" t="s">
        <v>1336</v>
      </c>
      <c r="E145" s="15" t="s">
        <v>1337</v>
      </c>
      <c r="F145" s="14" t="s">
        <v>1725</v>
      </c>
      <c r="G145" s="13" t="n">
        <f aca="false">IF(OR(D145="—",D145="",K145=""),"",COUNTIF($J$2:$J$259,J145)-1)</f>
        <v>0</v>
      </c>
      <c r="H145" s="15"/>
      <c r="I145" s="14"/>
      <c r="J145" s="5" t="str">
        <f aca="false">K145&amp;"|"&amp;D145&amp;"|"&amp;E145</f>
        <v>calm,communication,release|Mind|Gentle</v>
      </c>
      <c r="K145" s="5" t="s">
        <v>1726</v>
      </c>
      <c r="L145" s="5" t="str">
        <f aca="false">", "&amp;C145&amp;", "</f>
        <v>, calm, communication, release, </v>
      </c>
    </row>
    <row r="146" customFormat="false" ht="15" hidden="false" customHeight="true" outlineLevel="0" collapsed="false">
      <c r="A146" s="13" t="s">
        <v>678</v>
      </c>
      <c r="B146" s="13" t="s">
        <v>1197</v>
      </c>
      <c r="C146" s="14"/>
      <c r="D146" s="15" t="s">
        <v>880</v>
      </c>
      <c r="E146" s="15" t="s">
        <v>880</v>
      </c>
      <c r="F146" s="14" t="s">
        <v>1727</v>
      </c>
      <c r="G146" s="13" t="str">
        <f aca="false">IF(OR(D146="—",D146="",K146=""),"",COUNTIF($J$2:$J$259,J146)-1)</f>
        <v/>
      </c>
      <c r="H146" s="15"/>
      <c r="I146" s="14"/>
      <c r="J146" s="5" t="str">
        <f aca="false">K146&amp;"|"&amp;D146&amp;"|"&amp;E146</f>
        <v>|—|—</v>
      </c>
      <c r="K146" s="5"/>
      <c r="L146" s="5" t="str">
        <f aca="false">", "&amp;C146&amp;", "</f>
        <v>, , </v>
      </c>
    </row>
    <row r="147" customFormat="false" ht="15" hidden="false" customHeight="true" outlineLevel="0" collapsed="false">
      <c r="A147" s="13" t="s">
        <v>183</v>
      </c>
      <c r="B147" s="13" t="s">
        <v>1197</v>
      </c>
      <c r="C147" s="14" t="s">
        <v>1728</v>
      </c>
      <c r="D147" s="15" t="s">
        <v>1352</v>
      </c>
      <c r="E147" s="15" t="s">
        <v>1341</v>
      </c>
      <c r="F147" s="14" t="s">
        <v>1729</v>
      </c>
      <c r="G147" s="13" t="n">
        <f aca="false">IF(OR(D147="—",D147="",K147=""),"",COUNTIF($J$2:$J$259,J147)-1)</f>
        <v>0</v>
      </c>
      <c r="H147" s="15"/>
      <c r="I147" s="14"/>
      <c r="J147" s="5" t="str">
        <f aca="false">K147&amp;"|"&amp;D147&amp;"|"&amp;E147</f>
        <v>banishing,protection|Space|Strong</v>
      </c>
      <c r="K147" s="5" t="s">
        <v>1730</v>
      </c>
      <c r="L147" s="5" t="str">
        <f aca="false">", "&amp;C147&amp;", "</f>
        <v>, protection, banishing, </v>
      </c>
    </row>
    <row r="148" customFormat="false" ht="15" hidden="false" customHeight="true" outlineLevel="0" collapsed="false">
      <c r="A148" s="13" t="s">
        <v>280</v>
      </c>
      <c r="B148" s="13" t="s">
        <v>1197</v>
      </c>
      <c r="C148" s="14" t="s">
        <v>1731</v>
      </c>
      <c r="D148" s="15" t="s">
        <v>1336</v>
      </c>
      <c r="E148" s="15" t="s">
        <v>1337</v>
      </c>
      <c r="F148" s="14" t="s">
        <v>1732</v>
      </c>
      <c r="G148" s="13" t="n">
        <f aca="false">IF(OR(D148="—",D148="",K148=""),"",COUNTIF($J$2:$J$259,J148)-1)</f>
        <v>0</v>
      </c>
      <c r="H148" s="15"/>
      <c r="I148" s="14"/>
      <c r="J148" s="5" t="str">
        <f aca="false">K148&amp;"|"&amp;D148&amp;"|"&amp;E148</f>
        <v>calm,comfort,communication|Mind|Gentle</v>
      </c>
      <c r="K148" s="5" t="s">
        <v>1733</v>
      </c>
      <c r="L148" s="5" t="str">
        <f aca="false">", "&amp;C148&amp;", "</f>
        <v>, calm, communication, comfort, </v>
      </c>
    </row>
    <row r="149" customFormat="false" ht="15" hidden="false" customHeight="true" outlineLevel="0" collapsed="false">
      <c r="A149" s="13" t="s">
        <v>74</v>
      </c>
      <c r="B149" s="13" t="s">
        <v>1197</v>
      </c>
      <c r="C149" s="14" t="s">
        <v>1734</v>
      </c>
      <c r="D149" s="15" t="s">
        <v>1345</v>
      </c>
      <c r="E149" s="15" t="s">
        <v>1341</v>
      </c>
      <c r="F149" s="14" t="s">
        <v>1735</v>
      </c>
      <c r="G149" s="13" t="n">
        <f aca="false">IF(OR(D149="—",D149="",K149=""),"",COUNTIF($J$2:$J$259,J149)-1)</f>
        <v>0</v>
      </c>
      <c r="H149" s="15"/>
      <c r="I149" s="14"/>
      <c r="J149" s="5" t="str">
        <f aca="false">K149&amp;"|"&amp;D149&amp;"|"&amp;E149</f>
        <v>courage,creativity,energy|Body|Strong</v>
      </c>
      <c r="K149" s="5" t="s">
        <v>1736</v>
      </c>
      <c r="L149" s="5" t="str">
        <f aca="false">", "&amp;C149&amp;", "</f>
        <v>, courage, creativity, energy, </v>
      </c>
    </row>
    <row r="150" customFormat="false" ht="15" hidden="false" customHeight="true" outlineLevel="0" collapsed="false">
      <c r="A150" s="13" t="s">
        <v>331</v>
      </c>
      <c r="B150" s="13" t="s">
        <v>1197</v>
      </c>
      <c r="C150" s="14" t="s">
        <v>1737</v>
      </c>
      <c r="D150" s="15" t="s">
        <v>1352</v>
      </c>
      <c r="E150" s="15" t="s">
        <v>1341</v>
      </c>
      <c r="F150" s="14" t="s">
        <v>1738</v>
      </c>
      <c r="G150" s="13" t="n">
        <f aca="false">IF(OR(D150="—",D150="",K150=""),"",COUNTIF($J$2:$J$259,J150)-1)</f>
        <v>0</v>
      </c>
      <c r="H150" s="15"/>
      <c r="I150" s="14"/>
      <c r="J150" s="5" t="str">
        <f aca="false">K150&amp;"|"&amp;D150&amp;"|"&amp;E150</f>
        <v>abundance,joy,luck,success|Space|Strong</v>
      </c>
      <c r="K150" s="5" t="s">
        <v>1739</v>
      </c>
      <c r="L150" s="5" t="str">
        <f aca="false">", "&amp;C150&amp;", "</f>
        <v>, abundance, joy, success, luck, </v>
      </c>
    </row>
    <row r="151" customFormat="false" ht="15" hidden="false" customHeight="true" outlineLevel="0" collapsed="false">
      <c r="A151" s="13" t="s">
        <v>219</v>
      </c>
      <c r="B151" s="13" t="s">
        <v>1197</v>
      </c>
      <c r="C151" s="14" t="s">
        <v>1740</v>
      </c>
      <c r="D151" s="15" t="s">
        <v>1336</v>
      </c>
      <c r="E151" s="15" t="s">
        <v>1341</v>
      </c>
      <c r="F151" s="14" t="s">
        <v>1741</v>
      </c>
      <c r="G151" s="13" t="n">
        <f aca="false">IF(OR(D151="—",D151="",K151=""),"",COUNTIF($J$2:$J$259,J151)-1)</f>
        <v>0</v>
      </c>
      <c r="H151" s="15"/>
      <c r="I151" s="14"/>
      <c r="J151" s="5" t="str">
        <f aca="false">K151&amp;"|"&amp;D151&amp;"|"&amp;E151</f>
        <v>energy,focus,protection,truth|Mind|Strong</v>
      </c>
      <c r="K151" s="5" t="s">
        <v>1742</v>
      </c>
      <c r="L151" s="5" t="str">
        <f aca="false">", "&amp;C151&amp;", "</f>
        <v>, focus, truth, energy, protection, </v>
      </c>
    </row>
    <row r="152" customFormat="false" ht="15" hidden="false" customHeight="true" outlineLevel="0" collapsed="false">
      <c r="A152" s="13" t="s">
        <v>447</v>
      </c>
      <c r="B152" s="13" t="s">
        <v>1197</v>
      </c>
      <c r="C152" s="14" t="s">
        <v>1743</v>
      </c>
      <c r="D152" s="15" t="s">
        <v>1336</v>
      </c>
      <c r="E152" s="15" t="s">
        <v>1337</v>
      </c>
      <c r="F152" s="14" t="s">
        <v>1744</v>
      </c>
      <c r="G152" s="13" t="n">
        <f aca="false">IF(OR(D152="—",D152="",K152=""),"",COUNTIF($J$2:$J$259,J152)-1)</f>
        <v>0</v>
      </c>
      <c r="H152" s="15"/>
      <c r="I152" s="14"/>
      <c r="J152" s="5" t="str">
        <f aca="false">K152&amp;"|"&amp;D152&amp;"|"&amp;E152</f>
        <v>creativity,focus|Mind|Gentle</v>
      </c>
      <c r="K152" s="5" t="s">
        <v>1745</v>
      </c>
      <c r="L152" s="5" t="str">
        <f aca="false">", "&amp;C152&amp;", "</f>
        <v>, focus, creativity, </v>
      </c>
    </row>
    <row r="153" customFormat="false" ht="15" hidden="false" customHeight="true" outlineLevel="0" collapsed="false">
      <c r="A153" s="13" t="s">
        <v>59</v>
      </c>
      <c r="B153" s="13" t="s">
        <v>1197</v>
      </c>
      <c r="C153" s="14" t="s">
        <v>1746</v>
      </c>
      <c r="D153" s="15" t="s">
        <v>1345</v>
      </c>
      <c r="E153" s="15" t="s">
        <v>1341</v>
      </c>
      <c r="F153" s="14" t="s">
        <v>1747</v>
      </c>
      <c r="G153" s="13" t="n">
        <f aca="false">IF(OR(D153="—",D153="",K153=""),"",COUNTIF($J$2:$J$259,J153)-1)</f>
        <v>0</v>
      </c>
      <c r="H153" s="15"/>
      <c r="I153" s="14"/>
      <c r="J153" s="5" t="str">
        <f aca="false">K153&amp;"|"&amp;D153&amp;"|"&amp;E153</f>
        <v>courage,love,passion|Body|Strong</v>
      </c>
      <c r="K153" s="5" t="s">
        <v>1748</v>
      </c>
      <c r="L153" s="5" t="str">
        <f aca="false">", "&amp;C153&amp;", "</f>
        <v>, passion, courage, love, </v>
      </c>
    </row>
    <row r="154" customFormat="false" ht="15" hidden="false" customHeight="true" outlineLevel="0" collapsed="false">
      <c r="A154" s="13" t="s">
        <v>317</v>
      </c>
      <c r="B154" s="13" t="s">
        <v>1197</v>
      </c>
      <c r="C154" s="14" t="s">
        <v>1749</v>
      </c>
      <c r="D154" s="15" t="s">
        <v>1352</v>
      </c>
      <c r="E154" s="15" t="s">
        <v>1337</v>
      </c>
      <c r="F154" s="14" t="s">
        <v>1750</v>
      </c>
      <c r="G154" s="13" t="n">
        <f aca="false">IF(OR(D154="—",D154="",K154=""),"",COUNTIF($J$2:$J$259,J154)-1)</f>
        <v>0</v>
      </c>
      <c r="H154" s="15"/>
      <c r="I154" s="14"/>
      <c r="J154" s="5" t="str">
        <f aca="false">K154&amp;"|"&amp;D154&amp;"|"&amp;E154</f>
        <v>abundance,luck,opportunity|Space|Gentle</v>
      </c>
      <c r="K154" s="5" t="s">
        <v>1751</v>
      </c>
      <c r="L154" s="5" t="str">
        <f aca="false">", "&amp;C154&amp;", "</f>
        <v>, luck, opportunity, abundance, </v>
      </c>
    </row>
    <row r="155" customFormat="false" ht="15" hidden="false" customHeight="true" outlineLevel="0" collapsed="false">
      <c r="A155" s="13" t="s">
        <v>214</v>
      </c>
      <c r="B155" s="13" t="s">
        <v>1197</v>
      </c>
      <c r="C155" s="14" t="s">
        <v>1752</v>
      </c>
      <c r="D155" s="15" t="s">
        <v>1345</v>
      </c>
      <c r="E155" s="15" t="s">
        <v>1341</v>
      </c>
      <c r="F155" s="14" t="s">
        <v>1753</v>
      </c>
      <c r="G155" s="13" t="n">
        <f aca="false">IF(OR(D155="—",D155="",K155=""),"",COUNTIF($J$2:$J$259,J155)-1)</f>
        <v>0</v>
      </c>
      <c r="H155" s="15"/>
      <c r="I155" s="14"/>
      <c r="J155" s="5" t="str">
        <f aca="false">K155&amp;"|"&amp;D155&amp;"|"&amp;E155</f>
        <v>focus,grounding,protection|Body|Strong</v>
      </c>
      <c r="K155" s="5" t="s">
        <v>1754</v>
      </c>
      <c r="L155" s="5" t="str">
        <f aca="false">", "&amp;C155&amp;", "</f>
        <v>, grounding, protection, focus, </v>
      </c>
    </row>
    <row r="156" customFormat="false" ht="15" hidden="false" customHeight="true" outlineLevel="0" collapsed="false">
      <c r="A156" s="13" t="s">
        <v>589</v>
      </c>
      <c r="B156" s="13" t="s">
        <v>1197</v>
      </c>
      <c r="C156" s="14" t="s">
        <v>1755</v>
      </c>
      <c r="D156" s="15" t="s">
        <v>1336</v>
      </c>
      <c r="E156" s="15" t="s">
        <v>1337</v>
      </c>
      <c r="F156" s="14" t="s">
        <v>1756</v>
      </c>
      <c r="G156" s="13" t="n">
        <f aca="false">IF(OR(D156="—",D156="",K156=""),"",COUNTIF($J$2:$J$259,J156)-1)</f>
        <v>0</v>
      </c>
      <c r="H156" s="15"/>
      <c r="I156" s="14"/>
      <c r="J156" s="5" t="str">
        <f aca="false">K156&amp;"|"&amp;D156&amp;"|"&amp;E156</f>
        <v>calm,patience|Mind|Gentle</v>
      </c>
      <c r="K156" s="5" t="s">
        <v>1757</v>
      </c>
      <c r="L156" s="5" t="str">
        <f aca="false">", "&amp;C156&amp;", "</f>
        <v>, calm, patience, </v>
      </c>
    </row>
    <row r="157" customFormat="false" ht="15" hidden="false" customHeight="true" outlineLevel="0" collapsed="false">
      <c r="A157" s="13" t="s">
        <v>166</v>
      </c>
      <c r="B157" s="13" t="s">
        <v>1197</v>
      </c>
      <c r="C157" s="14" t="s">
        <v>1758</v>
      </c>
      <c r="D157" s="15" t="s">
        <v>1352</v>
      </c>
      <c r="E157" s="15" t="s">
        <v>1337</v>
      </c>
      <c r="F157" s="14" t="s">
        <v>1759</v>
      </c>
      <c r="G157" s="13" t="n">
        <f aca="false">IF(OR(D157="—",D157="",K157=""),"",COUNTIF($J$2:$J$259,J157)-1)</f>
        <v>0</v>
      </c>
      <c r="H157" s="15"/>
      <c r="I157" s="14"/>
      <c r="J157" s="5" t="str">
        <f aca="false">K157&amp;"|"&amp;D157&amp;"|"&amp;E157</f>
        <v>abundance,friendship,harmony|Space|Gentle</v>
      </c>
      <c r="K157" s="5" t="s">
        <v>1760</v>
      </c>
      <c r="L157" s="5" t="str">
        <f aca="false">", "&amp;C157&amp;", "</f>
        <v>, abundance, harmony, friendship, </v>
      </c>
    </row>
    <row r="158" customFormat="false" ht="15" hidden="false" customHeight="true" outlineLevel="0" collapsed="false">
      <c r="A158" s="13" t="s">
        <v>428</v>
      </c>
      <c r="B158" s="13" t="s">
        <v>1197</v>
      </c>
      <c r="C158" s="14" t="s">
        <v>1761</v>
      </c>
      <c r="D158" s="15" t="s">
        <v>1336</v>
      </c>
      <c r="E158" s="15" t="s">
        <v>1341</v>
      </c>
      <c r="F158" s="14" t="s">
        <v>1762</v>
      </c>
      <c r="G158" s="13" t="n">
        <f aca="false">IF(OR(D158="—",D158="",K158=""),"",COUNTIF($J$2:$J$259,J158)-1)</f>
        <v>0</v>
      </c>
      <c r="H158" s="15"/>
      <c r="I158" s="14"/>
      <c r="J158" s="5" t="str">
        <f aca="false">K158&amp;"|"&amp;D158&amp;"|"&amp;E158</f>
        <v>creativity,intuition,transformation|Mind|Strong</v>
      </c>
      <c r="K158" s="5" t="s">
        <v>1763</v>
      </c>
      <c r="L158" s="5" t="str">
        <f aca="false">", "&amp;C158&amp;", "</f>
        <v>, transformation, intuition, creativity, </v>
      </c>
    </row>
    <row r="159" customFormat="false" ht="15" hidden="false" customHeight="true" outlineLevel="0" collapsed="false">
      <c r="A159" s="13" t="s">
        <v>587</v>
      </c>
      <c r="B159" s="13" t="s">
        <v>1197</v>
      </c>
      <c r="C159" s="14" t="s">
        <v>1764</v>
      </c>
      <c r="D159" s="15" t="s">
        <v>1336</v>
      </c>
      <c r="E159" s="15" t="s">
        <v>1341</v>
      </c>
      <c r="F159" s="14" t="s">
        <v>1765</v>
      </c>
      <c r="G159" s="13" t="n">
        <f aca="false">IF(OR(D159="—",D159="",K159=""),"",COUNTIF($J$2:$J$259,J159)-1)</f>
        <v>0</v>
      </c>
      <c r="H159" s="15"/>
      <c r="I159" s="14"/>
      <c r="J159" s="5" t="str">
        <f aca="false">K159&amp;"|"&amp;D159&amp;"|"&amp;E159</f>
        <v>communication,truth|Mind|Strong</v>
      </c>
      <c r="K159" s="5" t="s">
        <v>1766</v>
      </c>
      <c r="L159" s="5" t="str">
        <f aca="false">", "&amp;C159&amp;", "</f>
        <v>, truth, communication, </v>
      </c>
    </row>
    <row r="160" customFormat="false" ht="15" hidden="false" customHeight="true" outlineLevel="0" collapsed="false">
      <c r="A160" s="13" t="s">
        <v>234</v>
      </c>
      <c r="B160" s="13" t="s">
        <v>1197</v>
      </c>
      <c r="C160" s="14" t="s">
        <v>1767</v>
      </c>
      <c r="D160" s="15" t="s">
        <v>1352</v>
      </c>
      <c r="E160" s="15" t="s">
        <v>1341</v>
      </c>
      <c r="F160" s="14" t="s">
        <v>1768</v>
      </c>
      <c r="G160" s="13" t="n">
        <f aca="false">IF(OR(D160="—",D160="",K160=""),"",COUNTIF($J$2:$J$259,J160)-1)</f>
        <v>0</v>
      </c>
      <c r="H160" s="15"/>
      <c r="I160" s="14"/>
      <c r="J160" s="5" t="str">
        <f aca="false">K160&amp;"|"&amp;D160&amp;"|"&amp;E160</f>
        <v>protection,transformation,travel|Space|Strong</v>
      </c>
      <c r="K160" s="5" t="s">
        <v>1769</v>
      </c>
      <c r="L160" s="5" t="str">
        <f aca="false">", "&amp;C160&amp;", "</f>
        <v>, transformation, protection, travel, </v>
      </c>
    </row>
    <row r="161" customFormat="false" ht="23.25" hidden="false" customHeight="true" outlineLevel="0" collapsed="false">
      <c r="A161" s="13" t="s">
        <v>178</v>
      </c>
      <c r="B161" s="13" t="s">
        <v>1197</v>
      </c>
      <c r="C161" s="14" t="s">
        <v>1770</v>
      </c>
      <c r="D161" s="15" t="s">
        <v>1336</v>
      </c>
      <c r="E161" s="15" t="s">
        <v>1337</v>
      </c>
      <c r="F161" s="14" t="s">
        <v>1771</v>
      </c>
      <c r="G161" s="13" t="n">
        <f aca="false">IF(OR(D161="—",D161="",K161=""),"",COUNTIF($J$2:$J$259,J161)-1)</f>
        <v>0</v>
      </c>
      <c r="H161" s="15"/>
      <c r="I161" s="14"/>
      <c r="J161" s="5" t="str">
        <f aca="false">K161&amp;"|"&amp;D161&amp;"|"&amp;E161</f>
        <v>beginnings,dreams,intuition,self-love|Mind|Gentle</v>
      </c>
      <c r="K161" s="5" t="s">
        <v>1772</v>
      </c>
      <c r="L161" s="5" t="str">
        <f aca="false">", "&amp;C161&amp;", "</f>
        <v>, intuition, dreams, beginnings, self-love, </v>
      </c>
    </row>
    <row r="162" customFormat="false" ht="15" hidden="false" customHeight="true" outlineLevel="0" collapsed="false">
      <c r="A162" s="13" t="s">
        <v>516</v>
      </c>
      <c r="B162" s="13" t="s">
        <v>1197</v>
      </c>
      <c r="C162" s="14" t="s">
        <v>1773</v>
      </c>
      <c r="D162" s="15" t="s">
        <v>1336</v>
      </c>
      <c r="E162" s="15" t="s">
        <v>1337</v>
      </c>
      <c r="F162" s="14" t="s">
        <v>1774</v>
      </c>
      <c r="G162" s="13" t="n">
        <f aca="false">IF(OR(D162="—",D162="",K162=""),"",COUNTIF($J$2:$J$259,J162)-1)</f>
        <v>0</v>
      </c>
      <c r="H162" s="15"/>
      <c r="I162" s="14"/>
      <c r="J162" s="5" t="str">
        <f aca="false">K162&amp;"|"&amp;D162&amp;"|"&amp;E162</f>
        <v>connection,growth|Mind|Gentle</v>
      </c>
      <c r="K162" s="5" t="s">
        <v>1419</v>
      </c>
      <c r="L162" s="5" t="str">
        <f aca="false">", "&amp;C162&amp;", "</f>
        <v>, growth, connection, </v>
      </c>
    </row>
    <row r="163" customFormat="false" ht="15" hidden="false" customHeight="true" outlineLevel="0" collapsed="false">
      <c r="A163" s="13" t="s">
        <v>118</v>
      </c>
      <c r="B163" s="13" t="s">
        <v>1197</v>
      </c>
      <c r="C163" s="14" t="s">
        <v>1775</v>
      </c>
      <c r="D163" s="15" t="s">
        <v>1336</v>
      </c>
      <c r="E163" s="15" t="s">
        <v>1341</v>
      </c>
      <c r="F163" s="14" t="s">
        <v>1776</v>
      </c>
      <c r="G163" s="13" t="n">
        <f aca="false">IF(OR(D163="—",D163="",K163=""),"",COUNTIF($J$2:$J$259,J163)-1)</f>
        <v>0</v>
      </c>
      <c r="H163" s="15"/>
      <c r="I163" s="14"/>
      <c r="J163" s="5" t="str">
        <f aca="false">K163&amp;"|"&amp;D163&amp;"|"&amp;E163</f>
        <v>protection,release,truth|Mind|Strong</v>
      </c>
      <c r="K163" s="5" t="s">
        <v>1777</v>
      </c>
      <c r="L163" s="5" t="str">
        <f aca="false">", "&amp;C163&amp;", "</f>
        <v>, protection, release, truth, </v>
      </c>
    </row>
    <row r="164" customFormat="false" ht="15" hidden="false" customHeight="true" outlineLevel="0" collapsed="false">
      <c r="A164" s="13" t="s">
        <v>89</v>
      </c>
      <c r="B164" s="13" t="s">
        <v>1197</v>
      </c>
      <c r="C164" s="14" t="s">
        <v>1778</v>
      </c>
      <c r="D164" s="15" t="s">
        <v>1345</v>
      </c>
      <c r="E164" s="15" t="s">
        <v>1337</v>
      </c>
      <c r="F164" s="14" t="s">
        <v>1779</v>
      </c>
      <c r="G164" s="13" t="n">
        <f aca="false">IF(OR(D164="—",D164="",K164=""),"",COUNTIF($J$2:$J$259,J164)-1)</f>
        <v>0</v>
      </c>
      <c r="H164" s="15"/>
      <c r="I164" s="14"/>
      <c r="J164" s="5" t="str">
        <f aca="false">K164&amp;"|"&amp;D164&amp;"|"&amp;E164</f>
        <v>beauty,calm,self-love|Body|Gentle</v>
      </c>
      <c r="K164" s="5" t="s">
        <v>1780</v>
      </c>
      <c r="L164" s="5" t="str">
        <f aca="false">", "&amp;C164&amp;", "</f>
        <v>, beauty, self-love, calm, </v>
      </c>
    </row>
    <row r="165" customFormat="false" ht="15" hidden="false" customHeight="true" outlineLevel="0" collapsed="false">
      <c r="A165" s="13" t="s">
        <v>689</v>
      </c>
      <c r="B165" s="13" t="s">
        <v>1197</v>
      </c>
      <c r="C165" s="14" t="s">
        <v>1781</v>
      </c>
      <c r="D165" s="15" t="s">
        <v>1336</v>
      </c>
      <c r="E165" s="15" t="s">
        <v>1337</v>
      </c>
      <c r="F165" s="14" t="s">
        <v>1782</v>
      </c>
      <c r="G165" s="13" t="n">
        <f aca="false">IF(OR(D165="—",D165="",K165=""),"",COUNTIF($J$2:$J$259,J165)-1)</f>
        <v>0</v>
      </c>
      <c r="H165" s="15"/>
      <c r="I165" s="14"/>
      <c r="J165" s="5" t="str">
        <f aca="false">K165&amp;"|"&amp;D165&amp;"|"&amp;E165</f>
        <v>growth,joy|Mind|Gentle</v>
      </c>
      <c r="K165" s="5" t="s">
        <v>1783</v>
      </c>
      <c r="L165" s="5" t="str">
        <f aca="false">", "&amp;C165&amp;", "</f>
        <v>, growth, joy, </v>
      </c>
    </row>
    <row r="166" customFormat="false" ht="15" hidden="false" customHeight="true" outlineLevel="0" collapsed="false">
      <c r="A166" s="13" t="s">
        <v>327</v>
      </c>
      <c r="B166" s="13" t="s">
        <v>1197</v>
      </c>
      <c r="C166" s="14" t="s">
        <v>1784</v>
      </c>
      <c r="D166" s="15" t="s">
        <v>1352</v>
      </c>
      <c r="E166" s="15" t="s">
        <v>1341</v>
      </c>
      <c r="F166" s="14" t="s">
        <v>1785</v>
      </c>
      <c r="G166" s="13" t="n">
        <f aca="false">IF(OR(D166="—",D166="",K166=""),"",COUNTIF($J$2:$J$259,J166)-1)</f>
        <v>0</v>
      </c>
      <c r="H166" s="15"/>
      <c r="I166" s="14"/>
      <c r="J166" s="5" t="str">
        <f aca="false">K166&amp;"|"&amp;D166&amp;"|"&amp;E166</f>
        <v>abundance,confidence,success|Space|Strong</v>
      </c>
      <c r="K166" s="5" t="s">
        <v>1786</v>
      </c>
      <c r="L166" s="5" t="str">
        <f aca="false">", "&amp;C166&amp;", "</f>
        <v>, abundance, success, confidence, </v>
      </c>
    </row>
    <row r="167" customFormat="false" ht="15" hidden="false" customHeight="true" outlineLevel="0" collapsed="false">
      <c r="A167" s="13" t="s">
        <v>132</v>
      </c>
      <c r="B167" s="13" t="s">
        <v>1197</v>
      </c>
      <c r="C167" s="14" t="s">
        <v>1787</v>
      </c>
      <c r="D167" s="15" t="s">
        <v>1336</v>
      </c>
      <c r="E167" s="15" t="s">
        <v>1341</v>
      </c>
      <c r="F167" s="14" t="s">
        <v>1788</v>
      </c>
      <c r="G167" s="13" t="n">
        <f aca="false">IF(OR(D167="—",D167="",K167=""),"",COUNTIF($J$2:$J$259,J167)-1)</f>
        <v>0</v>
      </c>
      <c r="H167" s="15"/>
      <c r="I167" s="14"/>
      <c r="J167" s="5" t="str">
        <f aca="false">K167&amp;"|"&amp;D167&amp;"|"&amp;E167</f>
        <v>healing,release,self-love|Mind|Strong</v>
      </c>
      <c r="K167" s="5" t="s">
        <v>1789</v>
      </c>
      <c r="L167" s="5" t="str">
        <f aca="false">", "&amp;C167&amp;", "</f>
        <v>, healing, self-love, release, </v>
      </c>
    </row>
    <row r="168" customFormat="false" ht="15" hidden="false" customHeight="true" outlineLevel="0" collapsed="false">
      <c r="A168" s="13" t="s">
        <v>35</v>
      </c>
      <c r="B168" s="13" t="s">
        <v>1197</v>
      </c>
      <c r="C168" s="14" t="s">
        <v>1790</v>
      </c>
      <c r="D168" s="15" t="s">
        <v>1336</v>
      </c>
      <c r="E168" s="15" t="s">
        <v>1337</v>
      </c>
      <c r="F168" s="14" t="s">
        <v>1791</v>
      </c>
      <c r="G168" s="13" t="n">
        <f aca="false">IF(OR(D168="—",D168="",K168=""),"",COUNTIF($J$2:$J$259,J168)-1)</f>
        <v>0</v>
      </c>
      <c r="H168" s="15"/>
      <c r="I168" s="14"/>
      <c r="J168" s="5" t="str">
        <f aca="false">K168&amp;"|"&amp;D168&amp;"|"&amp;E168</f>
        <v>comfort,love,self-love|Mind|Gentle</v>
      </c>
      <c r="K168" s="5" t="s">
        <v>1792</v>
      </c>
      <c r="L168" s="5" t="str">
        <f aca="false">", "&amp;C168&amp;", "</f>
        <v>, self-love, love, comfort, </v>
      </c>
    </row>
    <row r="169" customFormat="false" ht="15" hidden="false" customHeight="true" outlineLevel="0" collapsed="false">
      <c r="A169" s="13" t="s">
        <v>291</v>
      </c>
      <c r="B169" s="13" t="s">
        <v>1197</v>
      </c>
      <c r="C169" s="14" t="s">
        <v>1793</v>
      </c>
      <c r="D169" s="15" t="s">
        <v>1352</v>
      </c>
      <c r="E169" s="15" t="s">
        <v>1337</v>
      </c>
      <c r="F169" s="14" t="s">
        <v>1794</v>
      </c>
      <c r="G169" s="13" t="n">
        <f aca="false">IF(OR(D169="—",D169="",K169=""),"",COUNTIF($J$2:$J$259,J169)-1)</f>
        <v>0</v>
      </c>
      <c r="H169" s="15"/>
      <c r="I169" s="14"/>
      <c r="J169" s="5" t="str">
        <f aca="false">K169&amp;"|"&amp;D169&amp;"|"&amp;E169</f>
        <v>calm,cleansing,intuition|Space|Gentle</v>
      </c>
      <c r="K169" s="5" t="s">
        <v>1795</v>
      </c>
      <c r="L169" s="5" t="str">
        <f aca="false">", "&amp;C169&amp;", "</f>
        <v>, cleansing, calm, intuition, </v>
      </c>
    </row>
    <row r="170" customFormat="false" ht="15" hidden="false" customHeight="true" outlineLevel="0" collapsed="false">
      <c r="A170" s="13" t="s">
        <v>263</v>
      </c>
      <c r="B170" s="13" t="s">
        <v>1197</v>
      </c>
      <c r="C170" s="14" t="s">
        <v>1796</v>
      </c>
      <c r="D170" s="15" t="s">
        <v>1352</v>
      </c>
      <c r="E170" s="15" t="s">
        <v>1341</v>
      </c>
      <c r="F170" s="14" t="s">
        <v>1797</v>
      </c>
      <c r="G170" s="13" t="n">
        <f aca="false">IF(OR(D170="—",D170="",K170=""),"",COUNTIF($J$2:$J$259,J170)-1)</f>
        <v>0</v>
      </c>
      <c r="H170" s="15"/>
      <c r="I170" s="14"/>
      <c r="J170" s="5" t="str">
        <f aca="false">K170&amp;"|"&amp;D170&amp;"|"&amp;E170</f>
        <v>grounding,protection,release|Space|Strong</v>
      </c>
      <c r="K170" s="5" t="s">
        <v>1798</v>
      </c>
      <c r="L170" s="5" t="str">
        <f aca="false">", "&amp;C170&amp;", "</f>
        <v>, grounding, release, protection, </v>
      </c>
    </row>
    <row r="171" customFormat="false" ht="15" hidden="false" customHeight="true" outlineLevel="0" collapsed="false">
      <c r="A171" s="13" t="s">
        <v>402</v>
      </c>
      <c r="B171" s="13" t="s">
        <v>1197</v>
      </c>
      <c r="C171" s="14" t="s">
        <v>1799</v>
      </c>
      <c r="D171" s="15" t="s">
        <v>1336</v>
      </c>
      <c r="E171" s="15" t="s">
        <v>1341</v>
      </c>
      <c r="F171" s="14" t="s">
        <v>1800</v>
      </c>
      <c r="G171" s="13" t="n">
        <f aca="false">IF(OR(D171="—",D171="",K171=""),"",COUNTIF($J$2:$J$259,J171)-1)</f>
        <v>0</v>
      </c>
      <c r="H171" s="15"/>
      <c r="I171" s="14"/>
      <c r="J171" s="5" t="str">
        <f aca="false">K171&amp;"|"&amp;D171&amp;"|"&amp;E171</f>
        <v>confidence,joy,success|Mind|Strong</v>
      </c>
      <c r="K171" s="5" t="s">
        <v>1687</v>
      </c>
      <c r="L171" s="5" t="str">
        <f aca="false">", "&amp;C171&amp;", "</f>
        <v>, joy, confidence, success, </v>
      </c>
    </row>
    <row r="172" customFormat="false" ht="15" hidden="false" customHeight="true" outlineLevel="0" collapsed="false">
      <c r="A172" s="13" t="s">
        <v>338</v>
      </c>
      <c r="B172" s="13" t="s">
        <v>1197</v>
      </c>
      <c r="C172" s="14" t="s">
        <v>1801</v>
      </c>
      <c r="D172" s="15" t="s">
        <v>1336</v>
      </c>
      <c r="E172" s="15" t="s">
        <v>1341</v>
      </c>
      <c r="F172" s="14" t="s">
        <v>1802</v>
      </c>
      <c r="G172" s="13" t="n">
        <f aca="false">IF(OR(D172="—",D172="",K172=""),"",COUNTIF($J$2:$J$259,J172)-1)</f>
        <v>0</v>
      </c>
      <c r="H172" s="15"/>
      <c r="I172" s="14"/>
      <c r="J172" s="5" t="str">
        <f aca="false">K172&amp;"|"&amp;D172&amp;"|"&amp;E172</f>
        <v>confidence,courage,success|Mind|Strong</v>
      </c>
      <c r="K172" s="5" t="s">
        <v>1803</v>
      </c>
      <c r="L172" s="5" t="str">
        <f aca="false">", "&amp;C172&amp;", "</f>
        <v>, courage, confidence, success, </v>
      </c>
    </row>
    <row r="173" customFormat="false" ht="15" hidden="false" customHeight="true" outlineLevel="0" collapsed="false">
      <c r="A173" s="13" t="s">
        <v>615</v>
      </c>
      <c r="B173" s="13" t="s">
        <v>1197</v>
      </c>
      <c r="C173" s="14" t="s">
        <v>1804</v>
      </c>
      <c r="D173" s="15" t="s">
        <v>1336</v>
      </c>
      <c r="E173" s="15" t="s">
        <v>1337</v>
      </c>
      <c r="F173" s="14" t="s">
        <v>1805</v>
      </c>
      <c r="G173" s="13" t="n">
        <f aca="false">IF(OR(D173="—",D173="",K173=""),"",COUNTIF($J$2:$J$259,J173)-1)</f>
        <v>0</v>
      </c>
      <c r="H173" s="15"/>
      <c r="I173" s="14"/>
      <c r="J173" s="5" t="str">
        <f aca="false">K173&amp;"|"&amp;D173&amp;"|"&amp;E173</f>
        <v>calm,grounding,patience|Mind|Gentle</v>
      </c>
      <c r="K173" s="5" t="s">
        <v>1806</v>
      </c>
      <c r="L173" s="5" t="str">
        <f aca="false">", "&amp;C173&amp;", "</f>
        <v>, grounding, patience, calm, </v>
      </c>
    </row>
    <row r="174" customFormat="false" ht="15" hidden="false" customHeight="true" outlineLevel="0" collapsed="false">
      <c r="A174" s="13" t="s">
        <v>539</v>
      </c>
      <c r="B174" s="13" t="s">
        <v>1230</v>
      </c>
      <c r="C174" s="14" t="s">
        <v>1807</v>
      </c>
      <c r="D174" s="15" t="s">
        <v>1352</v>
      </c>
      <c r="E174" s="15" t="s">
        <v>1337</v>
      </c>
      <c r="F174" s="14" t="s">
        <v>1808</v>
      </c>
      <c r="G174" s="13" t="n">
        <f aca="false">IF(OR(D174="—",D174="",K174=""),"",COUNTIF($J$2:$J$259,J174)-1)</f>
        <v>0</v>
      </c>
      <c r="H174" s="15"/>
      <c r="I174" s="14"/>
      <c r="J174" s="5" t="str">
        <f aca="false">K174&amp;"|"&amp;D174&amp;"|"&amp;E174</f>
        <v>friendship,joy|Space|Gentle</v>
      </c>
      <c r="K174" s="5" t="s">
        <v>1809</v>
      </c>
      <c r="L174" s="5" t="str">
        <f aca="false">", "&amp;C174&amp;", "</f>
        <v>, friendship, joy, </v>
      </c>
    </row>
    <row r="175" customFormat="false" ht="15" hidden="false" customHeight="true" outlineLevel="0" collapsed="false">
      <c r="A175" s="13" t="s">
        <v>48</v>
      </c>
      <c r="B175" s="13" t="s">
        <v>1230</v>
      </c>
      <c r="C175" s="14" t="s">
        <v>1810</v>
      </c>
      <c r="D175" s="15" t="s">
        <v>1336</v>
      </c>
      <c r="E175" s="15" t="s">
        <v>1337</v>
      </c>
      <c r="F175" s="14" t="s">
        <v>1811</v>
      </c>
      <c r="G175" s="13" t="n">
        <f aca="false">IF(OR(D175="—",D175="",K175=""),"",COUNTIF($J$2:$J$259,J175)-1)</f>
        <v>0</v>
      </c>
      <c r="H175" s="15"/>
      <c r="I175" s="14"/>
      <c r="J175" s="5" t="str">
        <f aca="false">K175&amp;"|"&amp;D175&amp;"|"&amp;E175</f>
        <v>calm,friendship,love|Mind|Gentle</v>
      </c>
      <c r="K175" s="5" t="s">
        <v>1812</v>
      </c>
      <c r="L175" s="5" t="str">
        <f aca="false">", "&amp;C175&amp;", "</f>
        <v>, love, calm, friendship, </v>
      </c>
    </row>
    <row r="176" customFormat="false" ht="15" hidden="false" customHeight="true" outlineLevel="0" collapsed="false">
      <c r="A176" s="13" t="s">
        <v>120</v>
      </c>
      <c r="B176" s="13" t="s">
        <v>1230</v>
      </c>
      <c r="C176" s="14" t="s">
        <v>1813</v>
      </c>
      <c r="D176" s="15" t="s">
        <v>1336</v>
      </c>
      <c r="E176" s="15" t="s">
        <v>1341</v>
      </c>
      <c r="F176" s="14" t="s">
        <v>1814</v>
      </c>
      <c r="G176" s="13" t="n">
        <f aca="false">IF(OR(D176="—",D176="",K176=""),"",COUNTIF($J$2:$J$259,J176)-1)</f>
        <v>0</v>
      </c>
      <c r="H176" s="15"/>
      <c r="I176" s="14"/>
      <c r="J176" s="5" t="str">
        <f aca="false">K176&amp;"|"&amp;D176&amp;"|"&amp;E176</f>
        <v>boundaries,protection|Mind|Strong</v>
      </c>
      <c r="K176" s="5" t="s">
        <v>1630</v>
      </c>
      <c r="L176" s="5" t="str">
        <f aca="false">", "&amp;C176&amp;", "</f>
        <v>, boundaries, protection, </v>
      </c>
    </row>
    <row r="177" customFormat="false" ht="15" hidden="false" customHeight="true" outlineLevel="0" collapsed="false">
      <c r="A177" s="13" t="s">
        <v>405</v>
      </c>
      <c r="B177" s="13" t="s">
        <v>1230</v>
      </c>
      <c r="C177" s="14" t="s">
        <v>1815</v>
      </c>
      <c r="D177" s="15" t="s">
        <v>1352</v>
      </c>
      <c r="E177" s="15" t="s">
        <v>1337</v>
      </c>
      <c r="F177" s="14" t="s">
        <v>1816</v>
      </c>
      <c r="G177" s="13" t="n">
        <f aca="false">IF(OR(D177="—",D177="",K177=""),"",COUNTIF($J$2:$J$259,J177)-1)</f>
        <v>0</v>
      </c>
      <c r="H177" s="15"/>
      <c r="I177" s="14"/>
      <c r="J177" s="5" t="str">
        <f aca="false">K177&amp;"|"&amp;D177&amp;"|"&amp;E177</f>
        <v>abundance,friendship,home|Space|Gentle</v>
      </c>
      <c r="K177" s="5" t="s">
        <v>1817</v>
      </c>
      <c r="L177" s="5" t="str">
        <f aca="false">", "&amp;C177&amp;", "</f>
        <v>, abundance, home, friendship, </v>
      </c>
    </row>
    <row r="178" customFormat="false" ht="15" hidden="false" customHeight="true" outlineLevel="0" collapsed="false">
      <c r="A178" s="13" t="s">
        <v>375</v>
      </c>
      <c r="B178" s="13" t="s">
        <v>1230</v>
      </c>
      <c r="C178" s="14" t="s">
        <v>1818</v>
      </c>
      <c r="D178" s="15" t="s">
        <v>1352</v>
      </c>
      <c r="E178" s="15" t="s">
        <v>1341</v>
      </c>
      <c r="F178" s="14" t="s">
        <v>1819</v>
      </c>
      <c r="G178" s="13" t="n">
        <f aca="false">IF(OR(D178="—",D178="",K178=""),"",COUNTIF($J$2:$J$259,J178)-1)</f>
        <v>0</v>
      </c>
      <c r="H178" s="15"/>
      <c r="I178" s="14"/>
      <c r="J178" s="5" t="str">
        <f aca="false">K178&amp;"|"&amp;D178&amp;"|"&amp;E178</f>
        <v>luck,opportunity,play|Space|Strong</v>
      </c>
      <c r="K178" s="5" t="s">
        <v>1820</v>
      </c>
      <c r="L178" s="5" t="str">
        <f aca="false">", "&amp;C178&amp;", "</f>
        <v>, luck, opportunity, play, </v>
      </c>
    </row>
    <row r="179" customFormat="false" ht="15" hidden="false" customHeight="true" outlineLevel="0" collapsed="false">
      <c r="A179" s="13" t="s">
        <v>632</v>
      </c>
      <c r="B179" s="13" t="s">
        <v>1230</v>
      </c>
      <c r="C179" s="14" t="s">
        <v>1821</v>
      </c>
      <c r="D179" s="15" t="s">
        <v>1336</v>
      </c>
      <c r="E179" s="15" t="s">
        <v>1341</v>
      </c>
      <c r="F179" s="14" t="s">
        <v>1822</v>
      </c>
      <c r="G179" s="13" t="n">
        <f aca="false">IF(OR(D179="—",D179="",K179=""),"",COUNTIF($J$2:$J$259,J179)-1)</f>
        <v>0</v>
      </c>
      <c r="H179" s="15"/>
      <c r="I179" s="14"/>
      <c r="J179" s="5" t="str">
        <f aca="false">K179&amp;"|"&amp;D179&amp;"|"&amp;E179</f>
        <v>dreams,intuition,transformation|Mind|Strong</v>
      </c>
      <c r="K179" s="5" t="s">
        <v>1823</v>
      </c>
      <c r="L179" s="5" t="str">
        <f aca="false">", "&amp;C179&amp;", "</f>
        <v>, dreams, transformation, intuition, </v>
      </c>
    </row>
    <row r="180" customFormat="false" ht="15" hidden="false" customHeight="true" outlineLevel="0" collapsed="false">
      <c r="A180" s="13" t="s">
        <v>255</v>
      </c>
      <c r="B180" s="13" t="s">
        <v>1230</v>
      </c>
      <c r="C180" s="14" t="s">
        <v>1824</v>
      </c>
      <c r="D180" s="15" t="s">
        <v>1336</v>
      </c>
      <c r="E180" s="15" t="s">
        <v>1341</v>
      </c>
      <c r="F180" s="14" t="s">
        <v>1825</v>
      </c>
      <c r="G180" s="13" t="n">
        <f aca="false">IF(OR(D180="—",D180="",K180=""),"",COUNTIF($J$2:$J$259,J180)-1)</f>
        <v>0</v>
      </c>
      <c r="H180" s="15"/>
      <c r="I180" s="14"/>
      <c r="J180" s="5" t="str">
        <f aca="false">K180&amp;"|"&amp;D180&amp;"|"&amp;E180</f>
        <v>dreams,intuition|Mind|Strong</v>
      </c>
      <c r="K180" s="5" t="s">
        <v>1826</v>
      </c>
      <c r="L180" s="5" t="str">
        <f aca="false">", "&amp;C180&amp;", "</f>
        <v>, intuition, dreams, </v>
      </c>
    </row>
    <row r="181" customFormat="false" ht="15" hidden="false" customHeight="true" outlineLevel="0" collapsed="false">
      <c r="A181" s="13" t="s">
        <v>93</v>
      </c>
      <c r="B181" s="13" t="s">
        <v>1230</v>
      </c>
      <c r="C181" s="14" t="s">
        <v>1827</v>
      </c>
      <c r="D181" s="15" t="s">
        <v>1345</v>
      </c>
      <c r="E181" s="15" t="s">
        <v>1341</v>
      </c>
      <c r="F181" s="14" t="s">
        <v>1828</v>
      </c>
      <c r="G181" s="13" t="n">
        <f aca="false">IF(OR(D181="—",D181="",K181=""),"",COUNTIF($J$2:$J$259,J181)-1)</f>
        <v>0</v>
      </c>
      <c r="H181" s="15"/>
      <c r="I181" s="14"/>
      <c r="J181" s="5" t="str">
        <f aca="false">K181&amp;"|"&amp;D181&amp;"|"&amp;E181</f>
        <v>beauty,confidence,protection|Body|Strong</v>
      </c>
      <c r="K181" s="5" t="s">
        <v>1829</v>
      </c>
      <c r="L181" s="5" t="str">
        <f aca="false">", "&amp;C181&amp;", "</f>
        <v>, beauty, confidence, protection, </v>
      </c>
    </row>
    <row r="182" customFormat="false" ht="15" hidden="false" customHeight="true" outlineLevel="0" collapsed="false">
      <c r="A182" s="13" t="s">
        <v>298</v>
      </c>
      <c r="B182" s="13" t="s">
        <v>1230</v>
      </c>
      <c r="C182" s="14" t="s">
        <v>1830</v>
      </c>
      <c r="D182" s="15" t="s">
        <v>1336</v>
      </c>
      <c r="E182" s="15" t="s">
        <v>1341</v>
      </c>
      <c r="F182" s="14" t="s">
        <v>1831</v>
      </c>
      <c r="G182" s="13" t="n">
        <f aca="false">IF(OR(D182="—",D182="",K182=""),"",COUNTIF($J$2:$J$259,J182)-1)</f>
        <v>0</v>
      </c>
      <c r="H182" s="15"/>
      <c r="I182" s="14"/>
      <c r="J182" s="5" t="str">
        <f aca="false">K182&amp;"|"&amp;D182&amp;"|"&amp;E182</f>
        <v>intuition,protection,transformation|Mind|Strong</v>
      </c>
      <c r="K182" s="5" t="s">
        <v>1832</v>
      </c>
      <c r="L182" s="5" t="str">
        <f aca="false">", "&amp;C182&amp;", "</f>
        <v>, intuition, transformation, protection, </v>
      </c>
    </row>
    <row r="183" customFormat="false" ht="15" hidden="false" customHeight="true" outlineLevel="0" collapsed="false">
      <c r="A183" s="13" t="s">
        <v>414</v>
      </c>
      <c r="B183" s="13" t="s">
        <v>1230</v>
      </c>
      <c r="C183" s="14" t="s">
        <v>1833</v>
      </c>
      <c r="D183" s="15" t="s">
        <v>1336</v>
      </c>
      <c r="E183" s="15" t="s">
        <v>1337</v>
      </c>
      <c r="F183" s="14" t="s">
        <v>1834</v>
      </c>
      <c r="G183" s="13" t="n">
        <f aca="false">IF(OR(D183="—",D183="",K183=""),"",COUNTIF($J$2:$J$259,J183)-1)</f>
        <v>0</v>
      </c>
      <c r="H183" s="15"/>
      <c r="I183" s="14"/>
      <c r="J183" s="5" t="str">
        <f aca="false">K183&amp;"|"&amp;D183&amp;"|"&amp;E183</f>
        <v>beauty,calm,communication|Mind|Gentle</v>
      </c>
      <c r="K183" s="5" t="s">
        <v>1835</v>
      </c>
      <c r="L183" s="5" t="str">
        <f aca="false">", "&amp;C183&amp;", "</f>
        <v>, calm, beauty, communication, </v>
      </c>
    </row>
    <row r="184" customFormat="false" ht="15" hidden="false" customHeight="true" outlineLevel="0" collapsed="false">
      <c r="A184" s="13" t="s">
        <v>274</v>
      </c>
      <c r="B184" s="13" t="s">
        <v>1230</v>
      </c>
      <c r="C184" s="14" t="s">
        <v>1836</v>
      </c>
      <c r="D184" s="15" t="s">
        <v>1352</v>
      </c>
      <c r="E184" s="15" t="s">
        <v>1337</v>
      </c>
      <c r="F184" s="14" t="s">
        <v>1837</v>
      </c>
      <c r="G184" s="13" t="n">
        <f aca="false">IF(OR(D184="—",D184="",K184=""),"",COUNTIF($J$2:$J$259,J184)-1)</f>
        <v>0</v>
      </c>
      <c r="H184" s="15"/>
      <c r="I184" s="14"/>
      <c r="J184" s="5" t="str">
        <f aca="false">K184&amp;"|"&amp;D184&amp;"|"&amp;E184</f>
        <v>intuition,protection|Space|Gentle</v>
      </c>
      <c r="K184" s="5" t="s">
        <v>1838</v>
      </c>
      <c r="L184" s="5" t="str">
        <f aca="false">", "&amp;C184&amp;", "</f>
        <v>, protection, intuition, </v>
      </c>
    </row>
    <row r="185" customFormat="false" ht="15" hidden="false" customHeight="true" outlineLevel="0" collapsed="false">
      <c r="A185" s="13" t="s">
        <v>454</v>
      </c>
      <c r="B185" s="13" t="s">
        <v>1230</v>
      </c>
      <c r="C185" s="14" t="s">
        <v>1839</v>
      </c>
      <c r="D185" s="15" t="s">
        <v>1345</v>
      </c>
      <c r="E185" s="15" t="s">
        <v>1341</v>
      </c>
      <c r="F185" s="14" t="s">
        <v>1840</v>
      </c>
      <c r="G185" s="13" t="n">
        <f aca="false">IF(OR(D185="—",D185="",K185=""),"",COUNTIF($J$2:$J$259,J185)-1)</f>
        <v>0</v>
      </c>
      <c r="H185" s="15"/>
      <c r="I185" s="14"/>
      <c r="J185" s="5" t="str">
        <f aca="false">K185&amp;"|"&amp;D185&amp;"|"&amp;E185</f>
        <v>release,transformation|Body|Strong</v>
      </c>
      <c r="K185" s="5" t="s">
        <v>1841</v>
      </c>
      <c r="L185" s="5" t="str">
        <f aca="false">", "&amp;C185&amp;", "</f>
        <v>, transformation, release, </v>
      </c>
    </row>
    <row r="186" customFormat="false" ht="15" hidden="false" customHeight="true" outlineLevel="0" collapsed="false">
      <c r="A186" s="13" t="s">
        <v>236</v>
      </c>
      <c r="B186" s="13" t="s">
        <v>1230</v>
      </c>
      <c r="C186" s="14" t="s">
        <v>1842</v>
      </c>
      <c r="D186" s="15" t="s">
        <v>1352</v>
      </c>
      <c r="E186" s="15" t="s">
        <v>1337</v>
      </c>
      <c r="F186" s="14" t="s">
        <v>1843</v>
      </c>
      <c r="G186" s="13" t="n">
        <f aca="false">IF(OR(D186="—",D186="",K186=""),"",COUNTIF($J$2:$J$259,J186)-1)</f>
        <v>0</v>
      </c>
      <c r="H186" s="15"/>
      <c r="I186" s="14"/>
      <c r="J186" s="5" t="str">
        <f aca="false">K186&amp;"|"&amp;D186&amp;"|"&amp;E186</f>
        <v>patience,protection,travel|Space|Gentle</v>
      </c>
      <c r="K186" s="5" t="s">
        <v>1844</v>
      </c>
      <c r="L186" s="5" t="str">
        <f aca="false">", "&amp;C186&amp;", "</f>
        <v>, patience, protection, travel, </v>
      </c>
    </row>
    <row r="187" customFormat="false" ht="15" hidden="false" customHeight="true" outlineLevel="0" collapsed="false">
      <c r="A187" s="13" t="s">
        <v>151</v>
      </c>
      <c r="B187" s="13" t="s">
        <v>1230</v>
      </c>
      <c r="C187" s="14" t="s">
        <v>1845</v>
      </c>
      <c r="D187" s="15" t="s">
        <v>1345</v>
      </c>
      <c r="E187" s="15" t="s">
        <v>1337</v>
      </c>
      <c r="F187" s="14" t="s">
        <v>1846</v>
      </c>
      <c r="G187" s="13" t="n">
        <f aca="false">IF(OR(D187="—",D187="",K187=""),"",COUNTIF($J$2:$J$259,J187)-1)</f>
        <v>0</v>
      </c>
      <c r="H187" s="15"/>
      <c r="I187" s="14"/>
      <c r="J187" s="5" t="str">
        <f aca="false">K187&amp;"|"&amp;D187&amp;"|"&amp;E187</f>
        <v>beauty,love|Body|Gentle</v>
      </c>
      <c r="K187" s="5" t="s">
        <v>1847</v>
      </c>
      <c r="L187" s="5" t="str">
        <f aca="false">", "&amp;C187&amp;", "</f>
        <v>, beauty, love, </v>
      </c>
    </row>
    <row r="188" customFormat="false" ht="15" hidden="false" customHeight="true" outlineLevel="0" collapsed="false">
      <c r="A188" s="13" t="s">
        <v>432</v>
      </c>
      <c r="B188" s="13" t="s">
        <v>1230</v>
      </c>
      <c r="C188" s="14" t="s">
        <v>1848</v>
      </c>
      <c r="D188" s="15" t="s">
        <v>1336</v>
      </c>
      <c r="E188" s="15" t="s">
        <v>1337</v>
      </c>
      <c r="F188" s="14" t="s">
        <v>1849</v>
      </c>
      <c r="G188" s="13" t="n">
        <f aca="false">IF(OR(D188="—",D188="",K188=""),"",COUNTIF($J$2:$J$259,J188)-1)</f>
        <v>0</v>
      </c>
      <c r="H188" s="15"/>
      <c r="I188" s="14"/>
      <c r="J188" s="5" t="str">
        <f aca="false">K188&amp;"|"&amp;D188&amp;"|"&amp;E188</f>
        <v>calm,wonder|Mind|Gentle</v>
      </c>
      <c r="K188" s="5" t="s">
        <v>1850</v>
      </c>
      <c r="L188" s="5" t="str">
        <f aca="false">", "&amp;C188&amp;", "</f>
        <v>, wonder, calm, </v>
      </c>
    </row>
    <row r="189" customFormat="false" ht="15" hidden="false" customHeight="true" outlineLevel="0" collapsed="false">
      <c r="A189" s="13" t="s">
        <v>390</v>
      </c>
      <c r="B189" s="13" t="s">
        <v>1230</v>
      </c>
      <c r="C189" s="14" t="s">
        <v>1851</v>
      </c>
      <c r="D189" s="15" t="s">
        <v>1336</v>
      </c>
      <c r="E189" s="15" t="s">
        <v>1337</v>
      </c>
      <c r="F189" s="14" t="s">
        <v>1852</v>
      </c>
      <c r="G189" s="13" t="n">
        <f aca="false">IF(OR(D189="—",D189="",K189=""),"",COUNTIF($J$2:$J$259,J189)-1)</f>
        <v>0</v>
      </c>
      <c r="H189" s="15"/>
      <c r="I189" s="14"/>
      <c r="J189" s="5" t="str">
        <f aca="false">K189&amp;"|"&amp;D189&amp;"|"&amp;E189</f>
        <v>abundance,comfort,home|Mind|Gentle</v>
      </c>
      <c r="K189" s="5" t="s">
        <v>1633</v>
      </c>
      <c r="L189" s="5" t="str">
        <f aca="false">", "&amp;C189&amp;", "</f>
        <v>, home, abundance, comfort, </v>
      </c>
    </row>
    <row r="190" customFormat="false" ht="15" hidden="false" customHeight="true" outlineLevel="0" collapsed="false">
      <c r="A190" s="13" t="s">
        <v>276</v>
      </c>
      <c r="B190" s="13" t="s">
        <v>1248</v>
      </c>
      <c r="C190" s="14" t="s">
        <v>1853</v>
      </c>
      <c r="D190" s="15" t="s">
        <v>1352</v>
      </c>
      <c r="E190" s="15" t="s">
        <v>1341</v>
      </c>
      <c r="F190" s="14" t="s">
        <v>1854</v>
      </c>
      <c r="G190" s="13" t="n">
        <f aca="false">IF(OR(D190="—",D190="",K190=""),"",COUNTIF($J$2:$J$259,J190)-1)</f>
        <v>0</v>
      </c>
      <c r="H190" s="15"/>
      <c r="I190" s="14"/>
      <c r="J190" s="5" t="str">
        <f aca="false">K190&amp;"|"&amp;D190&amp;"|"&amp;E190</f>
        <v>focus,protection,success|Space|Strong</v>
      </c>
      <c r="K190" s="5" t="s">
        <v>1855</v>
      </c>
      <c r="L190" s="5" t="str">
        <f aca="false">", "&amp;C190&amp;", "</f>
        <v>, focus, success, protection, </v>
      </c>
    </row>
    <row r="191" customFormat="false" ht="15" hidden="false" customHeight="true" outlineLevel="0" collapsed="false">
      <c r="A191" s="13" t="s">
        <v>506</v>
      </c>
      <c r="B191" s="13" t="s">
        <v>1248</v>
      </c>
      <c r="C191" s="14" t="s">
        <v>1856</v>
      </c>
      <c r="D191" s="15" t="s">
        <v>1336</v>
      </c>
      <c r="E191" s="15" t="s">
        <v>1337</v>
      </c>
      <c r="F191" s="14" t="s">
        <v>1857</v>
      </c>
      <c r="G191" s="13" t="n">
        <f aca="false">IF(OR(D191="—",D191="",K191=""),"",COUNTIF($J$2:$J$259,J191)-1)</f>
        <v>0</v>
      </c>
      <c r="H191" s="15"/>
      <c r="I191" s="14"/>
      <c r="J191" s="5" t="str">
        <f aca="false">K191&amp;"|"&amp;D191&amp;"|"&amp;E191</f>
        <v>creativity,joy,play|Mind|Gentle</v>
      </c>
      <c r="K191" s="5" t="s">
        <v>1858</v>
      </c>
      <c r="L191" s="5" t="str">
        <f aca="false">", "&amp;C191&amp;", "</f>
        <v>, play, joy, creativity, </v>
      </c>
    </row>
    <row r="192" customFormat="false" ht="15" hidden="false" customHeight="true" outlineLevel="0" collapsed="false">
      <c r="A192" s="13" t="s">
        <v>343</v>
      </c>
      <c r="B192" s="13" t="s">
        <v>1248</v>
      </c>
      <c r="C192" s="14" t="s">
        <v>1859</v>
      </c>
      <c r="D192" s="15" t="s">
        <v>1352</v>
      </c>
      <c r="E192" s="15" t="s">
        <v>1337</v>
      </c>
      <c r="F192" s="14" t="s">
        <v>1860</v>
      </c>
      <c r="G192" s="13" t="n">
        <f aca="false">IF(OR(D192="—",D192="",K192=""),"",COUNTIF($J$2:$J$259,J192)-1)</f>
        <v>0</v>
      </c>
      <c r="H192" s="15"/>
      <c r="I192" s="14"/>
      <c r="J192" s="5" t="str">
        <f aca="false">K192&amp;"|"&amp;D192&amp;"|"&amp;E192</f>
        <v>abundance,opportunity,success|Space|Gentle</v>
      </c>
      <c r="K192" s="5" t="s">
        <v>1861</v>
      </c>
      <c r="L192" s="5" t="str">
        <f aca="false">", "&amp;C192&amp;", "</f>
        <v>, success, abundance, opportunity, </v>
      </c>
    </row>
    <row r="193" customFormat="false" ht="15" hidden="false" customHeight="true" outlineLevel="0" collapsed="false">
      <c r="A193" s="13" t="s">
        <v>46</v>
      </c>
      <c r="B193" s="13" t="s">
        <v>1248</v>
      </c>
      <c r="C193" s="14" t="s">
        <v>1862</v>
      </c>
      <c r="D193" s="15" t="s">
        <v>1336</v>
      </c>
      <c r="E193" s="15" t="s">
        <v>1337</v>
      </c>
      <c r="F193" s="14" t="s">
        <v>1863</v>
      </c>
      <c r="G193" s="13" t="n">
        <f aca="false">IF(OR(D193="—",D193="",K193=""),"",COUNTIF($J$2:$J$259,J193)-1)</f>
        <v>0</v>
      </c>
      <c r="H193" s="15"/>
      <c r="I193" s="14"/>
      <c r="J193" s="5" t="str">
        <f aca="false">K193&amp;"|"&amp;D193&amp;"|"&amp;E193</f>
        <v>love,self-love|Mind|Gentle</v>
      </c>
      <c r="K193" s="5" t="s">
        <v>1659</v>
      </c>
      <c r="L193" s="5" t="str">
        <f aca="false">", "&amp;C193&amp;", "</f>
        <v>, love, self-love, </v>
      </c>
    </row>
    <row r="194" customFormat="false" ht="15" hidden="false" customHeight="true" outlineLevel="0" collapsed="false">
      <c r="A194" s="13" t="s">
        <v>434</v>
      </c>
      <c r="B194" s="13" t="s">
        <v>1248</v>
      </c>
      <c r="C194" s="14" t="s">
        <v>1864</v>
      </c>
      <c r="D194" s="15" t="s">
        <v>1336</v>
      </c>
      <c r="E194" s="15" t="s">
        <v>1337</v>
      </c>
      <c r="F194" s="14" t="s">
        <v>1865</v>
      </c>
      <c r="G194" s="13" t="n">
        <f aca="false">IF(OR(D194="—",D194="",K194=""),"",COUNTIF($J$2:$J$259,J194)-1)</f>
        <v>0</v>
      </c>
      <c r="H194" s="15"/>
      <c r="I194" s="14"/>
      <c r="J194" s="5" t="str">
        <f aca="false">K194&amp;"|"&amp;D194&amp;"|"&amp;E194</f>
        <v>creativity,self-love|Mind|Gentle</v>
      </c>
      <c r="K194" s="5" t="s">
        <v>1866</v>
      </c>
      <c r="L194" s="5" t="str">
        <f aca="false">", "&amp;C194&amp;", "</f>
        <v>, creativity, self-love, </v>
      </c>
    </row>
    <row r="195" customFormat="false" ht="15" hidden="false" customHeight="true" outlineLevel="0" collapsed="false">
      <c r="A195" s="13" t="s">
        <v>489</v>
      </c>
      <c r="B195" s="13" t="s">
        <v>1248</v>
      </c>
      <c r="C195" s="14" t="s">
        <v>1496</v>
      </c>
      <c r="D195" s="15" t="s">
        <v>1336</v>
      </c>
      <c r="E195" s="15" t="s">
        <v>1337</v>
      </c>
      <c r="F195" s="14" t="s">
        <v>1867</v>
      </c>
      <c r="G195" s="13" t="n">
        <f aca="false">IF(OR(D195="—",D195="",K195=""),"",COUNTIF($J$2:$J$259,J195)-1)</f>
        <v>0</v>
      </c>
      <c r="H195" s="15"/>
      <c r="I195" s="14"/>
      <c r="J195" s="5" t="str">
        <f aca="false">K195&amp;"|"&amp;D195&amp;"|"&amp;E195</f>
        <v>friendship|Mind|Gentle</v>
      </c>
      <c r="K195" s="5" t="s">
        <v>1496</v>
      </c>
      <c r="L195" s="5" t="str">
        <f aca="false">", "&amp;C195&amp;", "</f>
        <v>, friendship, </v>
      </c>
    </row>
    <row r="196" customFormat="false" ht="15" hidden="false" customHeight="true" outlineLevel="0" collapsed="false">
      <c r="A196" s="13" t="s">
        <v>822</v>
      </c>
      <c r="B196" s="13" t="s">
        <v>1248</v>
      </c>
      <c r="C196" s="14" t="s">
        <v>1868</v>
      </c>
      <c r="D196" s="15" t="s">
        <v>1336</v>
      </c>
      <c r="E196" s="15" t="s">
        <v>1337</v>
      </c>
      <c r="F196" s="14" t="s">
        <v>1869</v>
      </c>
      <c r="G196" s="13" t="n">
        <f aca="false">IF(OR(D196="—",D196="",K196=""),"",COUNTIF($J$2:$J$259,J196)-1)</f>
        <v>0</v>
      </c>
      <c r="H196" s="15"/>
      <c r="I196" s="14"/>
      <c r="J196" s="5" t="str">
        <f aca="false">K196&amp;"|"&amp;D196&amp;"|"&amp;E196</f>
        <v>luck,play|Mind|Gentle</v>
      </c>
      <c r="K196" s="5" t="s">
        <v>1870</v>
      </c>
      <c r="L196" s="5" t="str">
        <f aca="false">", "&amp;C196&amp;", "</f>
        <v>, play, luck, </v>
      </c>
    </row>
    <row r="197" customFormat="false" ht="15" hidden="false" customHeight="true" outlineLevel="0" collapsed="false">
      <c r="A197" s="13" t="s">
        <v>102</v>
      </c>
      <c r="B197" s="13" t="s">
        <v>1248</v>
      </c>
      <c r="C197" s="14" t="s">
        <v>1871</v>
      </c>
      <c r="D197" s="15" t="s">
        <v>1336</v>
      </c>
      <c r="E197" s="15" t="s">
        <v>1337</v>
      </c>
      <c r="F197" s="14" t="s">
        <v>1872</v>
      </c>
      <c r="G197" s="13" t="n">
        <f aca="false">IF(OR(D197="—",D197="",K197=""),"",COUNTIF($J$2:$J$259,J197)-1)</f>
        <v>0</v>
      </c>
      <c r="H197" s="15"/>
      <c r="I197" s="14"/>
      <c r="J197" s="5" t="str">
        <f aca="false">K197&amp;"|"&amp;D197&amp;"|"&amp;E197</f>
        <v>joy,luck,wonder|Mind|Gentle</v>
      </c>
      <c r="K197" s="5" t="s">
        <v>1873</v>
      </c>
      <c r="L197" s="5" t="str">
        <f aca="false">", "&amp;C197&amp;", "</f>
        <v>, wonder, luck, joy, </v>
      </c>
    </row>
    <row r="198" customFormat="false" ht="15" hidden="false" customHeight="true" outlineLevel="0" collapsed="false">
      <c r="A198" s="13" t="s">
        <v>445</v>
      </c>
      <c r="B198" s="13" t="s">
        <v>1248</v>
      </c>
      <c r="C198" s="14" t="s">
        <v>1874</v>
      </c>
      <c r="D198" s="15" t="s">
        <v>1336</v>
      </c>
      <c r="E198" s="15" t="s">
        <v>1337</v>
      </c>
      <c r="F198" s="14" t="s">
        <v>1875</v>
      </c>
      <c r="G198" s="13" t="n">
        <f aca="false">IF(OR(D198="—",D198="",K198=""),"",COUNTIF($J$2:$J$259,J198)-1)</f>
        <v>0</v>
      </c>
      <c r="H198" s="15"/>
      <c r="I198" s="14"/>
      <c r="J198" s="5" t="str">
        <f aca="false">K198&amp;"|"&amp;D198&amp;"|"&amp;E198</f>
        <v>beauty,creativity|Mind|Gentle</v>
      </c>
      <c r="K198" s="5" t="s">
        <v>1876</v>
      </c>
      <c r="L198" s="5" t="str">
        <f aca="false">", "&amp;C198&amp;", "</f>
        <v>, beauty, creativity, </v>
      </c>
    </row>
    <row r="199" customFormat="false" ht="23.25" hidden="false" customHeight="true" outlineLevel="0" collapsed="false">
      <c r="A199" s="13" t="s">
        <v>111</v>
      </c>
      <c r="B199" s="13" t="s">
        <v>1259</v>
      </c>
      <c r="C199" s="14" t="s">
        <v>1877</v>
      </c>
      <c r="D199" s="15" t="s">
        <v>1352</v>
      </c>
      <c r="E199" s="15" t="s">
        <v>1341</v>
      </c>
      <c r="F199" s="14" t="s">
        <v>1878</v>
      </c>
      <c r="G199" s="13" t="n">
        <f aca="false">IF(OR(D199="—",D199="",K199=""),"",COUNTIF($J$2:$J$259,J199)-1)</f>
        <v>1</v>
      </c>
      <c r="H199" s="15"/>
      <c r="I199" s="14" t="s">
        <v>1879</v>
      </c>
      <c r="J199" s="5" t="str">
        <f aca="false">K199&amp;"|"&amp;D199&amp;"|"&amp;E199</f>
        <v>banishing,endings,protection|Space|Strong</v>
      </c>
      <c r="K199" s="5" t="s">
        <v>1880</v>
      </c>
      <c r="L199" s="5" t="str">
        <f aca="false">", "&amp;C199&amp;", "</f>
        <v>, banishing, protection, endings, </v>
      </c>
    </row>
    <row r="200" customFormat="false" ht="15" hidden="false" customHeight="true" outlineLevel="0" collapsed="false">
      <c r="A200" s="13" t="s">
        <v>225</v>
      </c>
      <c r="B200" s="13" t="s">
        <v>1259</v>
      </c>
      <c r="C200" s="14" t="s">
        <v>1881</v>
      </c>
      <c r="D200" s="15" t="s">
        <v>1336</v>
      </c>
      <c r="E200" s="15" t="s">
        <v>1337</v>
      </c>
      <c r="F200" s="14" t="s">
        <v>1882</v>
      </c>
      <c r="G200" s="13" t="n">
        <f aca="false">IF(OR(D200="—",D200="",K200=""),"",COUNTIF($J$2:$J$259,J200)-1)</f>
        <v>0</v>
      </c>
      <c r="H200" s="15"/>
      <c r="I200" s="14"/>
      <c r="J200" s="5" t="str">
        <f aca="false">K200&amp;"|"&amp;D200&amp;"|"&amp;E200</f>
        <v>calm,memory,truth|Mind|Gentle</v>
      </c>
      <c r="K200" s="5" t="s">
        <v>1883</v>
      </c>
      <c r="L200" s="5" t="str">
        <f aca="false">", "&amp;C200&amp;", "</f>
        <v>, truth, memory, calm, </v>
      </c>
    </row>
    <row r="201" customFormat="false" ht="23.25" hidden="false" customHeight="true" outlineLevel="0" collapsed="false">
      <c r="A201" s="13" t="s">
        <v>333</v>
      </c>
      <c r="B201" s="13" t="s">
        <v>1259</v>
      </c>
      <c r="C201" s="14" t="s">
        <v>1884</v>
      </c>
      <c r="D201" s="15" t="s">
        <v>1352</v>
      </c>
      <c r="E201" s="15" t="s">
        <v>1341</v>
      </c>
      <c r="F201" s="14" t="s">
        <v>1885</v>
      </c>
      <c r="G201" s="13" t="n">
        <f aca="false">IF(OR(D201="—",D201="",K201=""),"",COUNTIF($J$2:$J$259,J201)-1)</f>
        <v>2</v>
      </c>
      <c r="H201" s="15"/>
      <c r="I201" s="14" t="s">
        <v>1886</v>
      </c>
      <c r="J201" s="5" t="str">
        <f aca="false">K201&amp;"|"&amp;D201&amp;"|"&amp;E201</f>
        <v>abundance,confidence,luck,success|Space|Strong</v>
      </c>
      <c r="K201" s="5" t="s">
        <v>1887</v>
      </c>
      <c r="L201" s="5" t="str">
        <f aca="false">", "&amp;C201&amp;", "</f>
        <v>, success, abundance, confidence, luck, </v>
      </c>
    </row>
    <row r="202" customFormat="false" ht="15" hidden="false" customHeight="true" outlineLevel="0" collapsed="false">
      <c r="A202" s="13" t="s">
        <v>370</v>
      </c>
      <c r="B202" s="13" t="s">
        <v>1259</v>
      </c>
      <c r="C202" s="14" t="s">
        <v>1888</v>
      </c>
      <c r="D202" s="15" t="s">
        <v>1352</v>
      </c>
      <c r="E202" s="15" t="s">
        <v>1337</v>
      </c>
      <c r="F202" s="14" t="s">
        <v>1889</v>
      </c>
      <c r="G202" s="13" t="n">
        <f aca="false">IF(OR(D202="—",D202="",K202=""),"",COUNTIF($J$2:$J$259,J202)-1)</f>
        <v>0</v>
      </c>
      <c r="H202" s="15"/>
      <c r="I202" s="14"/>
      <c r="J202" s="5" t="str">
        <f aca="false">K202&amp;"|"&amp;D202&amp;"|"&amp;E202</f>
        <v>abundance,growth,luck|Space|Gentle</v>
      </c>
      <c r="K202" s="5" t="s">
        <v>1890</v>
      </c>
      <c r="L202" s="5" t="str">
        <f aca="false">", "&amp;C202&amp;", "</f>
        <v>, luck, abundance, growth, </v>
      </c>
    </row>
    <row r="203" customFormat="false" ht="15" hidden="false" customHeight="true" outlineLevel="0" collapsed="false">
      <c r="A203" s="13" t="s">
        <v>112</v>
      </c>
      <c r="B203" s="13" t="s">
        <v>1259</v>
      </c>
      <c r="C203" s="14" t="s">
        <v>1891</v>
      </c>
      <c r="D203" s="15" t="s">
        <v>1336</v>
      </c>
      <c r="E203" s="15" t="s">
        <v>1337</v>
      </c>
      <c r="F203" s="14" t="s">
        <v>1892</v>
      </c>
      <c r="G203" s="13" t="n">
        <f aca="false">IF(OR(D203="—",D203="",K203=""),"",COUNTIF($J$2:$J$259,J203)-1)</f>
        <v>0</v>
      </c>
      <c r="H203" s="15"/>
      <c r="I203" s="14"/>
      <c r="J203" s="5" t="str">
        <f aca="false">K203&amp;"|"&amp;D203&amp;"|"&amp;E203</f>
        <v>balance,endings,release|Mind|Gentle</v>
      </c>
      <c r="K203" s="5" t="s">
        <v>1893</v>
      </c>
      <c r="L203" s="5" t="str">
        <f aca="false">", "&amp;C203&amp;", "</f>
        <v>, balance, release, endings, </v>
      </c>
    </row>
    <row r="204" customFormat="false" ht="15" hidden="false" customHeight="true" outlineLevel="0" collapsed="false">
      <c r="A204" s="13" t="s">
        <v>508</v>
      </c>
      <c r="B204" s="13" t="s">
        <v>1259</v>
      </c>
      <c r="C204" s="14" t="s">
        <v>1894</v>
      </c>
      <c r="D204" s="15" t="s">
        <v>1336</v>
      </c>
      <c r="E204" s="15" t="s">
        <v>1341</v>
      </c>
      <c r="F204" s="14" t="s">
        <v>1895</v>
      </c>
      <c r="G204" s="13" t="n">
        <f aca="false">IF(OR(D204="—",D204="",K204=""),"",COUNTIF($J$2:$J$259,J204)-1)</f>
        <v>0</v>
      </c>
      <c r="H204" s="15"/>
      <c r="I204" s="14"/>
      <c r="J204" s="5" t="str">
        <f aca="false">K204&amp;"|"&amp;D204&amp;"|"&amp;E204</f>
        <v>creativity,energy,joy|Mind|Strong</v>
      </c>
      <c r="K204" s="5" t="s">
        <v>1896</v>
      </c>
      <c r="L204" s="5" t="str">
        <f aca="false">", "&amp;C204&amp;", "</f>
        <v>, creativity, energy, joy, </v>
      </c>
    </row>
    <row r="205" customFormat="false" ht="15" hidden="false" customHeight="true" outlineLevel="0" collapsed="false">
      <c r="A205" s="13" t="s">
        <v>61</v>
      </c>
      <c r="B205" s="13" t="s">
        <v>1259</v>
      </c>
      <c r="C205" s="14" t="s">
        <v>1897</v>
      </c>
      <c r="D205" s="15" t="s">
        <v>1336</v>
      </c>
      <c r="E205" s="15" t="s">
        <v>1337</v>
      </c>
      <c r="F205" s="14" t="s">
        <v>1898</v>
      </c>
      <c r="G205" s="13" t="n">
        <f aca="false">IF(OR(D205="—",D205="",K205=""),"",COUNTIF($J$2:$J$259,J205)-1)</f>
        <v>0</v>
      </c>
      <c r="H205" s="15"/>
      <c r="I205" s="14"/>
      <c r="J205" s="5" t="str">
        <f aca="false">K205&amp;"|"&amp;D205&amp;"|"&amp;E205</f>
        <v>friendship,love,self-love|Mind|Gentle</v>
      </c>
      <c r="K205" s="5" t="s">
        <v>1899</v>
      </c>
      <c r="L205" s="5" t="str">
        <f aca="false">", "&amp;C205&amp;", "</f>
        <v>, self-love, love, friendship, </v>
      </c>
    </row>
    <row r="206" customFormat="false" ht="23.25" hidden="false" customHeight="true" outlineLevel="0" collapsed="false">
      <c r="A206" s="13" t="s">
        <v>561</v>
      </c>
      <c r="B206" s="13" t="s">
        <v>1259</v>
      </c>
      <c r="C206" s="14" t="s">
        <v>1900</v>
      </c>
      <c r="D206" s="15" t="s">
        <v>1336</v>
      </c>
      <c r="E206" s="15" t="s">
        <v>1341</v>
      </c>
      <c r="F206" s="14" t="s">
        <v>1901</v>
      </c>
      <c r="G206" s="13" t="n">
        <f aca="false">IF(OR(D206="—",D206="",K206=""),"",COUNTIF($J$2:$J$259,J206)-1)</f>
        <v>1</v>
      </c>
      <c r="H206" s="15"/>
      <c r="I206" s="14" t="s">
        <v>1902</v>
      </c>
      <c r="J206" s="5" t="str">
        <f aca="false">K206&amp;"|"&amp;D206&amp;"|"&amp;E206</f>
        <v>intuition,transformation,wonder|Mind|Strong</v>
      </c>
      <c r="K206" s="5" t="s">
        <v>1903</v>
      </c>
      <c r="L206" s="5" t="str">
        <f aca="false">", "&amp;C206&amp;", "</f>
        <v>, intuition, transformation, wonder, </v>
      </c>
    </row>
    <row r="207" customFormat="false" ht="15" hidden="false" customHeight="true" outlineLevel="0" collapsed="false">
      <c r="A207" s="13" t="s">
        <v>485</v>
      </c>
      <c r="B207" s="13" t="s">
        <v>1259</v>
      </c>
      <c r="C207" s="14" t="s">
        <v>1904</v>
      </c>
      <c r="D207" s="15" t="s">
        <v>1352</v>
      </c>
      <c r="E207" s="15" t="s">
        <v>1337</v>
      </c>
      <c r="F207" s="14" t="s">
        <v>1905</v>
      </c>
      <c r="G207" s="13" t="n">
        <f aca="false">IF(OR(D207="—",D207="",K207=""),"",COUNTIF($J$2:$J$259,J207)-1)</f>
        <v>0</v>
      </c>
      <c r="H207" s="15"/>
      <c r="I207" s="14"/>
      <c r="J207" s="5" t="str">
        <f aca="false">K207&amp;"|"&amp;D207&amp;"|"&amp;E207</f>
        <v>creativity,friendship,play|Space|Gentle</v>
      </c>
      <c r="K207" s="5" t="s">
        <v>1906</v>
      </c>
      <c r="L207" s="5" t="str">
        <f aca="false">", "&amp;C207&amp;", "</f>
        <v>, play, creativity, friendship, </v>
      </c>
    </row>
    <row r="208" customFormat="false" ht="23.25" hidden="false" customHeight="true" outlineLevel="0" collapsed="false">
      <c r="A208" s="13" t="s">
        <v>42</v>
      </c>
      <c r="B208" s="13" t="s">
        <v>1259</v>
      </c>
      <c r="C208" s="14" t="s">
        <v>1907</v>
      </c>
      <c r="D208" s="15" t="s">
        <v>1345</v>
      </c>
      <c r="E208" s="15" t="s">
        <v>1341</v>
      </c>
      <c r="F208" s="14" t="s">
        <v>1908</v>
      </c>
      <c r="G208" s="13" t="n">
        <f aca="false">IF(OR(D208="—",D208="",K208=""),"",COUNTIF($J$2:$J$259,J208)-1)</f>
        <v>2</v>
      </c>
      <c r="H208" s="15"/>
      <c r="I208" s="14" t="s">
        <v>1909</v>
      </c>
      <c r="J208" s="5" t="str">
        <f aca="false">K208&amp;"|"&amp;D208&amp;"|"&amp;E208</f>
        <v>courage,energy,love,passion|Body|Strong</v>
      </c>
      <c r="K208" s="5" t="s">
        <v>1910</v>
      </c>
      <c r="L208" s="5" t="str">
        <f aca="false">", "&amp;C208&amp;", "</f>
        <v>, passion, courage, energy, love, </v>
      </c>
    </row>
    <row r="209" customFormat="false" ht="23.25" hidden="false" customHeight="true" outlineLevel="0" collapsed="false">
      <c r="A209" s="13" t="s">
        <v>187</v>
      </c>
      <c r="B209" s="13" t="s">
        <v>1259</v>
      </c>
      <c r="C209" s="14" t="s">
        <v>1911</v>
      </c>
      <c r="D209" s="15" t="s">
        <v>1336</v>
      </c>
      <c r="E209" s="15" t="s">
        <v>1337</v>
      </c>
      <c r="F209" s="14" t="s">
        <v>1912</v>
      </c>
      <c r="G209" s="13" t="n">
        <f aca="false">IF(OR(D209="—",D209="",K209=""),"",COUNTIF($J$2:$J$259,J209)-1)</f>
        <v>1</v>
      </c>
      <c r="H209" s="15"/>
      <c r="I209" s="14" t="s">
        <v>1913</v>
      </c>
      <c r="J209" s="5" t="str">
        <f aca="false">K209&amp;"|"&amp;D209&amp;"|"&amp;E209</f>
        <v>calm,connection,dreams,intuition|Mind|Gentle</v>
      </c>
      <c r="K209" s="5" t="s">
        <v>1914</v>
      </c>
      <c r="L209" s="5" t="str">
        <f aca="false">", "&amp;C209&amp;", "</f>
        <v>, intuition, dreams, connection, calm, </v>
      </c>
    </row>
    <row r="210" customFormat="false" ht="23.25" hidden="false" customHeight="true" outlineLevel="0" collapsed="false">
      <c r="A210" s="13" t="s">
        <v>257</v>
      </c>
      <c r="B210" s="13" t="s">
        <v>1259</v>
      </c>
      <c r="C210" s="14" t="s">
        <v>1915</v>
      </c>
      <c r="D210" s="15" t="s">
        <v>1352</v>
      </c>
      <c r="E210" s="15" t="s">
        <v>1337</v>
      </c>
      <c r="F210" s="14" t="s">
        <v>1916</v>
      </c>
      <c r="G210" s="13" t="n">
        <f aca="false">IF(OR(D210="—",D210="",K210=""),"",COUNTIF($J$2:$J$259,J210)-1)</f>
        <v>0</v>
      </c>
      <c r="H210" s="15"/>
      <c r="I210" s="14"/>
      <c r="J210" s="5" t="str">
        <f aca="false">K210&amp;"|"&amp;D210&amp;"|"&amp;E210</f>
        <v>beginnings,calm,cleansing,protection|Space|Gentle</v>
      </c>
      <c r="K210" s="5" t="s">
        <v>1917</v>
      </c>
      <c r="L210" s="5" t="str">
        <f aca="false">", "&amp;C210&amp;", "</f>
        <v>, cleansing, protection, calm, beginnings, </v>
      </c>
    </row>
    <row r="211" customFormat="false" ht="15" hidden="false" customHeight="true" outlineLevel="0" collapsed="false">
      <c r="A211" s="13" t="s">
        <v>503</v>
      </c>
      <c r="B211" s="13" t="s">
        <v>1259</v>
      </c>
      <c r="C211" s="14" t="s">
        <v>1918</v>
      </c>
      <c r="D211" s="15" t="s">
        <v>1336</v>
      </c>
      <c r="E211" s="15" t="s">
        <v>1337</v>
      </c>
      <c r="F211" s="14" t="s">
        <v>1919</v>
      </c>
      <c r="G211" s="13" t="n">
        <f aca="false">IF(OR(D211="—",D211="",K211=""),"",COUNTIF($J$2:$J$259,J211)-1)</f>
        <v>0</v>
      </c>
      <c r="H211" s="15"/>
      <c r="I211" s="14"/>
      <c r="J211" s="5" t="str">
        <f aca="false">K211&amp;"|"&amp;D211&amp;"|"&amp;E211</f>
        <v>communication,focus,joy|Mind|Gentle</v>
      </c>
      <c r="K211" s="5" t="s">
        <v>1920</v>
      </c>
      <c r="L211" s="5" t="str">
        <f aca="false">", "&amp;C211&amp;", "</f>
        <v>, joy, communication, focus, </v>
      </c>
    </row>
    <row r="212" customFormat="false" ht="15" hidden="false" customHeight="true" outlineLevel="0" collapsed="false">
      <c r="A212" s="13" t="s">
        <v>475</v>
      </c>
      <c r="B212" s="13" t="s">
        <v>1259</v>
      </c>
      <c r="C212" s="14" t="s">
        <v>1921</v>
      </c>
      <c r="D212" s="15" t="s">
        <v>1345</v>
      </c>
      <c r="E212" s="15" t="s">
        <v>1337</v>
      </c>
      <c r="F212" s="14" t="s">
        <v>1922</v>
      </c>
      <c r="G212" s="13" t="n">
        <f aca="false">IF(OR(D212="—",D212="",K212=""),"",COUNTIF($J$2:$J$259,J212)-1)</f>
        <v>0</v>
      </c>
      <c r="H212" s="15"/>
      <c r="I212" s="14"/>
      <c r="J212" s="5" t="str">
        <f aca="false">K212&amp;"|"&amp;D212&amp;"|"&amp;E212</f>
        <v>attraction,beauty,joy|Body|Gentle</v>
      </c>
      <c r="K212" s="5" t="s">
        <v>1923</v>
      </c>
      <c r="L212" s="5" t="str">
        <f aca="false">", "&amp;C212&amp;", "</f>
        <v>, beauty, joy, attraction, </v>
      </c>
    </row>
    <row r="213" customFormat="false" ht="15" hidden="false" customHeight="true" outlineLevel="0" collapsed="false">
      <c r="A213" s="13" t="s">
        <v>40</v>
      </c>
      <c r="B213" s="13" t="s">
        <v>1259</v>
      </c>
      <c r="C213" s="14" t="s">
        <v>1924</v>
      </c>
      <c r="D213" s="15" t="s">
        <v>1336</v>
      </c>
      <c r="E213" s="15" t="s">
        <v>1341</v>
      </c>
      <c r="F213" s="14" t="s">
        <v>1925</v>
      </c>
      <c r="G213" s="13" t="n">
        <f aca="false">IF(OR(D213="—",D213="",K213=""),"",COUNTIF($J$2:$J$259,J213)-1)</f>
        <v>0</v>
      </c>
      <c r="H213" s="15"/>
      <c r="I213" s="14"/>
      <c r="J213" s="5" t="str">
        <f aca="false">K213&amp;"|"&amp;D213&amp;"|"&amp;E213</f>
        <v>attraction,love|Mind|Strong</v>
      </c>
      <c r="K213" s="5" t="s">
        <v>1926</v>
      </c>
      <c r="L213" s="5" t="str">
        <f aca="false">", "&amp;C213&amp;", "</f>
        <v>, love, attraction, </v>
      </c>
    </row>
    <row r="214" customFormat="false" ht="15" hidden="false" customHeight="true" outlineLevel="0" collapsed="false">
      <c r="A214" s="13" t="s">
        <v>449</v>
      </c>
      <c r="B214" s="13" t="s">
        <v>1259</v>
      </c>
      <c r="C214" s="14" t="s">
        <v>1927</v>
      </c>
      <c r="D214" s="15" t="s">
        <v>1352</v>
      </c>
      <c r="E214" s="15" t="s">
        <v>1337</v>
      </c>
      <c r="F214" s="14" t="s">
        <v>1928</v>
      </c>
      <c r="G214" s="13" t="n">
        <f aca="false">IF(OR(D214="—",D214="",K214=""),"",COUNTIF($J$2:$J$259,J214)-1)</f>
        <v>0</v>
      </c>
      <c r="H214" s="15"/>
      <c r="I214" s="14"/>
      <c r="J214" s="5" t="str">
        <f aca="false">K214&amp;"|"&amp;D214&amp;"|"&amp;E214</f>
        <v>connection,creativity,patience|Space|Gentle</v>
      </c>
      <c r="K214" s="5" t="s">
        <v>1929</v>
      </c>
      <c r="L214" s="5" t="str">
        <f aca="false">", "&amp;C214&amp;", "</f>
        <v>, creativity, connection, patience, </v>
      </c>
    </row>
    <row r="215" customFormat="false" ht="15" hidden="false" customHeight="true" outlineLevel="0" collapsed="false">
      <c r="A215" s="13" t="s">
        <v>97</v>
      </c>
      <c r="B215" s="13" t="s">
        <v>1259</v>
      </c>
      <c r="C215" s="14"/>
      <c r="D215" s="15" t="s">
        <v>880</v>
      </c>
      <c r="E215" s="15" t="s">
        <v>880</v>
      </c>
      <c r="F215" s="14" t="s">
        <v>1930</v>
      </c>
      <c r="G215" s="13" t="str">
        <f aca="false">IF(OR(D215="—",D215="",K215=""),"",COUNTIF($J$2:$J$259,J215)-1)</f>
        <v/>
      </c>
      <c r="H215" s="15"/>
      <c r="I215" s="14"/>
      <c r="J215" s="5" t="str">
        <f aca="false">K215&amp;"|"&amp;D215&amp;"|"&amp;E215</f>
        <v>|—|—</v>
      </c>
      <c r="K215" s="5"/>
      <c r="L215" s="5" t="str">
        <f aca="false">", "&amp;C215&amp;", "</f>
        <v>, , </v>
      </c>
    </row>
    <row r="216" customFormat="false" ht="15" hidden="false" customHeight="true" outlineLevel="0" collapsed="false">
      <c r="A216" s="13" t="s">
        <v>472</v>
      </c>
      <c r="B216" s="13" t="s">
        <v>1259</v>
      </c>
      <c r="C216" s="14"/>
      <c r="D216" s="15" t="s">
        <v>880</v>
      </c>
      <c r="E216" s="15" t="s">
        <v>880</v>
      </c>
      <c r="F216" s="14" t="s">
        <v>1930</v>
      </c>
      <c r="G216" s="13" t="str">
        <f aca="false">IF(OR(D216="—",D216="",K216=""),"",COUNTIF($J$2:$J$259,J216)-1)</f>
        <v/>
      </c>
      <c r="H216" s="15"/>
      <c r="I216" s="14"/>
      <c r="J216" s="5" t="str">
        <f aca="false">K216&amp;"|"&amp;D216&amp;"|"&amp;E216</f>
        <v>|—|—</v>
      </c>
      <c r="K216" s="5"/>
      <c r="L216" s="5" t="str">
        <f aca="false">", "&amp;C216&amp;", "</f>
        <v>, , </v>
      </c>
    </row>
    <row r="217" customFormat="false" ht="15" hidden="false" customHeight="true" outlineLevel="0" collapsed="false">
      <c r="A217" s="13" t="s">
        <v>520</v>
      </c>
      <c r="B217" s="13" t="s">
        <v>1259</v>
      </c>
      <c r="C217" s="14"/>
      <c r="D217" s="15" t="s">
        <v>880</v>
      </c>
      <c r="E217" s="15" t="s">
        <v>880</v>
      </c>
      <c r="F217" s="14" t="s">
        <v>1931</v>
      </c>
      <c r="G217" s="13" t="str">
        <f aca="false">IF(OR(D217="—",D217="",K217=""),"",COUNTIF($J$2:$J$259,J217)-1)</f>
        <v/>
      </c>
      <c r="H217" s="15"/>
      <c r="I217" s="14"/>
      <c r="J217" s="5" t="str">
        <f aca="false">K217&amp;"|"&amp;D217&amp;"|"&amp;E217</f>
        <v>|—|—</v>
      </c>
      <c r="K217" s="5"/>
      <c r="L217" s="5" t="str">
        <f aca="false">", "&amp;C217&amp;", "</f>
        <v>, , </v>
      </c>
    </row>
    <row r="218" customFormat="false" ht="15" hidden="false" customHeight="true" outlineLevel="0" collapsed="false">
      <c r="A218" s="13" t="s">
        <v>565</v>
      </c>
      <c r="B218" s="13" t="s">
        <v>1259</v>
      </c>
      <c r="C218" s="14" t="s">
        <v>1932</v>
      </c>
      <c r="D218" s="15" t="s">
        <v>1352</v>
      </c>
      <c r="E218" s="15" t="s">
        <v>1337</v>
      </c>
      <c r="F218" s="14" t="s">
        <v>1933</v>
      </c>
      <c r="G218" s="13" t="n">
        <f aca="false">IF(OR(D218="—",D218="",K218=""),"",COUNTIF($J$2:$J$259,J218)-1)</f>
        <v>0</v>
      </c>
      <c r="H218" s="15"/>
      <c r="I218" s="14"/>
      <c r="J218" s="5" t="str">
        <f aca="false">K218&amp;"|"&amp;D218&amp;"|"&amp;E218</f>
        <v>creativity,joy,play|Space|Gentle</v>
      </c>
      <c r="K218" s="5" t="s">
        <v>1858</v>
      </c>
      <c r="L218" s="5" t="str">
        <f aca="false">", "&amp;C218&amp;", "</f>
        <v>, play, creativity, joy, </v>
      </c>
    </row>
    <row r="219" customFormat="false" ht="23.25" hidden="false" customHeight="true" outlineLevel="0" collapsed="false">
      <c r="A219" s="13" t="s">
        <v>682</v>
      </c>
      <c r="B219" s="13" t="s">
        <v>1281</v>
      </c>
      <c r="C219" s="14" t="s">
        <v>1934</v>
      </c>
      <c r="D219" s="15" t="s">
        <v>1336</v>
      </c>
      <c r="E219" s="15" t="s">
        <v>1341</v>
      </c>
      <c r="F219" s="14" t="s">
        <v>1935</v>
      </c>
      <c r="G219" s="13" t="n">
        <f aca="false">IF(OR(D219="—",D219="",K219=""),"",COUNTIF($J$2:$J$259,J219)-1)</f>
        <v>1</v>
      </c>
      <c r="H219" s="15"/>
      <c r="I219" s="14" t="s">
        <v>1936</v>
      </c>
      <c r="J219" s="5" t="str">
        <f aca="false">K219&amp;"|"&amp;D219&amp;"|"&amp;E219</f>
        <v>intuition|Mind|Strong</v>
      </c>
      <c r="K219" s="5" t="s">
        <v>1934</v>
      </c>
      <c r="L219" s="5" t="str">
        <f aca="false">", "&amp;C219&amp;", "</f>
        <v>, intuition, </v>
      </c>
    </row>
    <row r="220" customFormat="false" ht="23.25" hidden="false" customHeight="true" outlineLevel="0" collapsed="false">
      <c r="A220" s="13" t="s">
        <v>640</v>
      </c>
      <c r="B220" s="13" t="s">
        <v>1281</v>
      </c>
      <c r="C220" s="14" t="s">
        <v>1934</v>
      </c>
      <c r="D220" s="15" t="s">
        <v>1336</v>
      </c>
      <c r="E220" s="15" t="s">
        <v>1341</v>
      </c>
      <c r="F220" s="14" t="s">
        <v>1937</v>
      </c>
      <c r="G220" s="13" t="n">
        <f aca="false">IF(OR(D220="—",D220="",K220=""),"",COUNTIF($J$2:$J$259,J220)-1)</f>
        <v>1</v>
      </c>
      <c r="H220" s="15"/>
      <c r="I220" s="14" t="s">
        <v>1938</v>
      </c>
      <c r="J220" s="5" t="str">
        <f aca="false">K220&amp;"|"&amp;D220&amp;"|"&amp;E220</f>
        <v>intuition|Mind|Strong</v>
      </c>
      <c r="K220" s="5" t="s">
        <v>1934</v>
      </c>
      <c r="L220" s="5" t="str">
        <f aca="false">", "&amp;C220&amp;", "</f>
        <v>, intuition, </v>
      </c>
    </row>
    <row r="221" customFormat="false" ht="23.25" hidden="false" customHeight="true" outlineLevel="0" collapsed="false">
      <c r="A221" s="13" t="s">
        <v>685</v>
      </c>
      <c r="B221" s="13" t="s">
        <v>1281</v>
      </c>
      <c r="C221" s="14" t="s">
        <v>1939</v>
      </c>
      <c r="D221" s="15" t="s">
        <v>1336</v>
      </c>
      <c r="E221" s="15" t="s">
        <v>1337</v>
      </c>
      <c r="F221" s="14" t="s">
        <v>1940</v>
      </c>
      <c r="G221" s="13" t="n">
        <f aca="false">IF(OR(D221="—",D221="",K221=""),"",COUNTIF($J$2:$J$259,J221)-1)</f>
        <v>1</v>
      </c>
      <c r="H221" s="15"/>
      <c r="I221" s="14" t="s">
        <v>1941</v>
      </c>
      <c r="J221" s="5" t="str">
        <f aca="false">K221&amp;"|"&amp;D221&amp;"|"&amp;E221</f>
        <v>beginnings|Mind|Gentle</v>
      </c>
      <c r="K221" s="5" t="s">
        <v>1939</v>
      </c>
      <c r="L221" s="5" t="str">
        <f aca="false">", "&amp;C221&amp;", "</f>
        <v>, beginnings, </v>
      </c>
    </row>
    <row r="222" customFormat="false" ht="23.25" hidden="false" customHeight="true" outlineLevel="0" collapsed="false">
      <c r="A222" s="13" t="s">
        <v>578</v>
      </c>
      <c r="B222" s="13" t="s">
        <v>1281</v>
      </c>
      <c r="C222" s="14" t="s">
        <v>1939</v>
      </c>
      <c r="D222" s="15" t="s">
        <v>1336</v>
      </c>
      <c r="E222" s="15" t="s">
        <v>1337</v>
      </c>
      <c r="F222" s="14" t="s">
        <v>1942</v>
      </c>
      <c r="G222" s="13" t="n">
        <f aca="false">IF(OR(D222="—",D222="",K222=""),"",COUNTIF($J$2:$J$259,J222)-1)</f>
        <v>1</v>
      </c>
      <c r="H222" s="15"/>
      <c r="I222" s="14" t="s">
        <v>1943</v>
      </c>
      <c r="J222" s="5" t="str">
        <f aca="false">K222&amp;"|"&amp;D222&amp;"|"&amp;E222</f>
        <v>beginnings|Mind|Gentle</v>
      </c>
      <c r="K222" s="5" t="s">
        <v>1939</v>
      </c>
      <c r="L222" s="5" t="str">
        <f aca="false">", "&amp;C222&amp;", "</f>
        <v>, beginnings, </v>
      </c>
    </row>
    <row r="223" customFormat="false" ht="15" hidden="false" customHeight="true" outlineLevel="0" collapsed="false">
      <c r="A223" s="13" t="s">
        <v>770</v>
      </c>
      <c r="B223" s="13" t="s">
        <v>1281</v>
      </c>
      <c r="C223" s="14" t="s">
        <v>1589</v>
      </c>
      <c r="D223" s="15" t="s">
        <v>1352</v>
      </c>
      <c r="E223" s="15" t="s">
        <v>1341</v>
      </c>
      <c r="F223" s="14" t="s">
        <v>1944</v>
      </c>
      <c r="G223" s="13" t="n">
        <f aca="false">IF(OR(D223="—",D223="",K223=""),"",COUNTIF($J$2:$J$259,J223)-1)</f>
        <v>0</v>
      </c>
      <c r="H223" s="15"/>
      <c r="I223" s="14"/>
      <c r="J223" s="5" t="str">
        <f aca="false">K223&amp;"|"&amp;D223&amp;"|"&amp;E223</f>
        <v>courage|Space|Strong</v>
      </c>
      <c r="K223" s="5" t="s">
        <v>1589</v>
      </c>
      <c r="L223" s="5" t="str">
        <f aca="false">", "&amp;C223&amp;", "</f>
        <v>, courage, </v>
      </c>
    </row>
    <row r="224" customFormat="false" ht="15" hidden="false" customHeight="true" outlineLevel="0" collapsed="false">
      <c r="A224" s="13" t="s">
        <v>642</v>
      </c>
      <c r="B224" s="13" t="s">
        <v>1281</v>
      </c>
      <c r="C224" s="14" t="s">
        <v>1945</v>
      </c>
      <c r="D224" s="15" t="s">
        <v>1336</v>
      </c>
      <c r="E224" s="15" t="s">
        <v>1341</v>
      </c>
      <c r="F224" s="14" t="s">
        <v>1946</v>
      </c>
      <c r="G224" s="13" t="n">
        <f aca="false">IF(OR(D224="—",D224="",K224=""),"",COUNTIF($J$2:$J$259,J224)-1)</f>
        <v>0</v>
      </c>
      <c r="H224" s="15"/>
      <c r="I224" s="14"/>
      <c r="J224" s="5" t="str">
        <f aca="false">K224&amp;"|"&amp;D224&amp;"|"&amp;E224</f>
        <v>creativity,intuition,memory|Mind|Strong</v>
      </c>
      <c r="K224" s="5" t="s">
        <v>1947</v>
      </c>
      <c r="L224" s="5" t="str">
        <f aca="false">", "&amp;C224&amp;", "</f>
        <v>, memory, creativity, intuition, </v>
      </c>
    </row>
    <row r="225" customFormat="false" ht="15" hidden="false" customHeight="true" outlineLevel="0" collapsed="false">
      <c r="A225" s="13" t="s">
        <v>261</v>
      </c>
      <c r="B225" s="13" t="s">
        <v>1281</v>
      </c>
      <c r="C225" s="14" t="s">
        <v>1948</v>
      </c>
      <c r="D225" s="15" t="s">
        <v>1352</v>
      </c>
      <c r="E225" s="15" t="s">
        <v>1341</v>
      </c>
      <c r="F225" s="14" t="s">
        <v>1949</v>
      </c>
      <c r="G225" s="13" t="n">
        <f aca="false">IF(OR(D225="—",D225="",K225=""),"",COUNTIF($J$2:$J$259,J225)-1)</f>
        <v>0</v>
      </c>
      <c r="H225" s="15"/>
      <c r="I225" s="14"/>
      <c r="J225" s="5" t="str">
        <f aca="false">K225&amp;"|"&amp;D225&amp;"|"&amp;E225</f>
        <v>courage,grounding,protection|Space|Strong</v>
      </c>
      <c r="K225" s="5" t="s">
        <v>1950</v>
      </c>
      <c r="L225" s="5" t="str">
        <f aca="false">", "&amp;C225&amp;", "</f>
        <v>, courage, grounding, protection, </v>
      </c>
    </row>
    <row r="226" customFormat="false" ht="15" hidden="false" customHeight="true" outlineLevel="0" collapsed="false">
      <c r="A226" s="13" t="s">
        <v>211</v>
      </c>
      <c r="B226" s="13" t="s">
        <v>1281</v>
      </c>
      <c r="C226" s="14" t="s">
        <v>1628</v>
      </c>
      <c r="D226" s="15" t="s">
        <v>1352</v>
      </c>
      <c r="E226" s="15" t="s">
        <v>1337</v>
      </c>
      <c r="F226" s="14" t="s">
        <v>1951</v>
      </c>
      <c r="G226" s="13" t="n">
        <f aca="false">IF(OR(D226="—",D226="",K226=""),"",COUNTIF($J$2:$J$259,J226)-1)</f>
        <v>0</v>
      </c>
      <c r="H226" s="15"/>
      <c r="I226" s="14"/>
      <c r="J226" s="5" t="str">
        <f aca="false">K226&amp;"|"&amp;D226&amp;"|"&amp;E226</f>
        <v>boundaries,protection|Space|Gentle</v>
      </c>
      <c r="K226" s="5" t="s">
        <v>1630</v>
      </c>
      <c r="L226" s="5" t="str">
        <f aca="false">", "&amp;C226&amp;", "</f>
        <v>, protection, boundaries, </v>
      </c>
    </row>
    <row r="227" customFormat="false" ht="15" hidden="false" customHeight="true" outlineLevel="0" collapsed="false">
      <c r="A227" s="13" t="s">
        <v>849</v>
      </c>
      <c r="B227" s="13" t="s">
        <v>1281</v>
      </c>
      <c r="C227" s="14" t="s">
        <v>1952</v>
      </c>
      <c r="D227" s="15" t="s">
        <v>1352</v>
      </c>
      <c r="E227" s="15" t="s">
        <v>1337</v>
      </c>
      <c r="F227" s="14" t="s">
        <v>1953</v>
      </c>
      <c r="G227" s="13" t="n">
        <f aca="false">IF(OR(D227="—",D227="",K227=""),"",COUNTIF($J$2:$J$259,J227)-1)</f>
        <v>0</v>
      </c>
      <c r="H227" s="15"/>
      <c r="I227" s="14"/>
      <c r="J227" s="5" t="str">
        <f aca="false">K227&amp;"|"&amp;D227&amp;"|"&amp;E227</f>
        <v>opportunity,play,travel|Space|Gentle</v>
      </c>
      <c r="K227" s="5" t="s">
        <v>1954</v>
      </c>
      <c r="L227" s="5" t="str">
        <f aca="false">", "&amp;C227&amp;", "</f>
        <v>, play, opportunity, travel, </v>
      </c>
    </row>
    <row r="228" customFormat="false" ht="15" hidden="false" customHeight="true" outlineLevel="0" collapsed="false">
      <c r="A228" s="13" t="s">
        <v>559</v>
      </c>
      <c r="B228" s="13" t="s">
        <v>1281</v>
      </c>
      <c r="C228" s="14" t="s">
        <v>1934</v>
      </c>
      <c r="D228" s="15" t="s">
        <v>1336</v>
      </c>
      <c r="E228" s="15" t="s">
        <v>1337</v>
      </c>
      <c r="F228" s="14" t="s">
        <v>1955</v>
      </c>
      <c r="G228" s="13" t="n">
        <f aca="false">IF(OR(D228="—",D228="",K228=""),"",COUNTIF($J$2:$J$259,J228)-1)</f>
        <v>0</v>
      </c>
      <c r="H228" s="15"/>
      <c r="I228" s="14"/>
      <c r="J228" s="5" t="str">
        <f aca="false">K228&amp;"|"&amp;D228&amp;"|"&amp;E228</f>
        <v>intuition|Mind|Gentle</v>
      </c>
      <c r="K228" s="5" t="s">
        <v>1934</v>
      </c>
      <c r="L228" s="5" t="str">
        <f aca="false">", "&amp;C228&amp;", "</f>
        <v>, intuition, </v>
      </c>
    </row>
    <row r="229" customFormat="false" ht="15" hidden="false" customHeight="true" outlineLevel="0" collapsed="false">
      <c r="A229" s="13" t="s">
        <v>789</v>
      </c>
      <c r="B229" s="13" t="s">
        <v>1281</v>
      </c>
      <c r="C229" s="14" t="s">
        <v>1956</v>
      </c>
      <c r="D229" s="15" t="s">
        <v>1336</v>
      </c>
      <c r="E229" s="15" t="s">
        <v>1337</v>
      </c>
      <c r="F229" s="14" t="s">
        <v>1957</v>
      </c>
      <c r="G229" s="13" t="n">
        <f aca="false">IF(OR(D229="—",D229="",K229=""),"",COUNTIF($J$2:$J$259,J229)-1)</f>
        <v>0</v>
      </c>
      <c r="H229" s="15"/>
      <c r="I229" s="14"/>
      <c r="J229" s="5" t="str">
        <f aca="false">K229&amp;"|"&amp;D229&amp;"|"&amp;E229</f>
        <v>release|Mind|Gentle</v>
      </c>
      <c r="K229" s="5" t="s">
        <v>1956</v>
      </c>
      <c r="L229" s="5" t="str">
        <f aca="false">", "&amp;C229&amp;", "</f>
        <v>, release, </v>
      </c>
    </row>
    <row r="230" customFormat="false" ht="15" hidden="false" customHeight="true" outlineLevel="0" collapsed="false">
      <c r="A230" s="13" t="s">
        <v>164</v>
      </c>
      <c r="B230" s="13" t="s">
        <v>1281</v>
      </c>
      <c r="C230" s="14"/>
      <c r="D230" s="15" t="s">
        <v>880</v>
      </c>
      <c r="E230" s="15" t="s">
        <v>880</v>
      </c>
      <c r="F230" s="14" t="s">
        <v>1958</v>
      </c>
      <c r="G230" s="13" t="str">
        <f aca="false">IF(OR(D230="—",D230="",K230=""),"",COUNTIF($J$2:$J$259,J230)-1)</f>
        <v/>
      </c>
      <c r="H230" s="15"/>
      <c r="I230" s="14"/>
      <c r="J230" s="5" t="str">
        <f aca="false">K230&amp;"|"&amp;D230&amp;"|"&amp;E230</f>
        <v>|—|—</v>
      </c>
      <c r="K230" s="5"/>
      <c r="L230" s="5" t="str">
        <f aca="false">", "&amp;C230&amp;", "</f>
        <v>, , </v>
      </c>
    </row>
    <row r="231" customFormat="false" ht="15" hidden="false" customHeight="true" outlineLevel="0" collapsed="false">
      <c r="A231" s="13" t="s">
        <v>369</v>
      </c>
      <c r="B231" s="13" t="s">
        <v>1281</v>
      </c>
      <c r="C231" s="14" t="s">
        <v>1959</v>
      </c>
      <c r="D231" s="15" t="s">
        <v>1352</v>
      </c>
      <c r="E231" s="15" t="s">
        <v>1337</v>
      </c>
      <c r="F231" s="14" t="s">
        <v>1960</v>
      </c>
      <c r="G231" s="13" t="n">
        <f aca="false">IF(OR(D231="—",D231="",K231=""),"",COUNTIF($J$2:$J$259,J231)-1)</f>
        <v>0</v>
      </c>
      <c r="H231" s="15"/>
      <c r="I231" s="14"/>
      <c r="J231" s="5" t="str">
        <f aca="false">K231&amp;"|"&amp;D231&amp;"|"&amp;E231</f>
        <v>luck|Space|Gentle</v>
      </c>
      <c r="K231" s="5" t="s">
        <v>1959</v>
      </c>
      <c r="L231" s="5" t="str">
        <f aca="false">", "&amp;C231&amp;", "</f>
        <v>, luck, </v>
      </c>
    </row>
    <row r="232" customFormat="false" ht="15" hidden="false" customHeight="true" outlineLevel="0" collapsed="false">
      <c r="A232" s="13" t="s">
        <v>149</v>
      </c>
      <c r="B232" s="13" t="s">
        <v>1296</v>
      </c>
      <c r="C232" s="14"/>
      <c r="D232" s="15" t="s">
        <v>880</v>
      </c>
      <c r="E232" s="15" t="s">
        <v>880</v>
      </c>
      <c r="F232" s="14" t="s">
        <v>1961</v>
      </c>
      <c r="G232" s="13" t="str">
        <f aca="false">IF(OR(D232="—",D232="",K232=""),"",COUNTIF($J$2:$J$259,J232)-1)</f>
        <v/>
      </c>
      <c r="H232" s="15"/>
      <c r="I232" s="14"/>
      <c r="J232" s="5" t="str">
        <f aca="false">K232&amp;"|"&amp;D232&amp;"|"&amp;E232</f>
        <v>|—|—</v>
      </c>
      <c r="K232" s="5"/>
      <c r="L232" s="5" t="str">
        <f aca="false">", "&amp;C232&amp;", "</f>
        <v>, , </v>
      </c>
    </row>
    <row r="233" customFormat="false" ht="15" hidden="false" customHeight="true" outlineLevel="0" collapsed="false">
      <c r="A233" s="13" t="s">
        <v>661</v>
      </c>
      <c r="B233" s="13" t="s">
        <v>1296</v>
      </c>
      <c r="C233" s="14"/>
      <c r="D233" s="15" t="s">
        <v>880</v>
      </c>
      <c r="E233" s="15" t="s">
        <v>880</v>
      </c>
      <c r="F233" s="14" t="s">
        <v>1961</v>
      </c>
      <c r="G233" s="13" t="str">
        <f aca="false">IF(OR(D233="—",D233="",K233=""),"",COUNTIF($J$2:$J$259,J233)-1)</f>
        <v/>
      </c>
      <c r="H233" s="15"/>
      <c r="I233" s="14"/>
      <c r="J233" s="5" t="str">
        <f aca="false">K233&amp;"|"&amp;D233&amp;"|"&amp;E233</f>
        <v>|—|—</v>
      </c>
      <c r="K233" s="5"/>
      <c r="L233" s="5" t="str">
        <f aca="false">", "&amp;C233&amp;", "</f>
        <v>, , </v>
      </c>
    </row>
    <row r="234" customFormat="false" ht="15" hidden="false" customHeight="true" outlineLevel="0" collapsed="false">
      <c r="A234" s="13" t="s">
        <v>427</v>
      </c>
      <c r="B234" s="13" t="s">
        <v>1296</v>
      </c>
      <c r="C234" s="14"/>
      <c r="D234" s="15" t="s">
        <v>880</v>
      </c>
      <c r="E234" s="15" t="s">
        <v>880</v>
      </c>
      <c r="F234" s="14" t="s">
        <v>1962</v>
      </c>
      <c r="G234" s="13" t="str">
        <f aca="false">IF(OR(D234="—",D234="",K234=""),"",COUNTIF($J$2:$J$259,J234)-1)</f>
        <v/>
      </c>
      <c r="H234" s="15"/>
      <c r="I234" s="14"/>
      <c r="J234" s="5" t="str">
        <f aca="false">K234&amp;"|"&amp;D234&amp;"|"&amp;E234</f>
        <v>|—|—</v>
      </c>
      <c r="K234" s="5"/>
      <c r="L234" s="5" t="str">
        <f aca="false">", "&amp;C234&amp;", "</f>
        <v>, , </v>
      </c>
    </row>
    <row r="235" customFormat="false" ht="15" hidden="false" customHeight="true" outlineLevel="0" collapsed="false">
      <c r="A235" s="13" t="s">
        <v>373</v>
      </c>
      <c r="B235" s="13" t="s">
        <v>1296</v>
      </c>
      <c r="C235" s="14" t="s">
        <v>1963</v>
      </c>
      <c r="D235" s="15" t="s">
        <v>1352</v>
      </c>
      <c r="E235" s="15" t="s">
        <v>1341</v>
      </c>
      <c r="F235" s="14" t="s">
        <v>1964</v>
      </c>
      <c r="G235" s="13" t="n">
        <f aca="false">IF(OR(D235="—",D235="",K235=""),"",COUNTIF($J$2:$J$259,J235)-1)</f>
        <v>0</v>
      </c>
      <c r="H235" s="15"/>
      <c r="I235" s="14"/>
      <c r="J235" s="5" t="str">
        <f aca="false">K235&amp;"|"&amp;D235&amp;"|"&amp;E235</f>
        <v>abundance,luck|Space|Strong</v>
      </c>
      <c r="K235" s="5" t="s">
        <v>1381</v>
      </c>
      <c r="L235" s="5" t="str">
        <f aca="false">", "&amp;C235&amp;", "</f>
        <v>, luck, abundance, </v>
      </c>
    </row>
    <row r="236" customFormat="false" ht="15" hidden="false" customHeight="true" outlineLevel="0" collapsed="false">
      <c r="A236" s="13" t="s">
        <v>773</v>
      </c>
      <c r="B236" s="13" t="s">
        <v>1296</v>
      </c>
      <c r="C236" s="14"/>
      <c r="D236" s="15" t="s">
        <v>880</v>
      </c>
      <c r="E236" s="15" t="s">
        <v>880</v>
      </c>
      <c r="F236" s="14" t="s">
        <v>1958</v>
      </c>
      <c r="G236" s="13" t="str">
        <f aca="false">IF(OR(D236="—",D236="",K236=""),"",COUNTIF($J$2:$J$259,J236)-1)</f>
        <v/>
      </c>
      <c r="H236" s="15"/>
      <c r="I236" s="14"/>
      <c r="J236" s="5" t="str">
        <f aca="false">K236&amp;"|"&amp;D236&amp;"|"&amp;E236</f>
        <v>|—|—</v>
      </c>
      <c r="K236" s="5"/>
      <c r="L236" s="5" t="str">
        <f aca="false">", "&amp;C236&amp;", "</f>
        <v>, , </v>
      </c>
    </row>
    <row r="237" customFormat="false" ht="15" hidden="false" customHeight="true" outlineLevel="0" collapsed="false">
      <c r="A237" s="13" t="s">
        <v>217</v>
      </c>
      <c r="B237" s="13" t="s">
        <v>1296</v>
      </c>
      <c r="C237" s="14" t="s">
        <v>1965</v>
      </c>
      <c r="D237" s="15" t="s">
        <v>1352</v>
      </c>
      <c r="E237" s="15" t="s">
        <v>1337</v>
      </c>
      <c r="F237" s="14" t="s">
        <v>1966</v>
      </c>
      <c r="G237" s="13" t="n">
        <f aca="false">IF(OR(D237="—",D237="",K237=""),"",COUNTIF($J$2:$J$259,J237)-1)</f>
        <v>0</v>
      </c>
      <c r="H237" s="15"/>
      <c r="I237" s="14"/>
      <c r="J237" s="5" t="str">
        <f aca="false">K237&amp;"|"&amp;D237&amp;"|"&amp;E237</f>
        <v>play,protection,wonder|Space|Gentle</v>
      </c>
      <c r="K237" s="5" t="s">
        <v>1967</v>
      </c>
      <c r="L237" s="5" t="str">
        <f aca="false">", "&amp;C237&amp;", "</f>
        <v>, protection, play, wonder, </v>
      </c>
    </row>
    <row r="238" customFormat="false" ht="15" hidden="false" customHeight="true" outlineLevel="0" collapsed="false">
      <c r="A238" s="13" t="s">
        <v>341</v>
      </c>
      <c r="B238" s="13" t="s">
        <v>1296</v>
      </c>
      <c r="C238" s="14"/>
      <c r="D238" s="15" t="s">
        <v>880</v>
      </c>
      <c r="E238" s="15" t="s">
        <v>880</v>
      </c>
      <c r="F238" s="14" t="s">
        <v>1968</v>
      </c>
      <c r="G238" s="13" t="str">
        <f aca="false">IF(OR(D238="—",D238="",K238=""),"",COUNTIF($J$2:$J$259,J238)-1)</f>
        <v/>
      </c>
      <c r="H238" s="15"/>
      <c r="I238" s="14"/>
      <c r="J238" s="5" t="str">
        <f aca="false">K238&amp;"|"&amp;D238&amp;"|"&amp;E238</f>
        <v>|—|—</v>
      </c>
      <c r="K238" s="5"/>
      <c r="L238" s="5" t="str">
        <f aca="false">", "&amp;C238&amp;", "</f>
        <v>, , </v>
      </c>
    </row>
    <row r="239" customFormat="false" ht="15" hidden="false" customHeight="true" outlineLevel="0" collapsed="false">
      <c r="A239" s="13" t="s">
        <v>267</v>
      </c>
      <c r="B239" s="13" t="s">
        <v>1296</v>
      </c>
      <c r="C239" s="14" t="s">
        <v>1969</v>
      </c>
      <c r="D239" s="15" t="s">
        <v>1352</v>
      </c>
      <c r="E239" s="15" t="s">
        <v>1341</v>
      </c>
      <c r="F239" s="14" t="s">
        <v>1970</v>
      </c>
      <c r="G239" s="13" t="n">
        <f aca="false">IF(OR(D239="—",D239="",K239=""),"",COUNTIF($J$2:$J$259,J239)-1)</f>
        <v>0</v>
      </c>
      <c r="H239" s="15"/>
      <c r="I239" s="14"/>
      <c r="J239" s="5" t="str">
        <f aca="false">K239&amp;"|"&amp;D239&amp;"|"&amp;E239</f>
        <v>grounding,protection|Space|Strong</v>
      </c>
      <c r="K239" s="5" t="s">
        <v>1971</v>
      </c>
      <c r="L239" s="5" t="str">
        <f aca="false">", "&amp;C239&amp;", "</f>
        <v>, protection, grounding, </v>
      </c>
    </row>
    <row r="240" customFormat="false" ht="15" hidden="false" customHeight="true" outlineLevel="0" collapsed="false">
      <c r="A240" s="13" t="s">
        <v>182</v>
      </c>
      <c r="B240" s="13" t="s">
        <v>1296</v>
      </c>
      <c r="C240" s="14" t="s">
        <v>1972</v>
      </c>
      <c r="D240" s="15" t="s">
        <v>1352</v>
      </c>
      <c r="E240" s="15" t="s">
        <v>1341</v>
      </c>
      <c r="F240" s="14" t="s">
        <v>1973</v>
      </c>
      <c r="G240" s="13" t="n">
        <f aca="false">IF(OR(D240="—",D240="",K240=""),"",COUNTIF($J$2:$J$259,J240)-1)</f>
        <v>0</v>
      </c>
      <c r="H240" s="15"/>
      <c r="I240" s="14"/>
      <c r="J240" s="5" t="str">
        <f aca="false">K240&amp;"|"&amp;D240&amp;"|"&amp;E240</f>
        <v>protection|Space|Strong</v>
      </c>
      <c r="K240" s="5" t="s">
        <v>1972</v>
      </c>
      <c r="L240" s="5" t="str">
        <f aca="false">", "&amp;C240&amp;", "</f>
        <v>, protection, </v>
      </c>
    </row>
    <row r="241" customFormat="false" ht="15" hidden="false" customHeight="true" outlineLevel="0" collapsed="false">
      <c r="A241" s="13" t="s">
        <v>122</v>
      </c>
      <c r="B241" s="13" t="s">
        <v>1296</v>
      </c>
      <c r="C241" s="14" t="s">
        <v>1974</v>
      </c>
      <c r="D241" s="15" t="s">
        <v>1336</v>
      </c>
      <c r="E241" s="15" t="s">
        <v>1341</v>
      </c>
      <c r="F241" s="14" t="s">
        <v>1975</v>
      </c>
      <c r="G241" s="13" t="n">
        <f aca="false">IF(OR(D241="—",D241="",K241=""),"",COUNTIF($J$2:$J$259,J241)-1)</f>
        <v>0</v>
      </c>
      <c r="H241" s="15"/>
      <c r="I241" s="14"/>
      <c r="J241" s="5" t="str">
        <f aca="false">K241&amp;"|"&amp;D241&amp;"|"&amp;E241</f>
        <v>boundaries|Mind|Strong</v>
      </c>
      <c r="K241" s="5" t="s">
        <v>1974</v>
      </c>
      <c r="L241" s="5" t="str">
        <f aca="false">", "&amp;C241&amp;", "</f>
        <v>, boundaries, </v>
      </c>
    </row>
    <row r="242" customFormat="false" ht="15" hidden="false" customHeight="true" outlineLevel="0" collapsed="false">
      <c r="A242" s="13" t="s">
        <v>786</v>
      </c>
      <c r="B242" s="13" t="s">
        <v>1296</v>
      </c>
      <c r="C242" s="14" t="s">
        <v>1976</v>
      </c>
      <c r="D242" s="15" t="s">
        <v>1336</v>
      </c>
      <c r="E242" s="15" t="s">
        <v>1337</v>
      </c>
      <c r="F242" s="14" t="s">
        <v>1977</v>
      </c>
      <c r="G242" s="13" t="n">
        <f aca="false">IF(OR(D242="—",D242="",K242=""),"",COUNTIF($J$2:$J$259,J242)-1)</f>
        <v>0</v>
      </c>
      <c r="H242" s="15"/>
      <c r="I242" s="14"/>
      <c r="J242" s="5" t="str">
        <f aca="false">K242&amp;"|"&amp;D242&amp;"|"&amp;E242</f>
        <v>memory,self-love|Mind|Gentle</v>
      </c>
      <c r="K242" s="5" t="s">
        <v>1978</v>
      </c>
      <c r="L242" s="5" t="str">
        <f aca="false">", "&amp;C242&amp;", "</f>
        <v>, memory, self-love, </v>
      </c>
    </row>
    <row r="243" customFormat="false" ht="15" hidden="false" customHeight="true" outlineLevel="0" collapsed="false">
      <c r="A243" s="13" t="s">
        <v>464</v>
      </c>
      <c r="B243" s="13" t="s">
        <v>1296</v>
      </c>
      <c r="C243" s="14" t="s">
        <v>1979</v>
      </c>
      <c r="D243" s="15" t="s">
        <v>1345</v>
      </c>
      <c r="E243" s="15" t="s">
        <v>1337</v>
      </c>
      <c r="F243" s="14" t="s">
        <v>1980</v>
      </c>
      <c r="G243" s="13" t="n">
        <f aca="false">IF(OR(D243="—",D243="",K243=""),"",COUNTIF($J$2:$J$259,J243)-1)</f>
        <v>0</v>
      </c>
      <c r="H243" s="15"/>
      <c r="I243" s="14"/>
      <c r="J243" s="5" t="str">
        <f aca="false">K243&amp;"|"&amp;D243&amp;"|"&amp;E243</f>
        <v>creativity|Body|Gentle</v>
      </c>
      <c r="K243" s="5" t="s">
        <v>1979</v>
      </c>
      <c r="L243" s="5" t="str">
        <f aca="false">", "&amp;C243&amp;", "</f>
        <v>, creativity, </v>
      </c>
    </row>
    <row r="244" customFormat="false" ht="15" hidden="false" customHeight="true" outlineLevel="0" collapsed="false">
      <c r="A244" s="13" t="s">
        <v>172</v>
      </c>
      <c r="B244" s="13" t="s">
        <v>1296</v>
      </c>
      <c r="C244" s="14"/>
      <c r="D244" s="15" t="s">
        <v>880</v>
      </c>
      <c r="E244" s="15" t="s">
        <v>880</v>
      </c>
      <c r="F244" s="14" t="s">
        <v>1727</v>
      </c>
      <c r="G244" s="13" t="str">
        <f aca="false">IF(OR(D244="—",D244="",K244=""),"",COUNTIF($J$2:$J$259,J244)-1)</f>
        <v/>
      </c>
      <c r="H244" s="15"/>
      <c r="I244" s="14"/>
      <c r="J244" s="5" t="str">
        <f aca="false">K244&amp;"|"&amp;D244&amp;"|"&amp;E244</f>
        <v>|—|—</v>
      </c>
      <c r="K244" s="5"/>
      <c r="L244" s="5" t="str">
        <f aca="false">", "&amp;C244&amp;", "</f>
        <v>, , </v>
      </c>
    </row>
    <row r="245" customFormat="false" ht="23.25" hidden="false" customHeight="true" outlineLevel="0" collapsed="false">
      <c r="A245" s="13" t="s">
        <v>644</v>
      </c>
      <c r="B245" s="13" t="s">
        <v>1296</v>
      </c>
      <c r="C245" s="14" t="s">
        <v>1979</v>
      </c>
      <c r="D245" s="15" t="s">
        <v>1336</v>
      </c>
      <c r="E245" s="15" t="s">
        <v>1337</v>
      </c>
      <c r="F245" s="14" t="s">
        <v>1981</v>
      </c>
      <c r="G245" s="13" t="n">
        <f aca="false">IF(OR(D245="—",D245="",K245=""),"",COUNTIF($J$2:$J$259,J245)-1)</f>
        <v>0</v>
      </c>
      <c r="H245" s="15"/>
      <c r="I245" s="14"/>
      <c r="J245" s="5" t="str">
        <f aca="false">K245&amp;"|"&amp;D245&amp;"|"&amp;E245</f>
        <v>creativity|Mind|Gentle</v>
      </c>
      <c r="K245" s="5" t="s">
        <v>1979</v>
      </c>
      <c r="L245" s="5" t="str">
        <f aca="false">", "&amp;C245&amp;", "</f>
        <v>, creativity, </v>
      </c>
    </row>
    <row r="246" customFormat="false" ht="15" hidden="false" customHeight="true" outlineLevel="0" collapsed="false">
      <c r="A246" s="13" t="s">
        <v>534</v>
      </c>
      <c r="B246" s="13" t="s">
        <v>1296</v>
      </c>
      <c r="C246" s="14" t="s">
        <v>1982</v>
      </c>
      <c r="D246" s="15" t="s">
        <v>1336</v>
      </c>
      <c r="E246" s="15" t="s">
        <v>1337</v>
      </c>
      <c r="F246" s="14" t="s">
        <v>1983</v>
      </c>
      <c r="G246" s="13" t="n">
        <f aca="false">IF(OR(D246="—",D246="",K246=""),"",COUNTIF($J$2:$J$259,J246)-1)</f>
        <v>0</v>
      </c>
      <c r="H246" s="15"/>
      <c r="I246" s="14"/>
      <c r="J246" s="5" t="str">
        <f aca="false">K246&amp;"|"&amp;D246&amp;"|"&amp;E246</f>
        <v>calm,communication,intuition|Mind|Gentle</v>
      </c>
      <c r="K246" s="5" t="s">
        <v>1984</v>
      </c>
      <c r="L246" s="5" t="str">
        <f aca="false">", "&amp;C246&amp;", "</f>
        <v>, intuition, calm, communication, </v>
      </c>
    </row>
    <row r="247" customFormat="false" ht="15" hidden="false" customHeight="true" outlineLevel="0" collapsed="false">
      <c r="A247" s="13" t="s">
        <v>207</v>
      </c>
      <c r="B247" s="13" t="s">
        <v>1296</v>
      </c>
      <c r="C247" s="14" t="s">
        <v>1985</v>
      </c>
      <c r="D247" s="15" t="s">
        <v>1352</v>
      </c>
      <c r="E247" s="15" t="s">
        <v>1341</v>
      </c>
      <c r="F247" s="14" t="s">
        <v>1986</v>
      </c>
      <c r="G247" s="13" t="n">
        <f aca="false">IF(OR(D247="—",D247="",K247=""),"",COUNTIF($J$2:$J$259,J247)-1)</f>
        <v>0</v>
      </c>
      <c r="H247" s="15"/>
      <c r="I247" s="14"/>
      <c r="J247" s="5" t="str">
        <f aca="false">K247&amp;"|"&amp;D247&amp;"|"&amp;E247</f>
        <v>beginnings,opportunity,protection,release|Space|Strong</v>
      </c>
      <c r="K247" s="5" t="s">
        <v>1987</v>
      </c>
      <c r="L247" s="5" t="str">
        <f aca="false">", "&amp;C247&amp;", "</f>
        <v>, opportunity, protection, beginnings, release, </v>
      </c>
    </row>
    <row r="248" customFormat="false" ht="23.25" hidden="false" customHeight="true" outlineLevel="0" collapsed="false">
      <c r="A248" s="13" t="s">
        <v>722</v>
      </c>
      <c r="B248" s="13" t="s">
        <v>1296</v>
      </c>
      <c r="C248" s="14" t="s">
        <v>1988</v>
      </c>
      <c r="D248" s="15" t="s">
        <v>1336</v>
      </c>
      <c r="E248" s="15" t="s">
        <v>1337</v>
      </c>
      <c r="F248" s="14" t="s">
        <v>1989</v>
      </c>
      <c r="G248" s="13" t="n">
        <f aca="false">IF(OR(D248="—",D248="",K248=""),"",COUNTIF($J$2:$J$259,J248)-1)</f>
        <v>0</v>
      </c>
      <c r="H248" s="15"/>
      <c r="I248" s="14"/>
      <c r="J248" s="5" t="str">
        <f aca="false">K248&amp;"|"&amp;D248&amp;"|"&amp;E248</f>
        <v>calm,comfort,travel|Mind|Gentle</v>
      </c>
      <c r="K248" s="5" t="s">
        <v>1990</v>
      </c>
      <c r="L248" s="5" t="str">
        <f aca="false">", "&amp;C248&amp;", "</f>
        <v>, comfort, calm, travel, </v>
      </c>
    </row>
    <row r="249" customFormat="false" ht="15" hidden="false" customHeight="true" outlineLevel="0" collapsed="false">
      <c r="A249" s="13" t="s">
        <v>584</v>
      </c>
      <c r="B249" s="13" t="s">
        <v>1296</v>
      </c>
      <c r="C249" s="14" t="s">
        <v>1991</v>
      </c>
      <c r="D249" s="15" t="s">
        <v>1352</v>
      </c>
      <c r="E249" s="15" t="s">
        <v>1337</v>
      </c>
      <c r="F249" s="14" t="s">
        <v>1992</v>
      </c>
      <c r="G249" s="13" t="n">
        <f aca="false">IF(OR(D249="—",D249="",K249=""),"",COUNTIF($J$2:$J$259,J249)-1)</f>
        <v>0</v>
      </c>
      <c r="H249" s="15"/>
      <c r="I249" s="14"/>
      <c r="J249" s="5" t="str">
        <f aca="false">K249&amp;"|"&amp;D249&amp;"|"&amp;E249</f>
        <v>beginnings,joy|Space|Gentle</v>
      </c>
      <c r="K249" s="5" t="s">
        <v>1993</v>
      </c>
      <c r="L249" s="5" t="str">
        <f aca="false">", "&amp;C249&amp;", "</f>
        <v>, joy, beginnings, </v>
      </c>
    </row>
    <row r="250" customFormat="false" ht="15" hidden="false" customHeight="true" outlineLevel="0" collapsed="false">
      <c r="A250" s="13" t="s">
        <v>302</v>
      </c>
      <c r="B250" s="13" t="s">
        <v>1296</v>
      </c>
      <c r="C250" s="14" t="s">
        <v>1994</v>
      </c>
      <c r="D250" s="15" t="s">
        <v>1352</v>
      </c>
      <c r="E250" s="15" t="s">
        <v>1341</v>
      </c>
      <c r="F250" s="14" t="s">
        <v>1995</v>
      </c>
      <c r="G250" s="13" t="n">
        <f aca="false">IF(OR(D250="—",D250="",K250=""),"",COUNTIF($J$2:$J$259,J250)-1)</f>
        <v>0</v>
      </c>
      <c r="H250" s="15"/>
      <c r="I250" s="14"/>
      <c r="J250" s="5" t="str">
        <f aca="false">K250&amp;"|"&amp;D250&amp;"|"&amp;E250</f>
        <v>endings,protection|Space|Strong</v>
      </c>
      <c r="K250" s="5" t="s">
        <v>1996</v>
      </c>
      <c r="L250" s="5" t="str">
        <f aca="false">", "&amp;C250&amp;", "</f>
        <v>, protection, endings, </v>
      </c>
    </row>
    <row r="251" customFormat="false" ht="15" hidden="false" customHeight="true" outlineLevel="0" collapsed="false">
      <c r="A251" s="13" t="s">
        <v>852</v>
      </c>
      <c r="B251" s="13" t="s">
        <v>1296</v>
      </c>
      <c r="C251" s="14" t="s">
        <v>1997</v>
      </c>
      <c r="D251" s="15" t="s">
        <v>1352</v>
      </c>
      <c r="E251" s="15" t="s">
        <v>1341</v>
      </c>
      <c r="F251" s="14" t="s">
        <v>1998</v>
      </c>
      <c r="G251" s="13" t="n">
        <f aca="false">IF(OR(D251="—",D251="",K251=""),"",COUNTIF($J$2:$J$259,J251)-1)</f>
        <v>0</v>
      </c>
      <c r="H251" s="15"/>
      <c r="I251" s="14"/>
      <c r="J251" s="5" t="str">
        <f aca="false">K251&amp;"|"&amp;D251&amp;"|"&amp;E251</f>
        <v>luck,play|Space|Strong</v>
      </c>
      <c r="K251" s="5" t="s">
        <v>1870</v>
      </c>
      <c r="L251" s="5" t="str">
        <f aca="false">", "&amp;C251&amp;", "</f>
        <v>, luck, play, </v>
      </c>
    </row>
    <row r="252" customFormat="false" ht="15" hidden="false" customHeight="true" outlineLevel="0" collapsed="false">
      <c r="A252" s="13" t="s">
        <v>202</v>
      </c>
      <c r="B252" s="13" t="s">
        <v>1317</v>
      </c>
      <c r="C252" s="14" t="s">
        <v>1877</v>
      </c>
      <c r="D252" s="15" t="s">
        <v>1352</v>
      </c>
      <c r="E252" s="15" t="s">
        <v>1341</v>
      </c>
      <c r="F252" s="14" t="s">
        <v>1999</v>
      </c>
      <c r="G252" s="13" t="n">
        <f aca="false">IF(OR(D252="—",D252="",K252=""),"",COUNTIF($J$2:$J$259,J252)-1)</f>
        <v>1</v>
      </c>
      <c r="H252" s="15"/>
      <c r="I252" s="14" t="s">
        <v>2000</v>
      </c>
      <c r="J252" s="5" t="str">
        <f aca="false">K252&amp;"|"&amp;D252&amp;"|"&amp;E252</f>
        <v>banishing,endings,protection|Space|Strong</v>
      </c>
      <c r="K252" s="5" t="s">
        <v>1880</v>
      </c>
      <c r="L252" s="5" t="str">
        <f aca="false">", "&amp;C252&amp;", "</f>
        <v>, banishing, protection, endings, </v>
      </c>
    </row>
    <row r="253" customFormat="false" ht="23.25" hidden="false" customHeight="true" outlineLevel="0" collapsed="false">
      <c r="A253" s="13" t="s">
        <v>572</v>
      </c>
      <c r="B253" s="13" t="s">
        <v>1317</v>
      </c>
      <c r="C253" s="14" t="s">
        <v>1884</v>
      </c>
      <c r="D253" s="15" t="s">
        <v>1352</v>
      </c>
      <c r="E253" s="15" t="s">
        <v>1341</v>
      </c>
      <c r="F253" s="14" t="s">
        <v>2001</v>
      </c>
      <c r="G253" s="13" t="n">
        <f aca="false">IF(OR(D253="—",D253="",K253=""),"",COUNTIF($J$2:$J$259,J253)-1)</f>
        <v>2</v>
      </c>
      <c r="H253" s="15"/>
      <c r="I253" s="14" t="s">
        <v>2002</v>
      </c>
      <c r="J253" s="5" t="str">
        <f aca="false">K253&amp;"|"&amp;D253&amp;"|"&amp;E253</f>
        <v>abundance,confidence,luck,success|Space|Strong</v>
      </c>
      <c r="K253" s="5" t="s">
        <v>1887</v>
      </c>
      <c r="L253" s="5" t="str">
        <f aca="false">", "&amp;C253&amp;", "</f>
        <v>, success, abundance, confidence, luck, </v>
      </c>
    </row>
    <row r="254" customFormat="false" ht="23.25" hidden="false" customHeight="true" outlineLevel="0" collapsed="false">
      <c r="A254" s="13" t="s">
        <v>300</v>
      </c>
      <c r="B254" s="13" t="s">
        <v>1317</v>
      </c>
      <c r="C254" s="14"/>
      <c r="D254" s="15" t="s">
        <v>880</v>
      </c>
      <c r="E254" s="15" t="s">
        <v>880</v>
      </c>
      <c r="F254" s="14" t="s">
        <v>1727</v>
      </c>
      <c r="G254" s="13" t="str">
        <f aca="false">IF(OR(D254="—",D254="",K254=""),"",COUNTIF($J$2:$J$259,J254)-1)</f>
        <v/>
      </c>
      <c r="H254" s="15"/>
      <c r="I254" s="14"/>
      <c r="J254" s="5" t="str">
        <f aca="false">K254&amp;"|"&amp;D254&amp;"|"&amp;E254</f>
        <v>|—|—</v>
      </c>
      <c r="K254" s="5"/>
      <c r="L254" s="5" t="str">
        <f aca="false">", "&amp;C254&amp;", "</f>
        <v>, , </v>
      </c>
    </row>
    <row r="255" customFormat="false" ht="15" hidden="false" customHeight="true" outlineLevel="0" collapsed="false">
      <c r="A255" s="13" t="s">
        <v>777</v>
      </c>
      <c r="B255" s="13" t="s">
        <v>1317</v>
      </c>
      <c r="C255" s="14" t="s">
        <v>1907</v>
      </c>
      <c r="D255" s="15" t="s">
        <v>1345</v>
      </c>
      <c r="E255" s="15" t="s">
        <v>1341</v>
      </c>
      <c r="F255" s="14" t="s">
        <v>2003</v>
      </c>
      <c r="G255" s="13" t="n">
        <f aca="false">IF(OR(D255="—",D255="",K255=""),"",COUNTIF($J$2:$J$259,J255)-1)</f>
        <v>2</v>
      </c>
      <c r="H255" s="15"/>
      <c r="I255" s="14" t="s">
        <v>2004</v>
      </c>
      <c r="J255" s="5" t="str">
        <f aca="false">K255&amp;"|"&amp;D255&amp;"|"&amp;E255</f>
        <v>courage,energy,love,passion|Body|Strong</v>
      </c>
      <c r="K255" s="5" t="s">
        <v>1910</v>
      </c>
      <c r="L255" s="5" t="str">
        <f aca="false">", "&amp;C255&amp;", "</f>
        <v>, passion, courage, energy, love, </v>
      </c>
    </row>
    <row r="256" customFormat="false" ht="23.25" hidden="false" customHeight="true" outlineLevel="0" collapsed="false">
      <c r="A256" s="13" t="s">
        <v>649</v>
      </c>
      <c r="B256" s="13" t="s">
        <v>1317</v>
      </c>
      <c r="C256" s="14" t="s">
        <v>1911</v>
      </c>
      <c r="D256" s="15" t="s">
        <v>1336</v>
      </c>
      <c r="E256" s="15" t="s">
        <v>1337</v>
      </c>
      <c r="F256" s="14" t="s">
        <v>2005</v>
      </c>
      <c r="G256" s="13" t="n">
        <f aca="false">IF(OR(D256="—",D256="",K256=""),"",COUNTIF($J$2:$J$259,J256)-1)</f>
        <v>1</v>
      </c>
      <c r="H256" s="15"/>
      <c r="I256" s="14" t="s">
        <v>2006</v>
      </c>
      <c r="J256" s="5" t="str">
        <f aca="false">K256&amp;"|"&amp;D256&amp;"|"&amp;E256</f>
        <v>calm,connection,dreams,intuition|Mind|Gentle</v>
      </c>
      <c r="K256" s="5" t="s">
        <v>1914</v>
      </c>
      <c r="L256" s="5" t="str">
        <f aca="false">", "&amp;C256&amp;", "</f>
        <v>, intuition, dreams, connection, calm, </v>
      </c>
    </row>
    <row r="257" customFormat="false" ht="23.25" hidden="false" customHeight="true" outlineLevel="0" collapsed="false">
      <c r="A257" s="13" t="s">
        <v>173</v>
      </c>
      <c r="B257" s="13" t="s">
        <v>1317</v>
      </c>
      <c r="C257" s="14" t="s">
        <v>1900</v>
      </c>
      <c r="D257" s="15" t="s">
        <v>1336</v>
      </c>
      <c r="E257" s="15" t="s">
        <v>1341</v>
      </c>
      <c r="F257" s="14" t="s">
        <v>2007</v>
      </c>
      <c r="G257" s="13" t="n">
        <f aca="false">IF(OR(D257="—",D257="",K257=""),"",COUNTIF($J$2:$J$259,J257)-1)</f>
        <v>1</v>
      </c>
      <c r="H257" s="15"/>
      <c r="I257" s="14" t="s">
        <v>2008</v>
      </c>
      <c r="J257" s="5" t="str">
        <f aca="false">K257&amp;"|"&amp;D257&amp;"|"&amp;E257</f>
        <v>intuition,transformation,wonder|Mind|Strong</v>
      </c>
      <c r="K257" s="5" t="s">
        <v>1903</v>
      </c>
      <c r="L257" s="5" t="str">
        <f aca="false">", "&amp;C257&amp;", "</f>
        <v>, intuition, transformation, wonder, </v>
      </c>
    </row>
    <row r="258" customFormat="false" ht="23.25" hidden="false" customHeight="true" outlineLevel="0" collapsed="false">
      <c r="A258" s="13" t="s">
        <v>336</v>
      </c>
      <c r="B258" s="13" t="s">
        <v>1317</v>
      </c>
      <c r="C258" s="14" t="s">
        <v>1884</v>
      </c>
      <c r="D258" s="15" t="s">
        <v>1352</v>
      </c>
      <c r="E258" s="15" t="s">
        <v>1341</v>
      </c>
      <c r="F258" s="14" t="s">
        <v>2009</v>
      </c>
      <c r="G258" s="13" t="n">
        <f aca="false">IF(OR(D258="—",D258="",K258=""),"",COUNTIF($J$2:$J$259,J258)-1)</f>
        <v>2</v>
      </c>
      <c r="H258" s="15"/>
      <c r="I258" s="14" t="s">
        <v>2010</v>
      </c>
      <c r="J258" s="5" t="str">
        <f aca="false">K258&amp;"|"&amp;D258&amp;"|"&amp;E258</f>
        <v>abundance,confidence,luck,success|Space|Strong</v>
      </c>
      <c r="K258" s="5" t="s">
        <v>1887</v>
      </c>
      <c r="L258" s="5" t="str">
        <f aca="false">", "&amp;C258&amp;", "</f>
        <v>, success, abundance, confidence, luck, </v>
      </c>
    </row>
    <row r="259" customFormat="false" ht="23.25" hidden="false" customHeight="true" outlineLevel="0" collapsed="false">
      <c r="A259" s="13" t="s">
        <v>579</v>
      </c>
      <c r="B259" s="13" t="s">
        <v>1317</v>
      </c>
      <c r="C259" s="14" t="s">
        <v>1907</v>
      </c>
      <c r="D259" s="15" t="s">
        <v>1345</v>
      </c>
      <c r="E259" s="15" t="s">
        <v>1341</v>
      </c>
      <c r="F259" s="14" t="s">
        <v>2011</v>
      </c>
      <c r="G259" s="13" t="n">
        <f aca="false">IF(OR(D259="—",D259="",K259=""),"",COUNTIF($J$2:$J$259,J259)-1)</f>
        <v>2</v>
      </c>
      <c r="H259" s="15"/>
      <c r="I259" s="14" t="s">
        <v>2012</v>
      </c>
      <c r="J259" s="5" t="str">
        <f aca="false">K259&amp;"|"&amp;D259&amp;"|"&amp;E259</f>
        <v>courage,energy,love,passion|Body|Strong</v>
      </c>
      <c r="K259" s="5" t="s">
        <v>1910</v>
      </c>
      <c r="L259" s="5" t="str">
        <f aca="false">", "&amp;C259&amp;", "</f>
        <v>, passion, courage, energy, love, </v>
      </c>
    </row>
    <row r="260" customFormat="false" ht="23.25" hidden="false" customHeight="true" outlineLevel="0" collapsed="false"/>
    <row r="261" customFormat="false" ht="23.25" hidden="false" customHeight="true" outlineLevel="0" collapsed="false"/>
  </sheetData>
  <autoFilter ref="A1:I259"/>
  <dataValidations count="3">
    <dataValidation allowBlank="true" errorStyle="stop" operator="between" showDropDown="false" showErrorMessage="false" showInputMessage="false" sqref="D2:D259" type="list">
      <formula1>"Body,Mind,Space,—"</formula1>
      <formula2>0</formula2>
    </dataValidation>
    <dataValidation allowBlank="true" errorStyle="stop" operator="between" showDropDown="false" showErrorMessage="false" showInputMessage="false" sqref="E2:E259" type="list">
      <formula1>"Gentle,Strong,—"</formula1>
      <formula2>0</formula2>
    </dataValidation>
    <dataValidation allowBlank="true" errorStyle="stop" operator="between" showDropDown="false" showErrorMessage="false" showInputMessage="false" sqref="H2:H259" type="list">
      <formula1>"Review,OK"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52"/>
    <col collapsed="false" customWidth="true" hidden="false" outlineLevel="0" max="4" min="4" style="1" width="15"/>
    <col collapsed="false" customWidth="true" hidden="false" outlineLevel="0" max="5" min="5" style="1" width="13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16"/>
    <col collapsed="false" customWidth="true" hidden="false" outlineLevel="0" max="9" min="9" style="1" width="40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0"/>
    <col collapsed="false" customWidth="true" hidden="false" outlineLevel="0" max="13" min="13" style="1" width="40"/>
  </cols>
  <sheetData>
    <row r="1" customFormat="false" ht="15" hidden="false" customHeight="true" outlineLevel="0" collapsed="false">
      <c r="A1" s="4" t="s">
        <v>2013</v>
      </c>
      <c r="B1" s="4" t="s">
        <v>2014</v>
      </c>
      <c r="C1" s="4" t="s">
        <v>2015</v>
      </c>
      <c r="D1" s="4" t="s">
        <v>2016</v>
      </c>
      <c r="E1" s="4" t="s">
        <v>2017</v>
      </c>
      <c r="F1" s="4" t="s">
        <v>1327</v>
      </c>
      <c r="G1" s="4" t="s">
        <v>940</v>
      </c>
      <c r="H1" s="4" t="s">
        <v>2018</v>
      </c>
      <c r="I1" s="4" t="s">
        <v>2019</v>
      </c>
      <c r="J1" s="4" t="s">
        <v>2020</v>
      </c>
      <c r="K1" s="4" t="s">
        <v>2021</v>
      </c>
      <c r="L1" s="4" t="s">
        <v>2022</v>
      </c>
      <c r="M1" s="4" t="s">
        <v>2023</v>
      </c>
    </row>
    <row r="2" customFormat="false" ht="23.25" hidden="false" customHeight="true" outlineLevel="0" collapsed="false">
      <c r="A2" s="13" t="n">
        <v>1</v>
      </c>
      <c r="B2" s="15" t="s">
        <v>2024</v>
      </c>
      <c r="C2" s="16" t="s">
        <v>2025</v>
      </c>
      <c r="D2" s="15" t="s">
        <v>1067</v>
      </c>
      <c r="E2" s="15" t="s">
        <v>1458</v>
      </c>
      <c r="F2" s="15" t="s">
        <v>1345</v>
      </c>
      <c r="G2" s="15" t="s">
        <v>1337</v>
      </c>
      <c r="H2" s="15" t="s">
        <v>130</v>
      </c>
      <c r="I2" s="16" t="s">
        <v>2026</v>
      </c>
      <c r="J2" s="17" t="n">
        <f aca="false">COUNTIFS('Ingredient Feel'!$L$2:$L$259,"*, "&amp;E2&amp;", *",'Ingredient Feel'!$B$2:$B$259,D2,'Ingredient Feel'!$D$2:$D$259,F2,'Ingredient Feel'!$E$2:$E$259,G2)</f>
        <v>1</v>
      </c>
      <c r="K2" s="13" t="str">
        <f aca="false">IF(COUNTIFS('Ingredient Feel'!$A$2:$A$259,H2,'Ingredient Feel'!$L$2:$L$259,"*, "&amp;E2&amp;", *",'Ingredient Feel'!$D$2:$D$259,F2,'Ingredient Feel'!$E$2:$E$259,G2)=1,"Yes","No")</f>
        <v>Yes</v>
      </c>
      <c r="L2" s="13" t="n">
        <f aca="false">COUNTIFS('Ingredient Feel'!$L$2:$L$259,"*, "&amp;E2&amp;", *",'Ingredient Feel'!$B$2:$B$259,D2)-J2</f>
        <v>8</v>
      </c>
      <c r="M2" s="14" t="s">
        <v>2027</v>
      </c>
    </row>
    <row r="3" customFormat="false" ht="23.25" hidden="false" customHeight="true" outlineLevel="0" collapsed="false">
      <c r="A3" s="13" t="n">
        <v>2</v>
      </c>
      <c r="B3" s="15" t="s">
        <v>2028</v>
      </c>
      <c r="C3" s="16" t="s">
        <v>2029</v>
      </c>
      <c r="D3" s="15" t="s">
        <v>1067</v>
      </c>
      <c r="E3" s="15" t="s">
        <v>2030</v>
      </c>
      <c r="F3" s="15" t="s">
        <v>1345</v>
      </c>
      <c r="G3" s="15" t="s">
        <v>1341</v>
      </c>
      <c r="H3" s="15" t="s">
        <v>605</v>
      </c>
      <c r="I3" s="16" t="s">
        <v>2031</v>
      </c>
      <c r="J3" s="17" t="n">
        <f aca="false">COUNTIFS('Ingredient Feel'!$L$2:$L$259,"*, "&amp;E3&amp;", *",'Ingredient Feel'!$B$2:$B$259,D3,'Ingredient Feel'!$D$2:$D$259,F3,'Ingredient Feel'!$E$2:$E$259,G3)</f>
        <v>1</v>
      </c>
      <c r="K3" s="13" t="str">
        <f aca="false">IF(COUNTIFS('Ingredient Feel'!$A$2:$A$259,H3,'Ingredient Feel'!$L$2:$L$259,"*, "&amp;E3&amp;", *",'Ingredient Feel'!$D$2:$D$259,F3,'Ingredient Feel'!$E$2:$E$259,G3)=1,"Yes","No")</f>
        <v>Yes</v>
      </c>
      <c r="L3" s="13" t="n">
        <f aca="false">COUNTIFS('Ingredient Feel'!$L$2:$L$259,"*, "&amp;E3&amp;", *",'Ingredient Feel'!$B$2:$B$259,D3)-J3</f>
        <v>3</v>
      </c>
      <c r="M3" s="14" t="s">
        <v>2032</v>
      </c>
    </row>
    <row r="4" customFormat="false" ht="23.25" hidden="false" customHeight="true" outlineLevel="0" collapsed="false">
      <c r="A4" s="13" t="n">
        <v>3</v>
      </c>
      <c r="B4" s="15" t="s">
        <v>2033</v>
      </c>
      <c r="C4" s="16" t="s">
        <v>2034</v>
      </c>
      <c r="D4" s="15" t="s">
        <v>1067</v>
      </c>
      <c r="E4" s="15" t="s">
        <v>2035</v>
      </c>
      <c r="F4" s="15" t="s">
        <v>1345</v>
      </c>
      <c r="G4" s="15" t="s">
        <v>1337</v>
      </c>
      <c r="H4" s="15" t="s">
        <v>719</v>
      </c>
      <c r="I4" s="16" t="s">
        <v>2036</v>
      </c>
      <c r="J4" s="17" t="n">
        <f aca="false">COUNTIFS('Ingredient Feel'!$L$2:$L$259,"*, "&amp;E4&amp;", *",'Ingredient Feel'!$B$2:$B$259,D4,'Ingredient Feel'!$D$2:$D$259,F4,'Ingredient Feel'!$E$2:$E$259,G4)</f>
        <v>1</v>
      </c>
      <c r="K4" s="13" t="str">
        <f aca="false">IF(COUNTIFS('Ingredient Feel'!$A$2:$A$259,H4,'Ingredient Feel'!$L$2:$L$259,"*, "&amp;E4&amp;", *",'Ingredient Feel'!$D$2:$D$259,F4,'Ingredient Feel'!$E$2:$E$259,G4)=1,"Yes","No")</f>
        <v>Yes</v>
      </c>
      <c r="L4" s="13" t="n">
        <f aca="false">COUNTIFS('Ingredient Feel'!$L$2:$L$259,"*, "&amp;E4&amp;", *",'Ingredient Feel'!$B$2:$B$259,D4)-J4</f>
        <v>3</v>
      </c>
      <c r="M4" s="14" t="s">
        <v>2037</v>
      </c>
    </row>
    <row r="5" customFormat="false" ht="23.25" hidden="false" customHeight="true" outlineLevel="0" collapsed="false">
      <c r="A5" s="13" t="n">
        <v>4</v>
      </c>
      <c r="B5" s="15" t="s">
        <v>2038</v>
      </c>
      <c r="C5" s="16" t="s">
        <v>2039</v>
      </c>
      <c r="D5" s="15" t="s">
        <v>1067</v>
      </c>
      <c r="E5" s="15" t="s">
        <v>2035</v>
      </c>
      <c r="F5" s="15" t="s">
        <v>1336</v>
      </c>
      <c r="G5" s="15" t="s">
        <v>1341</v>
      </c>
      <c r="H5" s="15" t="s">
        <v>468</v>
      </c>
      <c r="I5" s="16" t="s">
        <v>2040</v>
      </c>
      <c r="J5" s="17" t="n">
        <f aca="false">COUNTIFS('Ingredient Feel'!$L$2:$L$259,"*, "&amp;E5&amp;", *",'Ingredient Feel'!$B$2:$B$259,D5,'Ingredient Feel'!$D$2:$D$259,F5,'Ingredient Feel'!$E$2:$E$259,G5)</f>
        <v>1</v>
      </c>
      <c r="K5" s="13" t="str">
        <f aca="false">IF(COUNTIFS('Ingredient Feel'!$A$2:$A$259,H5,'Ingredient Feel'!$L$2:$L$259,"*, "&amp;E5&amp;", *",'Ingredient Feel'!$D$2:$D$259,F5,'Ingredient Feel'!$E$2:$E$259,G5)=1,"Yes","No")</f>
        <v>Yes</v>
      </c>
      <c r="L5" s="13" t="n">
        <f aca="false">COUNTIFS('Ingredient Feel'!$L$2:$L$259,"*, "&amp;E5&amp;", *",'Ingredient Feel'!$B$2:$B$259,D5)-J5</f>
        <v>3</v>
      </c>
      <c r="M5" s="14" t="s">
        <v>2041</v>
      </c>
    </row>
    <row r="6" customFormat="false" ht="23.25" hidden="false" customHeight="true" outlineLevel="0" collapsed="false">
      <c r="A6" s="13" t="n">
        <v>5</v>
      </c>
      <c r="B6" s="15" t="s">
        <v>2033</v>
      </c>
      <c r="C6" s="16" t="s">
        <v>2042</v>
      </c>
      <c r="D6" s="15" t="s">
        <v>1067</v>
      </c>
      <c r="E6" s="15" t="s">
        <v>1587</v>
      </c>
      <c r="F6" s="15" t="s">
        <v>1336</v>
      </c>
      <c r="G6" s="15" t="s">
        <v>1341</v>
      </c>
      <c r="H6" s="15" t="s">
        <v>625</v>
      </c>
      <c r="I6" s="16" t="s">
        <v>2043</v>
      </c>
      <c r="J6" s="17" t="n">
        <f aca="false">COUNTIFS('Ingredient Feel'!$L$2:$L$259,"*, "&amp;E6&amp;", *",'Ingredient Feel'!$B$2:$B$259,D6,'Ingredient Feel'!$D$2:$D$259,F6,'Ingredient Feel'!$E$2:$E$259,G6)</f>
        <v>1</v>
      </c>
      <c r="K6" s="13" t="str">
        <f aca="false">IF(COUNTIFS('Ingredient Feel'!$A$2:$A$259,H6,'Ingredient Feel'!$L$2:$L$259,"*, "&amp;E6&amp;", *",'Ingredient Feel'!$D$2:$D$259,F6,'Ingredient Feel'!$E$2:$E$259,G6)=1,"Yes","No")</f>
        <v>Yes</v>
      </c>
      <c r="L6" s="13" t="n">
        <f aca="false">COUNTIFS('Ingredient Feel'!$L$2:$L$259,"*, "&amp;E6&amp;", *",'Ingredient Feel'!$B$2:$B$259,D6)-J6</f>
        <v>8</v>
      </c>
      <c r="M6" s="14" t="s">
        <v>2044</v>
      </c>
    </row>
    <row r="7" customFormat="false" ht="23.25" hidden="false" customHeight="true" outlineLevel="0" collapsed="false">
      <c r="A7" s="13" t="n">
        <v>6</v>
      </c>
      <c r="B7" s="15" t="s">
        <v>2033</v>
      </c>
      <c r="C7" s="16" t="s">
        <v>2045</v>
      </c>
      <c r="D7" s="15" t="s">
        <v>1067</v>
      </c>
      <c r="E7" s="15" t="s">
        <v>1956</v>
      </c>
      <c r="F7" s="15" t="s">
        <v>1336</v>
      </c>
      <c r="G7" s="15" t="s">
        <v>1337</v>
      </c>
      <c r="H7" s="15" t="s">
        <v>116</v>
      </c>
      <c r="I7" s="16" t="s">
        <v>2046</v>
      </c>
      <c r="J7" s="17" t="n">
        <f aca="false">COUNTIFS('Ingredient Feel'!$L$2:$L$259,"*, "&amp;E7&amp;", *",'Ingredient Feel'!$B$2:$B$259,D7,'Ingredient Feel'!$D$2:$D$259,F7,'Ingredient Feel'!$E$2:$E$259,G7)</f>
        <v>1</v>
      </c>
      <c r="K7" s="13" t="str">
        <f aca="false">IF(COUNTIFS('Ingredient Feel'!$A$2:$A$259,H7,'Ingredient Feel'!$L$2:$L$259,"*, "&amp;E7&amp;", *",'Ingredient Feel'!$D$2:$D$259,F7,'Ingredient Feel'!$E$2:$E$259,G7)=1,"Yes","No")</f>
        <v>Yes</v>
      </c>
      <c r="L7" s="13" t="n">
        <f aca="false">COUNTIFS('Ingredient Feel'!$L$2:$L$259,"*, "&amp;E7&amp;", *",'Ingredient Feel'!$B$2:$B$259,D7)-J7</f>
        <v>7</v>
      </c>
      <c r="M7" s="14" t="s">
        <v>2047</v>
      </c>
    </row>
    <row r="8" customFormat="false" ht="23.25" hidden="false" customHeight="true" outlineLevel="0" collapsed="false">
      <c r="A8" s="13" t="n">
        <v>7</v>
      </c>
      <c r="B8" s="15" t="s">
        <v>2033</v>
      </c>
      <c r="C8" s="16" t="s">
        <v>2048</v>
      </c>
      <c r="D8" s="15" t="s">
        <v>1067</v>
      </c>
      <c r="E8" s="15" t="s">
        <v>1643</v>
      </c>
      <c r="F8" s="15" t="s">
        <v>1345</v>
      </c>
      <c r="G8" s="15" t="s">
        <v>1341</v>
      </c>
      <c r="H8" s="15" t="s">
        <v>597</v>
      </c>
      <c r="I8" s="16" t="s">
        <v>2049</v>
      </c>
      <c r="J8" s="17" t="n">
        <f aca="false">COUNTIFS('Ingredient Feel'!$L$2:$L$259,"*, "&amp;E8&amp;", *",'Ingredient Feel'!$B$2:$B$259,D8,'Ingredient Feel'!$D$2:$D$259,F8,'Ingredient Feel'!$E$2:$E$259,G8)</f>
        <v>1</v>
      </c>
      <c r="K8" s="13" t="str">
        <f aca="false">IF(COUNTIFS('Ingredient Feel'!$A$2:$A$259,H8,'Ingredient Feel'!$L$2:$L$259,"*, "&amp;E8&amp;", *",'Ingredient Feel'!$D$2:$D$259,F8,'Ingredient Feel'!$E$2:$E$259,G8)=1,"Yes","No")</f>
        <v>Yes</v>
      </c>
      <c r="L8" s="13" t="n">
        <f aca="false">COUNTIFS('Ingredient Feel'!$L$2:$L$259,"*, "&amp;E8&amp;", *",'Ingredient Feel'!$B$2:$B$259,D8)-J8</f>
        <v>7</v>
      </c>
      <c r="M8" s="14" t="s">
        <v>2050</v>
      </c>
    </row>
    <row r="9" customFormat="false" ht="23.25" hidden="false" customHeight="true" outlineLevel="0" collapsed="false">
      <c r="A9" s="13" t="n">
        <v>8</v>
      </c>
      <c r="B9" s="15" t="s">
        <v>2051</v>
      </c>
      <c r="C9" s="16" t="s">
        <v>2052</v>
      </c>
      <c r="D9" s="15" t="s">
        <v>1067</v>
      </c>
      <c r="E9" s="15" t="s">
        <v>2053</v>
      </c>
      <c r="F9" s="15" t="s">
        <v>1336</v>
      </c>
      <c r="G9" s="15" t="s">
        <v>1341</v>
      </c>
      <c r="H9" s="15" t="s">
        <v>185</v>
      </c>
      <c r="I9" s="16" t="s">
        <v>2054</v>
      </c>
      <c r="J9" s="17" t="n">
        <f aca="false">COUNTIFS('Ingredient Feel'!$L$2:$L$259,"*, "&amp;E9&amp;", *",'Ingredient Feel'!$B$2:$B$259,D9,'Ingredient Feel'!$D$2:$D$259,F9,'Ingredient Feel'!$E$2:$E$259,G9)</f>
        <v>1</v>
      </c>
      <c r="K9" s="13" t="str">
        <f aca="false">IF(COUNTIFS('Ingredient Feel'!$A$2:$A$259,H9,'Ingredient Feel'!$L$2:$L$259,"*, "&amp;E9&amp;", *",'Ingredient Feel'!$D$2:$D$259,F9,'Ingredient Feel'!$E$2:$E$259,G9)=1,"Yes","No")</f>
        <v>Yes</v>
      </c>
      <c r="L9" s="13" t="n">
        <f aca="false">COUNTIFS('Ingredient Feel'!$L$2:$L$259,"*, "&amp;E9&amp;", *",'Ingredient Feel'!$B$2:$B$259,D9)-J9</f>
        <v>2</v>
      </c>
      <c r="M9" s="14" t="s">
        <v>2055</v>
      </c>
    </row>
    <row r="10" customFormat="false" ht="23.25" hidden="false" customHeight="true" outlineLevel="0" collapsed="false">
      <c r="A10" s="13" t="n">
        <v>9</v>
      </c>
      <c r="B10" s="15" t="s">
        <v>2056</v>
      </c>
      <c r="C10" s="16" t="s">
        <v>2057</v>
      </c>
      <c r="D10" s="15" t="s">
        <v>1067</v>
      </c>
      <c r="E10" s="15" t="s">
        <v>1544</v>
      </c>
      <c r="F10" s="15" t="s">
        <v>1336</v>
      </c>
      <c r="G10" s="15" t="s">
        <v>1341</v>
      </c>
      <c r="H10" s="15" t="s">
        <v>100</v>
      </c>
      <c r="I10" s="16" t="s">
        <v>2058</v>
      </c>
      <c r="J10" s="17" t="n">
        <f aca="false">COUNTIFS('Ingredient Feel'!$L$2:$L$259,"*, "&amp;E10&amp;", *",'Ingredient Feel'!$B$2:$B$259,D10,'Ingredient Feel'!$D$2:$D$259,F10,'Ingredient Feel'!$E$2:$E$259,G10)</f>
        <v>1</v>
      </c>
      <c r="K10" s="13" t="str">
        <f aca="false">IF(COUNTIFS('Ingredient Feel'!$A$2:$A$259,H10,'Ingredient Feel'!$L$2:$L$259,"*, "&amp;E10&amp;", *",'Ingredient Feel'!$D$2:$D$259,F10,'Ingredient Feel'!$E$2:$E$259,G10)=1,"Yes","No")</f>
        <v>Yes</v>
      </c>
      <c r="L10" s="13" t="n">
        <f aca="false">COUNTIFS('Ingredient Feel'!$L$2:$L$259,"*, "&amp;E10&amp;", *",'Ingredient Feel'!$B$2:$B$259,D10)-J10</f>
        <v>4</v>
      </c>
      <c r="M10" s="14" t="s">
        <v>2059</v>
      </c>
    </row>
    <row r="11" customFormat="false" ht="23.25" hidden="false" customHeight="true" outlineLevel="0" collapsed="false">
      <c r="A11" s="13" t="n">
        <v>10</v>
      </c>
      <c r="B11" s="15" t="s">
        <v>2056</v>
      </c>
      <c r="C11" s="16" t="s">
        <v>2060</v>
      </c>
      <c r="D11" s="15" t="s">
        <v>1067</v>
      </c>
      <c r="E11" s="15" t="s">
        <v>1544</v>
      </c>
      <c r="F11" s="15" t="s">
        <v>1345</v>
      </c>
      <c r="G11" s="15" t="s">
        <v>1341</v>
      </c>
      <c r="H11" s="15" t="s">
        <v>72</v>
      </c>
      <c r="I11" s="16" t="s">
        <v>2061</v>
      </c>
      <c r="J11" s="17" t="n">
        <f aca="false">COUNTIFS('Ingredient Feel'!$L$2:$L$259,"*, "&amp;E11&amp;", *",'Ingredient Feel'!$B$2:$B$259,D11,'Ingredient Feel'!$D$2:$D$259,F11,'Ingredient Feel'!$E$2:$E$259,G11)</f>
        <v>1</v>
      </c>
      <c r="K11" s="13" t="str">
        <f aca="false">IF(COUNTIFS('Ingredient Feel'!$A$2:$A$259,H11,'Ingredient Feel'!$L$2:$L$259,"*, "&amp;E11&amp;", *",'Ingredient Feel'!$D$2:$D$259,F11,'Ingredient Feel'!$E$2:$E$259,G11)=1,"Yes","No")</f>
        <v>Yes</v>
      </c>
      <c r="L11" s="13" t="n">
        <f aca="false">COUNTIFS('Ingredient Feel'!$L$2:$L$259,"*, "&amp;E11&amp;", *",'Ingredient Feel'!$B$2:$B$259,D11)-J11</f>
        <v>4</v>
      </c>
      <c r="M11" s="14" t="s">
        <v>2062</v>
      </c>
    </row>
    <row r="12" customFormat="false" ht="23.25" hidden="false" customHeight="true" outlineLevel="0" collapsed="false">
      <c r="A12" s="13" t="n">
        <v>11</v>
      </c>
      <c r="B12" s="15" t="s">
        <v>2033</v>
      </c>
      <c r="C12" s="16" t="s">
        <v>2063</v>
      </c>
      <c r="D12" s="15" t="s">
        <v>1067</v>
      </c>
      <c r="E12" s="15" t="s">
        <v>1972</v>
      </c>
      <c r="F12" s="15" t="s">
        <v>1352</v>
      </c>
      <c r="G12" s="15" t="s">
        <v>1337</v>
      </c>
      <c r="H12" s="15" t="s">
        <v>228</v>
      </c>
      <c r="I12" s="16" t="s">
        <v>2064</v>
      </c>
      <c r="J12" s="17" t="n">
        <f aca="false">COUNTIFS('Ingredient Feel'!$L$2:$L$259,"*, "&amp;E12&amp;", *",'Ingredient Feel'!$B$2:$B$259,D12,'Ingredient Feel'!$D$2:$D$259,F12,'Ingredient Feel'!$E$2:$E$259,G12)</f>
        <v>1</v>
      </c>
      <c r="K12" s="13" t="str">
        <f aca="false">IF(COUNTIFS('Ingredient Feel'!$A$2:$A$259,H12,'Ingredient Feel'!$L$2:$L$259,"*, "&amp;E12&amp;", *",'Ingredient Feel'!$D$2:$D$259,F12,'Ingredient Feel'!$E$2:$E$259,G12)=1,"Yes","No")</f>
        <v>Yes</v>
      </c>
      <c r="L12" s="13" t="n">
        <f aca="false">COUNTIFS('Ingredient Feel'!$L$2:$L$259,"*, "&amp;E12&amp;", *",'Ingredient Feel'!$B$2:$B$259,D12)-J12</f>
        <v>8</v>
      </c>
      <c r="M12" s="14" t="s">
        <v>2065</v>
      </c>
    </row>
    <row r="13" customFormat="false" ht="23.25" hidden="false" customHeight="true" outlineLevel="0" collapsed="false">
      <c r="A13" s="13" t="n">
        <v>12</v>
      </c>
      <c r="B13" s="15" t="s">
        <v>2033</v>
      </c>
      <c r="C13" s="16" t="s">
        <v>2066</v>
      </c>
      <c r="D13" s="15" t="s">
        <v>1067</v>
      </c>
      <c r="E13" s="15" t="s">
        <v>1458</v>
      </c>
      <c r="F13" s="15" t="s">
        <v>1352</v>
      </c>
      <c r="G13" s="15" t="s">
        <v>1341</v>
      </c>
      <c r="H13" s="15" t="s">
        <v>501</v>
      </c>
      <c r="I13" s="16" t="s">
        <v>2067</v>
      </c>
      <c r="J13" s="17" t="n">
        <f aca="false">COUNTIFS('Ingredient Feel'!$L$2:$L$259,"*, "&amp;E13&amp;", *",'Ingredient Feel'!$B$2:$B$259,D13,'Ingredient Feel'!$D$2:$D$259,F13,'Ingredient Feel'!$E$2:$E$259,G13)</f>
        <v>1</v>
      </c>
      <c r="K13" s="13" t="str">
        <f aca="false">IF(COUNTIFS('Ingredient Feel'!$A$2:$A$259,H13,'Ingredient Feel'!$L$2:$L$259,"*, "&amp;E13&amp;", *",'Ingredient Feel'!$D$2:$D$259,F13,'Ingredient Feel'!$E$2:$E$259,G13)=1,"Yes","No")</f>
        <v>Yes</v>
      </c>
      <c r="L13" s="13" t="n">
        <f aca="false">COUNTIFS('Ingredient Feel'!$L$2:$L$259,"*, "&amp;E13&amp;", *",'Ingredient Feel'!$B$2:$B$259,D13)-J13</f>
        <v>8</v>
      </c>
      <c r="M13" s="14" t="s">
        <v>2068</v>
      </c>
    </row>
    <row r="14" customFormat="false" ht="23.25" hidden="false" customHeight="true" outlineLevel="0" collapsed="false">
      <c r="A14" s="13" t="n">
        <v>13</v>
      </c>
      <c r="B14" s="15" t="s">
        <v>2033</v>
      </c>
      <c r="C14" s="16" t="s">
        <v>2069</v>
      </c>
      <c r="D14" s="15" t="s">
        <v>1067</v>
      </c>
      <c r="E14" s="15" t="s">
        <v>1496</v>
      </c>
      <c r="F14" s="15" t="s">
        <v>1336</v>
      </c>
      <c r="G14" s="15" t="s">
        <v>1337</v>
      </c>
      <c r="H14" s="15" t="s">
        <v>481</v>
      </c>
      <c r="I14" s="16" t="s">
        <v>2070</v>
      </c>
      <c r="J14" s="17" t="n">
        <f aca="false">COUNTIFS('Ingredient Feel'!$L$2:$L$259,"*, "&amp;E14&amp;", *",'Ingredient Feel'!$B$2:$B$259,D14,'Ingredient Feel'!$D$2:$D$259,F14,'Ingredient Feel'!$E$2:$E$259,G14)</f>
        <v>1</v>
      </c>
      <c r="K14" s="13" t="str">
        <f aca="false">IF(COUNTIFS('Ingredient Feel'!$A$2:$A$259,H14,'Ingredient Feel'!$L$2:$L$259,"*, "&amp;E14&amp;", *",'Ingredient Feel'!$D$2:$D$259,F14,'Ingredient Feel'!$E$2:$E$259,G14)=1,"Yes","No")</f>
        <v>Yes</v>
      </c>
      <c r="L14" s="13" t="n">
        <f aca="false">COUNTIFS('Ingredient Feel'!$L$2:$L$259,"*, "&amp;E14&amp;", *",'Ingredient Feel'!$B$2:$B$259,D14)-J14</f>
        <v>2</v>
      </c>
      <c r="M14" s="14" t="s">
        <v>2071</v>
      </c>
    </row>
    <row r="15" customFormat="false" ht="23.25" hidden="false" customHeight="true" outlineLevel="0" collapsed="false">
      <c r="A15" s="13" t="n">
        <v>14</v>
      </c>
      <c r="B15" s="15" t="s">
        <v>2033</v>
      </c>
      <c r="C15" s="16" t="s">
        <v>2072</v>
      </c>
      <c r="D15" s="15" t="s">
        <v>1067</v>
      </c>
      <c r="E15" s="15" t="s">
        <v>1605</v>
      </c>
      <c r="F15" s="15" t="s">
        <v>1352</v>
      </c>
      <c r="G15" s="15" t="s">
        <v>1337</v>
      </c>
      <c r="H15" s="15" t="s">
        <v>356</v>
      </c>
      <c r="I15" s="16" t="s">
        <v>2073</v>
      </c>
      <c r="J15" s="17" t="n">
        <f aca="false">COUNTIFS('Ingredient Feel'!$L$2:$L$259,"*, "&amp;E15&amp;", *",'Ingredient Feel'!$B$2:$B$259,D15,'Ingredient Feel'!$D$2:$D$259,F15,'Ingredient Feel'!$E$2:$E$259,G15)</f>
        <v>1</v>
      </c>
      <c r="K15" s="13" t="str">
        <f aca="false">IF(COUNTIFS('Ingredient Feel'!$A$2:$A$259,H15,'Ingredient Feel'!$L$2:$L$259,"*, "&amp;E15&amp;", *",'Ingredient Feel'!$D$2:$D$259,F15,'Ingredient Feel'!$E$2:$E$259,G15)=1,"Yes","No")</f>
        <v>Yes</v>
      </c>
      <c r="L15" s="13" t="n">
        <f aca="false">COUNTIFS('Ingredient Feel'!$L$2:$L$259,"*, "&amp;E15&amp;", *",'Ingredient Feel'!$B$2:$B$259,D15)-J15</f>
        <v>2</v>
      </c>
      <c r="M15" s="14" t="s">
        <v>2074</v>
      </c>
    </row>
    <row r="16" customFormat="false" ht="23.25" hidden="false" customHeight="true" outlineLevel="0" collapsed="false">
      <c r="A16" s="13" t="n">
        <v>15</v>
      </c>
      <c r="B16" s="15" t="s">
        <v>2033</v>
      </c>
      <c r="C16" s="16" t="s">
        <v>2075</v>
      </c>
      <c r="D16" s="15" t="s">
        <v>1067</v>
      </c>
      <c r="E16" s="15" t="s">
        <v>1526</v>
      </c>
      <c r="F16" s="15" t="s">
        <v>1352</v>
      </c>
      <c r="G16" s="15" t="s">
        <v>1341</v>
      </c>
      <c r="H16" s="15" t="s">
        <v>244</v>
      </c>
      <c r="I16" s="16" t="s">
        <v>2076</v>
      </c>
      <c r="J16" s="17" t="n">
        <f aca="false">COUNTIFS('Ingredient Feel'!$L$2:$L$259,"*, "&amp;E16&amp;", *",'Ingredient Feel'!$B$2:$B$259,D16,'Ingredient Feel'!$D$2:$D$259,F16,'Ingredient Feel'!$E$2:$E$259,G16)</f>
        <v>1</v>
      </c>
      <c r="K16" s="13" t="str">
        <f aca="false">IF(COUNTIFS('Ingredient Feel'!$A$2:$A$259,H16,'Ingredient Feel'!$L$2:$L$259,"*, "&amp;E16&amp;", *",'Ingredient Feel'!$D$2:$D$259,F16,'Ingredient Feel'!$E$2:$E$259,G16)=1,"Yes","No")</f>
        <v>Yes</v>
      </c>
      <c r="L16" s="13" t="n">
        <f aca="false">COUNTIFS('Ingredient Feel'!$L$2:$L$259,"*, "&amp;E16&amp;", *",'Ingredient Feel'!$B$2:$B$259,D16)-J16</f>
        <v>2</v>
      </c>
      <c r="M16" s="14" t="s">
        <v>2077</v>
      </c>
    </row>
    <row r="17" customFormat="false" ht="23.25" hidden="false" customHeight="true" outlineLevel="0" collapsed="false">
      <c r="A17" s="13" t="n">
        <v>16</v>
      </c>
      <c r="B17" s="15" t="s">
        <v>2078</v>
      </c>
      <c r="C17" s="16" t="s">
        <v>2079</v>
      </c>
      <c r="D17" s="15" t="s">
        <v>1067</v>
      </c>
      <c r="E17" s="15" t="s">
        <v>2080</v>
      </c>
      <c r="F17" s="15" t="s">
        <v>1336</v>
      </c>
      <c r="G17" s="15" t="s">
        <v>1341</v>
      </c>
      <c r="H17" s="15" t="s">
        <v>230</v>
      </c>
      <c r="I17" s="16" t="s">
        <v>2081</v>
      </c>
      <c r="J17" s="17" t="n">
        <f aca="false">COUNTIFS('Ingredient Feel'!$L$2:$L$259,"*, "&amp;E17&amp;", *",'Ingredient Feel'!$B$2:$B$259,D17,'Ingredient Feel'!$D$2:$D$259,F17,'Ingredient Feel'!$E$2:$E$259,G17)</f>
        <v>1</v>
      </c>
      <c r="K17" s="13" t="str">
        <f aca="false">IF(COUNTIFS('Ingredient Feel'!$A$2:$A$259,H17,'Ingredient Feel'!$L$2:$L$259,"*, "&amp;E17&amp;", *",'Ingredient Feel'!$D$2:$D$259,F17,'Ingredient Feel'!$E$2:$E$259,G17)=1,"Yes","No")</f>
        <v>Yes</v>
      </c>
      <c r="L17" s="13" t="n">
        <f aca="false">COUNTIFS('Ingredient Feel'!$L$2:$L$259,"*, "&amp;E17&amp;", *",'Ingredient Feel'!$B$2:$B$259,D17)-J17</f>
        <v>2</v>
      </c>
      <c r="M17" s="14" t="s">
        <v>2082</v>
      </c>
    </row>
    <row r="18" customFormat="false" ht="23.25" hidden="false" customHeight="true" outlineLevel="0" collapsed="false">
      <c r="A18" s="13" t="n">
        <v>17</v>
      </c>
      <c r="B18" s="15" t="s">
        <v>2028</v>
      </c>
      <c r="C18" s="16" t="s">
        <v>2083</v>
      </c>
      <c r="D18" s="15" t="s">
        <v>1067</v>
      </c>
      <c r="E18" s="15" t="s">
        <v>2084</v>
      </c>
      <c r="F18" s="15" t="s">
        <v>1336</v>
      </c>
      <c r="G18" s="15" t="s">
        <v>1337</v>
      </c>
      <c r="H18" s="15" t="s">
        <v>460</v>
      </c>
      <c r="I18" s="16" t="s">
        <v>2085</v>
      </c>
      <c r="J18" s="17" t="n">
        <f aca="false">COUNTIFS('Ingredient Feel'!$L$2:$L$259,"*, "&amp;E18&amp;", *",'Ingredient Feel'!$B$2:$B$259,D18,'Ingredient Feel'!$D$2:$D$259,F18,'Ingredient Feel'!$E$2:$E$259,G18)</f>
        <v>1</v>
      </c>
      <c r="K18" s="13" t="str">
        <f aca="false">IF(COUNTIFS('Ingredient Feel'!$A$2:$A$259,H18,'Ingredient Feel'!$L$2:$L$259,"*, "&amp;E18&amp;", *",'Ingredient Feel'!$D$2:$D$259,F18,'Ingredient Feel'!$E$2:$E$259,G18)=1,"Yes","No")</f>
        <v>Yes</v>
      </c>
      <c r="L18" s="13" t="n">
        <f aca="false">COUNTIFS('Ingredient Feel'!$L$2:$L$259,"*, "&amp;E18&amp;", *",'Ingredient Feel'!$B$2:$B$259,D18)-J18</f>
        <v>3</v>
      </c>
      <c r="M18" s="14" t="s">
        <v>2086</v>
      </c>
    </row>
    <row r="19" customFormat="false" ht="23.25" hidden="false" customHeight="true" outlineLevel="0" collapsed="false">
      <c r="A19" s="13" t="n">
        <v>18</v>
      </c>
      <c r="B19" s="15" t="s">
        <v>2033</v>
      </c>
      <c r="C19" s="16" t="s">
        <v>2087</v>
      </c>
      <c r="D19" s="15" t="s">
        <v>1067</v>
      </c>
      <c r="E19" s="15" t="s">
        <v>2088</v>
      </c>
      <c r="F19" s="15" t="s">
        <v>1336</v>
      </c>
      <c r="G19" s="15" t="s">
        <v>1337</v>
      </c>
      <c r="H19" s="15" t="s">
        <v>469</v>
      </c>
      <c r="I19" s="16" t="s">
        <v>2089</v>
      </c>
      <c r="J19" s="17" t="n">
        <f aca="false">COUNTIFS('Ingredient Feel'!$L$2:$L$259,"*, "&amp;E19&amp;", *",'Ingredient Feel'!$B$2:$B$259,D19,'Ingredient Feel'!$D$2:$D$259,F19,'Ingredient Feel'!$E$2:$E$259,G19)</f>
        <v>1</v>
      </c>
      <c r="K19" s="13" t="str">
        <f aca="false">IF(COUNTIFS('Ingredient Feel'!$A$2:$A$259,H19,'Ingredient Feel'!$L$2:$L$259,"*, "&amp;E19&amp;", *",'Ingredient Feel'!$D$2:$D$259,F19,'Ingredient Feel'!$E$2:$E$259,G19)=1,"Yes","No")</f>
        <v>Yes</v>
      </c>
      <c r="L19" s="13" t="n">
        <f aca="false">COUNTIFS('Ingredient Feel'!$L$2:$L$259,"*, "&amp;E19&amp;", *",'Ingredient Feel'!$B$2:$B$259,D19)-J19</f>
        <v>3</v>
      </c>
      <c r="M19" s="14" t="s">
        <v>2090</v>
      </c>
    </row>
    <row r="20" customFormat="false" ht="23.25" hidden="false" customHeight="true" outlineLevel="0" collapsed="false">
      <c r="A20" s="13" t="n">
        <v>19</v>
      </c>
      <c r="B20" s="15" t="s">
        <v>2091</v>
      </c>
      <c r="C20" s="16" t="s">
        <v>2092</v>
      </c>
      <c r="D20" s="15" t="s">
        <v>1197</v>
      </c>
      <c r="E20" s="15" t="s">
        <v>1589</v>
      </c>
      <c r="F20" s="15" t="s">
        <v>1336</v>
      </c>
      <c r="G20" s="15" t="s">
        <v>1341</v>
      </c>
      <c r="H20" s="15" t="s">
        <v>338</v>
      </c>
      <c r="I20" s="16" t="s">
        <v>2093</v>
      </c>
      <c r="J20" s="17" t="n">
        <f aca="false">COUNTIFS('Ingredient Feel'!$L$2:$L$259,"*, "&amp;E20&amp;", *",'Ingredient Feel'!$B$2:$B$259,D20,'Ingredient Feel'!$D$2:$D$259,F20,'Ingredient Feel'!$E$2:$E$259,G20)</f>
        <v>1</v>
      </c>
      <c r="K20" s="13" t="str">
        <f aca="false">IF(COUNTIFS('Ingredient Feel'!$A$2:$A$259,H20,'Ingredient Feel'!$L$2:$L$259,"*, "&amp;E20&amp;", *",'Ingredient Feel'!$D$2:$D$259,F20,'Ingredient Feel'!$E$2:$E$259,G20)=1,"Yes","No")</f>
        <v>Yes</v>
      </c>
      <c r="L20" s="13" t="n">
        <f aca="false">COUNTIFS('Ingredient Feel'!$L$2:$L$259,"*, "&amp;E20&amp;", *",'Ingredient Feel'!$B$2:$B$259,D20)-J20</f>
        <v>2</v>
      </c>
      <c r="M20" s="14" t="s">
        <v>2094</v>
      </c>
    </row>
    <row r="21" customFormat="false" ht="23.25" hidden="false" customHeight="true" outlineLevel="0" collapsed="false">
      <c r="A21" s="13" t="n">
        <v>20</v>
      </c>
      <c r="B21" s="15" t="s">
        <v>2033</v>
      </c>
      <c r="C21" s="16" t="s">
        <v>2095</v>
      </c>
      <c r="D21" s="15" t="s">
        <v>1197</v>
      </c>
      <c r="E21" s="15" t="s">
        <v>2096</v>
      </c>
      <c r="F21" s="15" t="s">
        <v>1345</v>
      </c>
      <c r="G21" s="15" t="s">
        <v>1341</v>
      </c>
      <c r="H21" s="15" t="s">
        <v>214</v>
      </c>
      <c r="I21" s="16" t="s">
        <v>2097</v>
      </c>
      <c r="J21" s="17" t="n">
        <f aca="false">COUNTIFS('Ingredient Feel'!$L$2:$L$259,"*, "&amp;E21&amp;", *",'Ingredient Feel'!$B$2:$B$259,D21,'Ingredient Feel'!$D$2:$D$259,F21,'Ingredient Feel'!$E$2:$E$259,G21)</f>
        <v>1</v>
      </c>
      <c r="K21" s="13" t="str">
        <f aca="false">IF(COUNTIFS('Ingredient Feel'!$A$2:$A$259,H21,'Ingredient Feel'!$L$2:$L$259,"*, "&amp;E21&amp;", *",'Ingredient Feel'!$D$2:$D$259,F21,'Ingredient Feel'!$E$2:$E$259,G21)=1,"Yes","No")</f>
        <v>Yes</v>
      </c>
      <c r="L21" s="13" t="n">
        <f aca="false">COUNTIFS('Ingredient Feel'!$L$2:$L$259,"*, "&amp;E21&amp;", *",'Ingredient Feel'!$B$2:$B$259,D21)-J21</f>
        <v>2</v>
      </c>
      <c r="M21" s="14" t="s">
        <v>2098</v>
      </c>
    </row>
    <row r="22" customFormat="false" ht="23.25" hidden="false" customHeight="true" outlineLevel="0" collapsed="false">
      <c r="A22" s="13" t="n">
        <v>21</v>
      </c>
      <c r="B22" s="15" t="s">
        <v>2033</v>
      </c>
      <c r="C22" s="16" t="s">
        <v>2099</v>
      </c>
      <c r="D22" s="15" t="s">
        <v>1197</v>
      </c>
      <c r="E22" s="15" t="s">
        <v>2096</v>
      </c>
      <c r="F22" s="15" t="s">
        <v>1336</v>
      </c>
      <c r="G22" s="15" t="s">
        <v>1337</v>
      </c>
      <c r="H22" s="15" t="s">
        <v>615</v>
      </c>
      <c r="I22" s="16" t="s">
        <v>2100</v>
      </c>
      <c r="J22" s="17" t="n">
        <f aca="false">COUNTIFS('Ingredient Feel'!$L$2:$L$259,"*, "&amp;E22&amp;", *",'Ingredient Feel'!$B$2:$B$259,D22,'Ingredient Feel'!$D$2:$D$259,F22,'Ingredient Feel'!$E$2:$E$259,G22)</f>
        <v>1</v>
      </c>
      <c r="K22" s="13" t="str">
        <f aca="false">IF(COUNTIFS('Ingredient Feel'!$A$2:$A$259,H22,'Ingredient Feel'!$L$2:$L$259,"*, "&amp;E22&amp;", *",'Ingredient Feel'!$D$2:$D$259,F22,'Ingredient Feel'!$E$2:$E$259,G22)=1,"Yes","No")</f>
        <v>Yes</v>
      </c>
      <c r="L22" s="13" t="n">
        <f aca="false">COUNTIFS('Ingredient Feel'!$L$2:$L$259,"*, "&amp;E22&amp;", *",'Ingredient Feel'!$B$2:$B$259,D22)-J22</f>
        <v>2</v>
      </c>
      <c r="M22" s="14" t="s">
        <v>2101</v>
      </c>
    </row>
    <row r="23" customFormat="false" ht="23.25" hidden="false" customHeight="true" outlineLevel="0" collapsed="false">
      <c r="A23" s="13" t="n">
        <v>22</v>
      </c>
      <c r="B23" s="15" t="s">
        <v>2102</v>
      </c>
      <c r="C23" s="16" t="s">
        <v>2103</v>
      </c>
      <c r="D23" s="15" t="s">
        <v>1197</v>
      </c>
      <c r="E23" s="15" t="s">
        <v>2104</v>
      </c>
      <c r="F23" s="15" t="s">
        <v>1345</v>
      </c>
      <c r="G23" s="15" t="s">
        <v>1337</v>
      </c>
      <c r="H23" s="15" t="s">
        <v>89</v>
      </c>
      <c r="I23" s="16" t="s">
        <v>2105</v>
      </c>
      <c r="J23" s="17" t="n">
        <f aca="false">COUNTIFS('Ingredient Feel'!$L$2:$L$259,"*, "&amp;E23&amp;", *",'Ingredient Feel'!$B$2:$B$259,D23,'Ingredient Feel'!$D$2:$D$259,F23,'Ingredient Feel'!$E$2:$E$259,G23)</f>
        <v>1</v>
      </c>
      <c r="K23" s="13" t="str">
        <f aca="false">IF(COUNTIFS('Ingredient Feel'!$A$2:$A$259,H23,'Ingredient Feel'!$L$2:$L$259,"*, "&amp;E23&amp;", *",'Ingredient Feel'!$D$2:$D$259,F23,'Ingredient Feel'!$E$2:$E$259,G23)=1,"Yes","No")</f>
        <v>Yes</v>
      </c>
      <c r="L23" s="13" t="n">
        <f aca="false">COUNTIFS('Ingredient Feel'!$L$2:$L$259,"*, "&amp;E23&amp;", *",'Ingredient Feel'!$B$2:$B$259,D23)-J23</f>
        <v>3</v>
      </c>
      <c r="M23" s="14" t="s">
        <v>2106</v>
      </c>
    </row>
    <row r="24" customFormat="false" ht="23.25" hidden="false" customHeight="true" outlineLevel="0" collapsed="false">
      <c r="A24" s="13" t="n">
        <v>23</v>
      </c>
      <c r="B24" s="15" t="s">
        <v>2033</v>
      </c>
      <c r="C24" s="16" t="s">
        <v>2107</v>
      </c>
      <c r="D24" s="15" t="s">
        <v>1197</v>
      </c>
      <c r="E24" s="15" t="s">
        <v>2104</v>
      </c>
      <c r="F24" s="15" t="s">
        <v>1336</v>
      </c>
      <c r="G24" s="15" t="s">
        <v>1341</v>
      </c>
      <c r="H24" s="15" t="s">
        <v>132</v>
      </c>
      <c r="I24" s="16" t="s">
        <v>2108</v>
      </c>
      <c r="J24" s="17" t="n">
        <f aca="false">COUNTIFS('Ingredient Feel'!$L$2:$L$259,"*, "&amp;E24&amp;", *",'Ingredient Feel'!$B$2:$B$259,D24,'Ingredient Feel'!$D$2:$D$259,F24,'Ingredient Feel'!$E$2:$E$259,G24)</f>
        <v>1</v>
      </c>
      <c r="K24" s="13" t="str">
        <f aca="false">IF(COUNTIFS('Ingredient Feel'!$A$2:$A$259,H24,'Ingredient Feel'!$L$2:$L$259,"*, "&amp;E24&amp;", *",'Ingredient Feel'!$D$2:$D$259,F24,'Ingredient Feel'!$E$2:$E$259,G24)=1,"Yes","No")</f>
        <v>Yes</v>
      </c>
      <c r="L24" s="13" t="n">
        <f aca="false">COUNTIFS('Ingredient Feel'!$L$2:$L$259,"*, "&amp;E24&amp;", *",'Ingredient Feel'!$B$2:$B$259,D24)-J24</f>
        <v>3</v>
      </c>
      <c r="M24" s="14" t="s">
        <v>2109</v>
      </c>
    </row>
    <row r="25" customFormat="false" ht="23.25" hidden="false" customHeight="true" outlineLevel="0" collapsed="false">
      <c r="A25" s="13" t="n">
        <v>24</v>
      </c>
      <c r="B25" s="15" t="s">
        <v>2033</v>
      </c>
      <c r="C25" s="16" t="s">
        <v>2110</v>
      </c>
      <c r="D25" s="15" t="s">
        <v>1197</v>
      </c>
      <c r="E25" s="15" t="s">
        <v>2088</v>
      </c>
      <c r="F25" s="15" t="s">
        <v>1336</v>
      </c>
      <c r="G25" s="15" t="s">
        <v>1341</v>
      </c>
      <c r="H25" s="15" t="s">
        <v>587</v>
      </c>
      <c r="I25" s="16" t="s">
        <v>2111</v>
      </c>
      <c r="J25" s="17" t="n">
        <f aca="false">COUNTIFS('Ingredient Feel'!$L$2:$L$259,"*, "&amp;E25&amp;", *",'Ingredient Feel'!$B$2:$B$259,D25,'Ingredient Feel'!$D$2:$D$259,F25,'Ingredient Feel'!$E$2:$E$259,G25)</f>
        <v>1</v>
      </c>
      <c r="K25" s="13" t="str">
        <f aca="false">IF(COUNTIFS('Ingredient Feel'!$A$2:$A$259,H25,'Ingredient Feel'!$L$2:$L$259,"*, "&amp;E25&amp;", *",'Ingredient Feel'!$D$2:$D$259,F25,'Ingredient Feel'!$E$2:$E$259,G25)=1,"Yes","No")</f>
        <v>Yes</v>
      </c>
      <c r="L25" s="13" t="n">
        <f aca="false">COUNTIFS('Ingredient Feel'!$L$2:$L$259,"*, "&amp;E25&amp;", *",'Ingredient Feel'!$B$2:$B$259,D25)-J25</f>
        <v>3</v>
      </c>
      <c r="M25" s="14" t="s">
        <v>2112</v>
      </c>
    </row>
    <row r="26" customFormat="false" ht="23.25" hidden="false" customHeight="true" outlineLevel="0" collapsed="false">
      <c r="A26" s="13" t="n">
        <v>25</v>
      </c>
      <c r="B26" s="15" t="s">
        <v>2033</v>
      </c>
      <c r="C26" s="16" t="s">
        <v>2113</v>
      </c>
      <c r="D26" s="15" t="s">
        <v>1197</v>
      </c>
      <c r="E26" s="15" t="s">
        <v>1587</v>
      </c>
      <c r="F26" s="15" t="s">
        <v>1352</v>
      </c>
      <c r="G26" s="15" t="s">
        <v>1337</v>
      </c>
      <c r="H26" s="15" t="s">
        <v>291</v>
      </c>
      <c r="I26" s="16" t="s">
        <v>2114</v>
      </c>
      <c r="J26" s="17" t="n">
        <f aca="false">COUNTIFS('Ingredient Feel'!$L$2:$L$259,"*, "&amp;E26&amp;", *",'Ingredient Feel'!$B$2:$B$259,D26,'Ingredient Feel'!$D$2:$D$259,F26,'Ingredient Feel'!$E$2:$E$259,G26)</f>
        <v>1</v>
      </c>
      <c r="K26" s="13" t="str">
        <f aca="false">IF(COUNTIFS('Ingredient Feel'!$A$2:$A$259,H26,'Ingredient Feel'!$L$2:$L$259,"*, "&amp;E26&amp;", *",'Ingredient Feel'!$D$2:$D$259,F26,'Ingredient Feel'!$E$2:$E$259,G26)=1,"Yes","No")</f>
        <v>Yes</v>
      </c>
      <c r="L26" s="13" t="n">
        <f aca="false">COUNTIFS('Ingredient Feel'!$L$2:$L$259,"*, "&amp;E26&amp;", *",'Ingredient Feel'!$B$2:$B$259,D26)-J26</f>
        <v>7</v>
      </c>
      <c r="M26" s="14" t="s">
        <v>2115</v>
      </c>
    </row>
    <row r="27" customFormat="false" ht="23.25" hidden="false" customHeight="true" outlineLevel="0" collapsed="false">
      <c r="A27" s="13" t="n">
        <v>26</v>
      </c>
      <c r="B27" s="15" t="s">
        <v>2033</v>
      </c>
      <c r="C27" s="16" t="s">
        <v>2116</v>
      </c>
      <c r="D27" s="15" t="s">
        <v>1197</v>
      </c>
      <c r="E27" s="15" t="s">
        <v>1956</v>
      </c>
      <c r="F27" s="15" t="s">
        <v>1352</v>
      </c>
      <c r="G27" s="15" t="s">
        <v>1341</v>
      </c>
      <c r="H27" s="15" t="s">
        <v>263</v>
      </c>
      <c r="I27" s="16" t="s">
        <v>2117</v>
      </c>
      <c r="J27" s="17" t="n">
        <f aca="false">COUNTIFS('Ingredient Feel'!$L$2:$L$259,"*, "&amp;E27&amp;", *",'Ingredient Feel'!$B$2:$B$259,D27,'Ingredient Feel'!$D$2:$D$259,F27,'Ingredient Feel'!$E$2:$E$259,G27)</f>
        <v>1</v>
      </c>
      <c r="K27" s="13" t="str">
        <f aca="false">IF(COUNTIFS('Ingredient Feel'!$A$2:$A$259,H27,'Ingredient Feel'!$L$2:$L$259,"*, "&amp;E27&amp;", *",'Ingredient Feel'!$D$2:$D$259,F27,'Ingredient Feel'!$E$2:$E$259,G27)=1,"Yes","No")</f>
        <v>Yes</v>
      </c>
      <c r="L27" s="13" t="n">
        <f aca="false">COUNTIFS('Ingredient Feel'!$L$2:$L$259,"*, "&amp;E27&amp;", *",'Ingredient Feel'!$B$2:$B$259,D27)-J27</f>
        <v>3</v>
      </c>
      <c r="M27" s="14" t="s">
        <v>2118</v>
      </c>
    </row>
    <row r="28" customFormat="false" ht="23.25" hidden="false" customHeight="true" outlineLevel="0" collapsed="false">
      <c r="A28" s="13" t="n">
        <v>27</v>
      </c>
      <c r="B28" s="15" t="s">
        <v>2028</v>
      </c>
      <c r="C28" s="16" t="s">
        <v>2119</v>
      </c>
      <c r="D28" s="15" t="s">
        <v>1197</v>
      </c>
      <c r="E28" s="15" t="s">
        <v>2120</v>
      </c>
      <c r="F28" s="15" t="s">
        <v>1336</v>
      </c>
      <c r="G28" s="15" t="s">
        <v>1337</v>
      </c>
      <c r="H28" s="15" t="s">
        <v>447</v>
      </c>
      <c r="I28" s="16" t="s">
        <v>2121</v>
      </c>
      <c r="J28" s="17" t="n">
        <f aca="false">COUNTIFS('Ingredient Feel'!$L$2:$L$259,"*, "&amp;E28&amp;", *",'Ingredient Feel'!$B$2:$B$259,D28,'Ingredient Feel'!$D$2:$D$259,F28,'Ingredient Feel'!$E$2:$E$259,G28)</f>
        <v>1</v>
      </c>
      <c r="K28" s="13" t="str">
        <f aca="false">IF(COUNTIFS('Ingredient Feel'!$A$2:$A$259,H28,'Ingredient Feel'!$L$2:$L$259,"*, "&amp;E28&amp;", *",'Ingredient Feel'!$D$2:$D$259,F28,'Ingredient Feel'!$E$2:$E$259,G28)=1,"Yes","No")</f>
        <v>Yes</v>
      </c>
      <c r="L28" s="13" t="n">
        <f aca="false">COUNTIFS('Ingredient Feel'!$L$2:$L$259,"*, "&amp;E28&amp;", *",'Ingredient Feel'!$B$2:$B$259,D28)-J28</f>
        <v>2</v>
      </c>
      <c r="M28" s="14" t="s">
        <v>2122</v>
      </c>
    </row>
  </sheetData>
  <autoFilter ref="A1:M28"/>
  <conditionalFormatting sqref="J2:J28">
    <cfRule type="expression" priority="2" aboveAverage="0" equalAverage="0" bottom="0" percent="0" rank="0" text="" dxfId="4">
      <formula>J2&lt;&gt;1</formula>
    </cfRule>
  </conditionalFormatting>
  <conditionalFormatting sqref="K2:K28">
    <cfRule type="expression" priority="3" aboveAverage="0" equalAverage="0" bottom="0" percent="0" rank="0" text="" dxfId="4">
      <formula>K2="No"</formula>
    </cfRule>
  </conditionalFormatting>
  <dataValidations count="3">
    <dataValidation allowBlank="false" errorStyle="stop" operator="between" showDropDown="false" showErrorMessage="false" showInputMessage="false" sqref="D2:D28" type="list">
      <formula1>"Herbs &amp; flowers,Crystals"</formula1>
      <formula2>0</formula2>
    </dataValidation>
    <dataValidation allowBlank="false" errorStyle="stop" operator="between" showDropDown="false" showErrorMessage="false" showInputMessage="false" sqref="F2:F28" type="list">
      <formula1>"Body,Mind,Space"</formula1>
      <formula2>0</formula2>
    </dataValidation>
    <dataValidation allowBlank="false" errorStyle="stop" operator="between" showDropDown="false" showErrorMessage="false" showInputMessage="false" sqref="G2:G28" type="list">
      <formula1>"Gentle,Strong"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8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3" min="2" style="1" width="10"/>
    <col collapsed="false" customWidth="true" hidden="false" outlineLevel="0" max="4" min="4" style="1" width="22"/>
    <col collapsed="false" customWidth="true" hidden="false" outlineLevel="0" max="5" min="5" style="1" width="13"/>
    <col collapsed="false" customWidth="true" hidden="false" outlineLevel="0" max="6" min="6" style="1" width="9"/>
    <col collapsed="false" customWidth="true" hidden="false" outlineLevel="0" max="7" min="7" style="1" width="8"/>
    <col collapsed="false" customWidth="true" hidden="false" outlineLevel="0" max="8" min="8" style="1" width="5"/>
    <col collapsed="false" customWidth="true" hidden="false" outlineLevel="0" max="9" min="9" style="1" width="30"/>
    <col collapsed="false" customWidth="true" hidden="false" outlineLevel="0" max="10" min="10" style="1" width="13"/>
    <col collapsed="false" customWidth="true" hidden="false" outlineLevel="0" max="11" min="11" style="1" width="26"/>
    <col collapsed="false" customWidth="true" hidden="false" outlineLevel="0" max="12" min="12" style="1" width="7"/>
    <col collapsed="false" customWidth="true" hidden="false" outlineLevel="0" max="13" min="13" style="1" width="40"/>
    <col collapsed="false" customWidth="true" hidden="false" outlineLevel="0" max="14" min="14" style="1" width="8"/>
    <col collapsed="false" customWidth="true" hidden="false" outlineLevel="0" max="15" min="15" style="1" width="28"/>
    <col collapsed="false" customWidth="true" hidden="false" outlineLevel="0" max="16" min="16" style="1" width="18"/>
  </cols>
  <sheetData>
    <row r="1" customFormat="false" ht="15" hidden="false" customHeight="true" outlineLevel="0" collapsed="false">
      <c r="A1" s="4" t="s">
        <v>2123</v>
      </c>
      <c r="B1" s="4" t="s">
        <v>2124</v>
      </c>
      <c r="C1" s="4" t="s">
        <v>2125</v>
      </c>
      <c r="D1" s="4" t="s">
        <v>2126</v>
      </c>
      <c r="E1" s="4" t="s">
        <v>2127</v>
      </c>
      <c r="F1" s="4" t="s">
        <v>2128</v>
      </c>
      <c r="G1" s="4" t="s">
        <v>2129</v>
      </c>
      <c r="H1" s="4" t="s">
        <v>2013</v>
      </c>
      <c r="I1" s="4" t="s">
        <v>2130</v>
      </c>
      <c r="J1" s="4" t="s">
        <v>2131</v>
      </c>
      <c r="K1" s="4" t="s">
        <v>868</v>
      </c>
      <c r="L1" s="4" t="s">
        <v>2132</v>
      </c>
      <c r="M1" s="4" t="s">
        <v>2133</v>
      </c>
      <c r="N1" s="4" t="s">
        <v>2134</v>
      </c>
      <c r="O1" s="4" t="s">
        <v>2135</v>
      </c>
      <c r="P1" s="4" t="s">
        <v>2136</v>
      </c>
    </row>
    <row r="2" customFormat="false" ht="15" hidden="false" customHeight="true" outlineLevel="0" collapsed="false">
      <c r="A2" s="13" t="n">
        <v>1</v>
      </c>
      <c r="B2" s="13" t="s">
        <v>2137</v>
      </c>
      <c r="C2" s="13" t="s">
        <v>934</v>
      </c>
      <c r="D2" s="13" t="s">
        <v>2138</v>
      </c>
      <c r="E2" s="13" t="s">
        <v>2139</v>
      </c>
      <c r="F2" s="13" t="s">
        <v>2140</v>
      </c>
      <c r="G2" s="13"/>
      <c r="H2" s="13" t="n">
        <v>179</v>
      </c>
      <c r="I2" s="14" t="s">
        <v>765</v>
      </c>
      <c r="J2" s="13" t="s">
        <v>38</v>
      </c>
      <c r="K2" s="14" t="s">
        <v>943</v>
      </c>
      <c r="L2" s="17" t="n">
        <f aca="false">IF(M2="",0,LEN(M2)-LEN(SUBSTITUTE(M2,",",""))+1)</f>
        <v>2</v>
      </c>
      <c r="M2" s="14" t="s">
        <v>2141</v>
      </c>
      <c r="N2" s="13" t="n">
        <v>1</v>
      </c>
      <c r="O2" s="14"/>
      <c r="P2" s="13" t="s">
        <v>2142</v>
      </c>
    </row>
    <row r="3" customFormat="false" ht="15" hidden="false" customHeight="true" outlineLevel="0" collapsed="false">
      <c r="A3" s="13" t="n">
        <v>1</v>
      </c>
      <c r="B3" s="13" t="s">
        <v>2137</v>
      </c>
      <c r="C3" s="13" t="s">
        <v>934</v>
      </c>
      <c r="D3" s="13" t="s">
        <v>2138</v>
      </c>
      <c r="E3" s="13" t="s">
        <v>2139</v>
      </c>
      <c r="F3" s="13" t="s">
        <v>984</v>
      </c>
      <c r="G3" s="13"/>
      <c r="H3" s="13" t="n">
        <v>194</v>
      </c>
      <c r="I3" s="14" t="s">
        <v>791</v>
      </c>
      <c r="J3" s="13" t="s">
        <v>106</v>
      </c>
      <c r="K3" s="14" t="s">
        <v>943</v>
      </c>
      <c r="L3" s="17" t="n">
        <f aca="false">IF(M3="",0,LEN(M3)-LEN(SUBSTITUTE(M3,",",""))+1)</f>
        <v>2</v>
      </c>
      <c r="M3" s="14" t="s">
        <v>2143</v>
      </c>
      <c r="N3" s="13" t="n">
        <v>1</v>
      </c>
      <c r="O3" s="14"/>
      <c r="P3" s="13" t="s">
        <v>2142</v>
      </c>
    </row>
    <row r="4" customFormat="false" ht="15" hidden="false" customHeight="true" outlineLevel="0" collapsed="false">
      <c r="A4" s="13" t="n">
        <v>2</v>
      </c>
      <c r="B4" s="13" t="s">
        <v>2137</v>
      </c>
      <c r="C4" s="13" t="s">
        <v>987</v>
      </c>
      <c r="D4" s="13" t="s">
        <v>1001</v>
      </c>
      <c r="E4" s="13" t="s">
        <v>1018</v>
      </c>
      <c r="F4" s="13" t="s">
        <v>1002</v>
      </c>
      <c r="G4" s="13"/>
      <c r="H4" s="13" t="n">
        <v>202</v>
      </c>
      <c r="I4" s="14" t="s">
        <v>803</v>
      </c>
      <c r="J4" s="13" t="s">
        <v>137</v>
      </c>
      <c r="K4" s="14" t="s">
        <v>987</v>
      </c>
      <c r="L4" s="17" t="n">
        <f aca="false">IF(M4="",0,LEN(M4)-LEN(SUBSTITUTE(M4,",",""))+1)</f>
        <v>2</v>
      </c>
      <c r="M4" s="14" t="s">
        <v>2144</v>
      </c>
      <c r="N4" s="13" t="n">
        <v>1</v>
      </c>
      <c r="O4" s="14"/>
      <c r="P4" s="13" t="s">
        <v>2142</v>
      </c>
    </row>
    <row r="5" customFormat="false" ht="15" hidden="false" customHeight="true" outlineLevel="0" collapsed="false">
      <c r="A5" s="13" t="n">
        <v>3</v>
      </c>
      <c r="B5" s="13" t="s">
        <v>2137</v>
      </c>
      <c r="C5" s="13" t="s">
        <v>978</v>
      </c>
      <c r="D5" s="13" t="s">
        <v>995</v>
      </c>
      <c r="E5" s="13" t="s">
        <v>931</v>
      </c>
      <c r="F5" s="13" t="s">
        <v>979</v>
      </c>
      <c r="G5" s="13"/>
      <c r="H5" s="13" t="n">
        <v>181</v>
      </c>
      <c r="I5" s="14" t="s">
        <v>768</v>
      </c>
      <c r="J5" s="13" t="s">
        <v>148</v>
      </c>
      <c r="K5" s="14" t="s">
        <v>995</v>
      </c>
      <c r="L5" s="17" t="n">
        <f aca="false">IF(M5="",0,LEN(M5)-LEN(SUBSTITUTE(M5,",",""))+1)</f>
        <v>3</v>
      </c>
      <c r="M5" s="14" t="s">
        <v>2145</v>
      </c>
      <c r="N5" s="13" t="n">
        <v>4</v>
      </c>
      <c r="O5" s="14"/>
      <c r="P5" s="13" t="s">
        <v>2142</v>
      </c>
    </row>
    <row r="6" customFormat="false" ht="15" hidden="false" customHeight="true" outlineLevel="0" collapsed="false">
      <c r="A6" s="13" t="n">
        <v>4</v>
      </c>
      <c r="B6" s="13" t="s">
        <v>2137</v>
      </c>
      <c r="C6" s="13" t="s">
        <v>904</v>
      </c>
      <c r="D6" s="13" t="s">
        <v>971</v>
      </c>
      <c r="E6" s="13" t="s">
        <v>972</v>
      </c>
      <c r="F6" s="13" t="s">
        <v>979</v>
      </c>
      <c r="G6" s="13"/>
      <c r="H6" s="13" t="n">
        <v>49</v>
      </c>
      <c r="I6" s="14" t="s">
        <v>418</v>
      </c>
      <c r="J6" s="13" t="s">
        <v>171</v>
      </c>
      <c r="K6" s="14" t="s">
        <v>943</v>
      </c>
      <c r="L6" s="17" t="n">
        <f aca="false">IF(M6="",0,LEN(M6)-LEN(SUBSTITUTE(M6,",",""))+1)</f>
        <v>4</v>
      </c>
      <c r="M6" s="14" t="s">
        <v>2146</v>
      </c>
      <c r="N6" s="13" t="n">
        <v>0</v>
      </c>
      <c r="O6" s="14"/>
      <c r="P6" s="13" t="s">
        <v>2142</v>
      </c>
    </row>
    <row r="7" customFormat="false" ht="15" hidden="false" customHeight="true" outlineLevel="0" collapsed="false">
      <c r="A7" s="13" t="n">
        <v>5</v>
      </c>
      <c r="B7" s="13" t="s">
        <v>2137</v>
      </c>
      <c r="C7" s="13" t="s">
        <v>958</v>
      </c>
      <c r="D7" s="13" t="s">
        <v>2147</v>
      </c>
      <c r="E7" s="13" t="s">
        <v>1029</v>
      </c>
      <c r="F7" s="13" t="s">
        <v>1002</v>
      </c>
      <c r="G7" s="13"/>
      <c r="H7" s="13" t="n">
        <v>164</v>
      </c>
      <c r="I7" s="14" t="s">
        <v>742</v>
      </c>
      <c r="J7" s="13" t="s">
        <v>239</v>
      </c>
      <c r="K7" s="14" t="s">
        <v>958</v>
      </c>
      <c r="L7" s="17" t="n">
        <f aca="false">IF(M7="",0,LEN(M7)-LEN(SUBSTITUTE(M7,",",""))+1)</f>
        <v>2</v>
      </c>
      <c r="M7" s="14" t="s">
        <v>2148</v>
      </c>
      <c r="N7" s="13" t="n">
        <v>3</v>
      </c>
      <c r="O7" s="14"/>
      <c r="P7" s="13" t="s">
        <v>2142</v>
      </c>
    </row>
    <row r="8" customFormat="false" ht="15" hidden="false" customHeight="true" outlineLevel="0" collapsed="false">
      <c r="A8" s="13" t="n">
        <v>6</v>
      </c>
      <c r="B8" s="13" t="s">
        <v>2137</v>
      </c>
      <c r="C8" s="13" t="s">
        <v>923</v>
      </c>
      <c r="D8" s="13" t="s">
        <v>1000</v>
      </c>
      <c r="E8" s="13" t="s">
        <v>2139</v>
      </c>
      <c r="F8" s="13" t="s">
        <v>979</v>
      </c>
      <c r="G8" s="13"/>
      <c r="H8" s="13" t="n">
        <v>236</v>
      </c>
      <c r="I8" s="14" t="s">
        <v>859</v>
      </c>
      <c r="J8" s="13" t="s">
        <v>25</v>
      </c>
      <c r="K8" s="14" t="s">
        <v>943</v>
      </c>
      <c r="L8" s="17" t="n">
        <f aca="false">IF(M8="",0,LEN(M8)-LEN(SUBSTITUTE(M8,",",""))+1)</f>
        <v>3</v>
      </c>
      <c r="M8" s="14" t="s">
        <v>2149</v>
      </c>
      <c r="N8" s="13" t="n">
        <v>1</v>
      </c>
      <c r="O8" s="14"/>
      <c r="P8" s="13" t="s">
        <v>2142</v>
      </c>
    </row>
    <row r="9" customFormat="false" ht="15" hidden="false" customHeight="true" outlineLevel="0" collapsed="false">
      <c r="A9" s="13" t="n">
        <v>8</v>
      </c>
      <c r="B9" s="13" t="s">
        <v>2137</v>
      </c>
      <c r="C9" s="13" t="s">
        <v>934</v>
      </c>
      <c r="D9" s="13" t="s">
        <v>997</v>
      </c>
      <c r="E9" s="13" t="s">
        <v>1016</v>
      </c>
      <c r="F9" s="13" t="s">
        <v>2140</v>
      </c>
      <c r="G9" s="13"/>
      <c r="H9" s="13" t="n">
        <v>205</v>
      </c>
      <c r="I9" s="14" t="s">
        <v>808</v>
      </c>
      <c r="J9" s="13" t="s">
        <v>279</v>
      </c>
      <c r="K9" s="14" t="s">
        <v>1032</v>
      </c>
      <c r="L9" s="17" t="n">
        <f aca="false">IF(M9="",0,LEN(M9)-LEN(SUBSTITUTE(M9,",",""))+1)</f>
        <v>3</v>
      </c>
      <c r="M9" s="14" t="s">
        <v>2150</v>
      </c>
      <c r="N9" s="13" t="n">
        <v>2</v>
      </c>
      <c r="O9" s="14" t="s">
        <v>2151</v>
      </c>
      <c r="P9" s="13"/>
    </row>
    <row r="10" customFormat="false" ht="15" hidden="false" customHeight="true" outlineLevel="0" collapsed="false">
      <c r="A10" s="13" t="n">
        <v>8</v>
      </c>
      <c r="B10" s="13" t="s">
        <v>2137</v>
      </c>
      <c r="C10" s="13" t="s">
        <v>934</v>
      </c>
      <c r="D10" s="13" t="s">
        <v>997</v>
      </c>
      <c r="E10" s="13" t="s">
        <v>1016</v>
      </c>
      <c r="F10" s="13" t="s">
        <v>2140</v>
      </c>
      <c r="G10" s="13"/>
      <c r="H10" s="13" t="n">
        <v>73</v>
      </c>
      <c r="I10" s="14" t="s">
        <v>527</v>
      </c>
      <c r="J10" s="13" t="s">
        <v>286</v>
      </c>
      <c r="K10" s="14" t="s">
        <v>964</v>
      </c>
      <c r="L10" s="17" t="n">
        <f aca="false">IF(M10="",0,LEN(M10)-LEN(SUBSTITUTE(M10,",",""))+1)</f>
        <v>2</v>
      </c>
      <c r="M10" s="14" t="s">
        <v>2152</v>
      </c>
      <c r="N10" s="13" t="n">
        <v>5</v>
      </c>
      <c r="O10" s="14" t="s">
        <v>2153</v>
      </c>
      <c r="P10" s="13"/>
    </row>
    <row r="11" customFormat="false" ht="15" hidden="false" customHeight="true" outlineLevel="0" collapsed="false">
      <c r="A11" s="13" t="n">
        <v>9</v>
      </c>
      <c r="B11" s="13" t="s">
        <v>2154</v>
      </c>
      <c r="C11" s="13" t="s">
        <v>987</v>
      </c>
      <c r="D11" s="13" t="s">
        <v>2138</v>
      </c>
      <c r="E11" s="13" t="s">
        <v>1016</v>
      </c>
      <c r="F11" s="13" t="s">
        <v>2140</v>
      </c>
      <c r="G11" s="13" t="s">
        <v>2155</v>
      </c>
      <c r="H11" s="13" t="n">
        <v>183</v>
      </c>
      <c r="I11" s="14" t="s">
        <v>772</v>
      </c>
      <c r="J11" s="13" t="s">
        <v>163</v>
      </c>
      <c r="K11" s="14" t="s">
        <v>950</v>
      </c>
      <c r="L11" s="17" t="n">
        <f aca="false">IF(M11="",0,LEN(M11)-LEN(SUBSTITUTE(M11,",",""))+1)</f>
        <v>4</v>
      </c>
      <c r="M11" s="14" t="s">
        <v>2156</v>
      </c>
      <c r="N11" s="13" t="n">
        <v>2</v>
      </c>
      <c r="O11" s="14" t="s">
        <v>2157</v>
      </c>
      <c r="P11" s="13"/>
    </row>
    <row r="12" customFormat="false" ht="15" hidden="false" customHeight="true" outlineLevel="0" collapsed="false">
      <c r="A12" s="13" t="n">
        <v>9</v>
      </c>
      <c r="B12" s="13" t="s">
        <v>2154</v>
      </c>
      <c r="C12" s="13" t="s">
        <v>987</v>
      </c>
      <c r="D12" s="13" t="s">
        <v>2138</v>
      </c>
      <c r="E12" s="13" t="s">
        <v>1016</v>
      </c>
      <c r="F12" s="13" t="s">
        <v>979</v>
      </c>
      <c r="G12" s="13"/>
      <c r="H12" s="13" t="n">
        <v>180</v>
      </c>
      <c r="I12" s="14" t="s">
        <v>766</v>
      </c>
      <c r="J12" s="13" t="s">
        <v>154</v>
      </c>
      <c r="K12" s="14" t="s">
        <v>979</v>
      </c>
      <c r="L12" s="17" t="n">
        <f aca="false">IF(M12="",0,LEN(M12)-LEN(SUBSTITUTE(M12,",",""))+1)</f>
        <v>3</v>
      </c>
      <c r="M12" s="14" t="s">
        <v>2158</v>
      </c>
      <c r="N12" s="13" t="n">
        <v>1</v>
      </c>
      <c r="O12" s="14" t="s">
        <v>2159</v>
      </c>
      <c r="P12" s="13"/>
    </row>
    <row r="13" customFormat="false" ht="15" hidden="false" customHeight="true" outlineLevel="0" collapsed="false">
      <c r="A13" s="13" t="n">
        <v>10</v>
      </c>
      <c r="B13" s="13" t="s">
        <v>2154</v>
      </c>
      <c r="C13" s="13" t="s">
        <v>978</v>
      </c>
      <c r="D13" s="13" t="s">
        <v>1001</v>
      </c>
      <c r="E13" s="13" t="s">
        <v>1018</v>
      </c>
      <c r="F13" s="13" t="s">
        <v>1002</v>
      </c>
      <c r="G13" s="13"/>
      <c r="H13" s="13" t="n">
        <v>88</v>
      </c>
      <c r="I13" s="14" t="s">
        <v>586</v>
      </c>
      <c r="J13" s="13" t="s">
        <v>38</v>
      </c>
      <c r="K13" s="14" t="s">
        <v>978</v>
      </c>
      <c r="L13" s="17" t="n">
        <f aca="false">IF(M13="",0,LEN(M13)-LEN(SUBSTITUTE(M13,",",""))+1)</f>
        <v>3</v>
      </c>
      <c r="M13" s="14" t="s">
        <v>2160</v>
      </c>
      <c r="N13" s="13" t="n">
        <v>5</v>
      </c>
      <c r="O13" s="14" t="s">
        <v>2161</v>
      </c>
      <c r="P13" s="13"/>
    </row>
    <row r="14" customFormat="false" ht="15" hidden="false" customHeight="true" outlineLevel="0" collapsed="false">
      <c r="A14" s="13" t="n">
        <v>10</v>
      </c>
      <c r="B14" s="13" t="s">
        <v>2154</v>
      </c>
      <c r="C14" s="13" t="s">
        <v>978</v>
      </c>
      <c r="D14" s="13" t="s">
        <v>1001</v>
      </c>
      <c r="E14" s="13" t="s">
        <v>1018</v>
      </c>
      <c r="F14" s="13" t="s">
        <v>1002</v>
      </c>
      <c r="G14" s="13"/>
      <c r="H14" s="13" t="n">
        <v>178</v>
      </c>
      <c r="I14" s="14" t="s">
        <v>764</v>
      </c>
      <c r="J14" s="13" t="s">
        <v>286</v>
      </c>
      <c r="K14" s="14" t="s">
        <v>1018</v>
      </c>
      <c r="L14" s="17" t="n">
        <f aca="false">IF(M14="",0,LEN(M14)-LEN(SUBSTITUTE(M14,",",""))+1)</f>
        <v>3</v>
      </c>
      <c r="M14" s="14" t="s">
        <v>2162</v>
      </c>
      <c r="N14" s="13" t="n">
        <v>1</v>
      </c>
      <c r="O14" s="14" t="s">
        <v>2163</v>
      </c>
      <c r="P14" s="13"/>
    </row>
    <row r="15" customFormat="false" ht="23.25" hidden="false" customHeight="true" outlineLevel="0" collapsed="false">
      <c r="A15" s="13" t="n">
        <v>11</v>
      </c>
      <c r="B15" s="13" t="s">
        <v>2154</v>
      </c>
      <c r="C15" s="13" t="s">
        <v>904</v>
      </c>
      <c r="D15" s="13" t="s">
        <v>995</v>
      </c>
      <c r="E15" s="13" t="s">
        <v>1016</v>
      </c>
      <c r="F15" s="13" t="s">
        <v>984</v>
      </c>
      <c r="G15" s="13"/>
      <c r="H15" s="13" t="n">
        <v>108</v>
      </c>
      <c r="I15" s="14" t="s">
        <v>636</v>
      </c>
      <c r="J15" s="13" t="s">
        <v>181</v>
      </c>
      <c r="K15" s="14" t="s">
        <v>989</v>
      </c>
      <c r="L15" s="17" t="n">
        <f aca="false">IF(M15="",0,LEN(M15)-LEN(SUBSTITUTE(M15,",",""))+1)</f>
        <v>4</v>
      </c>
      <c r="M15" s="14" t="s">
        <v>2164</v>
      </c>
      <c r="N15" s="13" t="n">
        <v>4</v>
      </c>
      <c r="O15" s="14" t="s">
        <v>2165</v>
      </c>
      <c r="P15" s="13"/>
    </row>
    <row r="16" customFormat="false" ht="23.25" hidden="false" customHeight="true" outlineLevel="0" collapsed="false">
      <c r="A16" s="13" t="n">
        <v>11</v>
      </c>
      <c r="B16" s="13" t="s">
        <v>2154</v>
      </c>
      <c r="C16" s="13" t="s">
        <v>904</v>
      </c>
      <c r="D16" s="13" t="s">
        <v>995</v>
      </c>
      <c r="E16" s="13" t="s">
        <v>1016</v>
      </c>
      <c r="F16" s="13" t="s">
        <v>984</v>
      </c>
      <c r="G16" s="13"/>
      <c r="H16" s="13" t="n">
        <v>231</v>
      </c>
      <c r="I16" s="14" t="s">
        <v>848</v>
      </c>
      <c r="J16" s="13" t="s">
        <v>163</v>
      </c>
      <c r="K16" s="14" t="s">
        <v>999</v>
      </c>
      <c r="L16" s="17" t="n">
        <f aca="false">IF(M16="",0,LEN(M16)-LEN(SUBSTITUTE(M16,",",""))+1)</f>
        <v>4</v>
      </c>
      <c r="M16" s="14" t="s">
        <v>2166</v>
      </c>
      <c r="N16" s="13" t="n">
        <v>1</v>
      </c>
      <c r="O16" s="14" t="s">
        <v>2153</v>
      </c>
      <c r="P16" s="13"/>
    </row>
    <row r="17" customFormat="false" ht="15" hidden="false" customHeight="true" outlineLevel="0" collapsed="false">
      <c r="A17" s="13" t="n">
        <v>12</v>
      </c>
      <c r="B17" s="13" t="s">
        <v>2154</v>
      </c>
      <c r="C17" s="13" t="s">
        <v>958</v>
      </c>
      <c r="D17" s="13" t="s">
        <v>971</v>
      </c>
      <c r="E17" s="13" t="s">
        <v>931</v>
      </c>
      <c r="F17" s="13" t="s">
        <v>1002</v>
      </c>
      <c r="G17" s="13"/>
      <c r="H17" s="13" t="n">
        <v>65</v>
      </c>
      <c r="I17" s="14" t="s">
        <v>498</v>
      </c>
      <c r="J17" s="13" t="s">
        <v>106</v>
      </c>
      <c r="K17" s="14" t="s">
        <v>958</v>
      </c>
      <c r="L17" s="17" t="n">
        <f aca="false">IF(M17="",0,LEN(M17)-LEN(SUBSTITUTE(M17,",",""))+1)</f>
        <v>2</v>
      </c>
      <c r="M17" s="14" t="s">
        <v>2167</v>
      </c>
      <c r="N17" s="13" t="n">
        <v>5</v>
      </c>
      <c r="O17" s="14" t="s">
        <v>2168</v>
      </c>
      <c r="P17" s="13"/>
    </row>
    <row r="18" customFormat="false" ht="15" hidden="false" customHeight="true" outlineLevel="0" collapsed="false">
      <c r="A18" s="13" t="n">
        <v>12</v>
      </c>
      <c r="B18" s="13" t="s">
        <v>2154</v>
      </c>
      <c r="C18" s="13" t="s">
        <v>958</v>
      </c>
      <c r="D18" s="13" t="s">
        <v>971</v>
      </c>
      <c r="E18" s="13" t="s">
        <v>931</v>
      </c>
      <c r="F18" s="13" t="s">
        <v>984</v>
      </c>
      <c r="G18" s="13"/>
      <c r="H18" s="13" t="n">
        <v>133</v>
      </c>
      <c r="I18" s="14" t="s">
        <v>681</v>
      </c>
      <c r="J18" s="13" t="s">
        <v>210</v>
      </c>
      <c r="K18" s="14" t="s">
        <v>999</v>
      </c>
      <c r="L18" s="17" t="n">
        <f aca="false">IF(M18="",0,LEN(M18)-LEN(SUBSTITUTE(M18,",",""))+1)</f>
        <v>2</v>
      </c>
      <c r="M18" s="14" t="s">
        <v>2169</v>
      </c>
      <c r="N18" s="13" t="n">
        <v>4</v>
      </c>
      <c r="O18" s="14"/>
      <c r="P18" s="13"/>
    </row>
    <row r="19" customFormat="false" ht="15" hidden="false" customHeight="true" outlineLevel="0" collapsed="false">
      <c r="A19" s="13" t="n">
        <v>13</v>
      </c>
      <c r="B19" s="13" t="s">
        <v>2154</v>
      </c>
      <c r="C19" s="13" t="s">
        <v>923</v>
      </c>
      <c r="D19" s="13" t="s">
        <v>2147</v>
      </c>
      <c r="E19" s="13" t="s">
        <v>2139</v>
      </c>
      <c r="F19" s="13" t="s">
        <v>1002</v>
      </c>
      <c r="G19" s="13"/>
      <c r="H19" s="13" t="n">
        <v>136</v>
      </c>
      <c r="I19" s="14" t="s">
        <v>691</v>
      </c>
      <c r="J19" s="13" t="s">
        <v>137</v>
      </c>
      <c r="K19" s="14" t="s">
        <v>961</v>
      </c>
      <c r="L19" s="17" t="n">
        <f aca="false">IF(M19="",0,LEN(M19)-LEN(SUBSTITUTE(M19,",",""))+1)</f>
        <v>3</v>
      </c>
      <c r="M19" s="14" t="s">
        <v>2170</v>
      </c>
      <c r="N19" s="13" t="n">
        <v>3</v>
      </c>
      <c r="O19" s="14" t="s">
        <v>2168</v>
      </c>
      <c r="P19" s="13"/>
    </row>
    <row r="20" customFormat="false" ht="15" hidden="false" customHeight="true" outlineLevel="0" collapsed="false">
      <c r="A20" s="13" t="n">
        <v>13</v>
      </c>
      <c r="B20" s="13" t="s">
        <v>2154</v>
      </c>
      <c r="C20" s="13" t="s">
        <v>923</v>
      </c>
      <c r="D20" s="13" t="s">
        <v>2147</v>
      </c>
      <c r="E20" s="13" t="s">
        <v>2139</v>
      </c>
      <c r="F20" s="13" t="s">
        <v>1002</v>
      </c>
      <c r="G20" s="13"/>
      <c r="H20" s="13" t="n">
        <v>144</v>
      </c>
      <c r="I20" s="14" t="s">
        <v>704</v>
      </c>
      <c r="J20" s="13" t="s">
        <v>38</v>
      </c>
      <c r="K20" s="14" t="s">
        <v>1011</v>
      </c>
      <c r="L20" s="17" t="n">
        <f aca="false">IF(M20="",0,LEN(M20)-LEN(SUBSTITUTE(M20,",",""))+1)</f>
        <v>2</v>
      </c>
      <c r="M20" s="14" t="s">
        <v>2171</v>
      </c>
      <c r="N20" s="13" t="n">
        <v>6</v>
      </c>
      <c r="O20" s="14"/>
      <c r="P20" s="13"/>
    </row>
    <row r="21" customFormat="false" ht="15" hidden="false" customHeight="true" outlineLevel="0" collapsed="false">
      <c r="A21" s="13" t="n">
        <v>14</v>
      </c>
      <c r="B21" s="13" t="s">
        <v>2154</v>
      </c>
      <c r="C21" s="13" t="s">
        <v>879</v>
      </c>
      <c r="D21" s="13" t="s">
        <v>1000</v>
      </c>
      <c r="E21" s="13" t="s">
        <v>2139</v>
      </c>
      <c r="F21" s="13" t="s">
        <v>1002</v>
      </c>
      <c r="G21" s="13"/>
      <c r="H21" s="13" t="n">
        <v>129</v>
      </c>
      <c r="I21" s="14" t="s">
        <v>675</v>
      </c>
      <c r="J21" s="13" t="s">
        <v>25</v>
      </c>
      <c r="K21" s="14" t="s">
        <v>1002</v>
      </c>
      <c r="L21" s="17" t="n">
        <f aca="false">IF(M21="",0,LEN(M21)-LEN(SUBSTITUTE(M21,",",""))+1)</f>
        <v>2</v>
      </c>
      <c r="M21" s="14" t="s">
        <v>2172</v>
      </c>
      <c r="N21" s="13" t="n">
        <v>7</v>
      </c>
      <c r="O21" s="14" t="s">
        <v>2173</v>
      </c>
      <c r="P21" s="13"/>
    </row>
    <row r="22" customFormat="false" ht="15" hidden="false" customHeight="true" outlineLevel="0" collapsed="false">
      <c r="A22" s="13" t="n">
        <v>14</v>
      </c>
      <c r="B22" s="13" t="s">
        <v>2154</v>
      </c>
      <c r="C22" s="13" t="s">
        <v>879</v>
      </c>
      <c r="D22" s="13" t="s">
        <v>1000</v>
      </c>
      <c r="E22" s="13" t="s">
        <v>2139</v>
      </c>
      <c r="F22" s="13" t="s">
        <v>1002</v>
      </c>
      <c r="G22" s="13"/>
      <c r="H22" s="13" t="n">
        <v>214</v>
      </c>
      <c r="I22" s="14" t="s">
        <v>819</v>
      </c>
      <c r="J22" s="13" t="s">
        <v>25</v>
      </c>
      <c r="K22" s="14" t="s">
        <v>1002</v>
      </c>
      <c r="L22" s="17" t="n">
        <f aca="false">IF(M22="",0,LEN(M22)-LEN(SUBSTITUTE(M22,",",""))+1)</f>
        <v>2</v>
      </c>
      <c r="M22" s="14" t="s">
        <v>2174</v>
      </c>
      <c r="N22" s="13" t="n">
        <v>5</v>
      </c>
      <c r="O22" s="14" t="s">
        <v>2173</v>
      </c>
      <c r="P22" s="13"/>
    </row>
    <row r="23" customFormat="false" ht="23.25" hidden="false" customHeight="true" outlineLevel="0" collapsed="false">
      <c r="A23" s="13" t="n">
        <v>15</v>
      </c>
      <c r="B23" s="13" t="s">
        <v>2154</v>
      </c>
      <c r="C23" s="13" t="s">
        <v>934</v>
      </c>
      <c r="D23" s="13" t="s">
        <v>2175</v>
      </c>
      <c r="E23" s="13" t="s">
        <v>1016</v>
      </c>
      <c r="F23" s="13" t="s">
        <v>1002</v>
      </c>
      <c r="G23" s="13"/>
      <c r="H23" s="13" t="n">
        <v>165</v>
      </c>
      <c r="I23" s="14" t="s">
        <v>743</v>
      </c>
      <c r="J23" s="13" t="s">
        <v>106</v>
      </c>
      <c r="K23" s="14" t="s">
        <v>1021</v>
      </c>
      <c r="L23" s="17" t="n">
        <f aca="false">IF(M23="",0,LEN(M23)-LEN(SUBSTITUTE(M23,",",""))+1)</f>
        <v>4</v>
      </c>
      <c r="M23" s="14" t="s">
        <v>2176</v>
      </c>
      <c r="N23" s="13" t="n">
        <v>2</v>
      </c>
      <c r="O23" s="14" t="s">
        <v>2177</v>
      </c>
      <c r="P23" s="13" t="s">
        <v>2178</v>
      </c>
    </row>
    <row r="24" customFormat="false" ht="15" hidden="false" customHeight="true" outlineLevel="0" collapsed="false">
      <c r="A24" s="13" t="n">
        <v>15</v>
      </c>
      <c r="B24" s="13" t="s">
        <v>2154</v>
      </c>
      <c r="C24" s="13" t="s">
        <v>934</v>
      </c>
      <c r="D24" s="13" t="s">
        <v>2175</v>
      </c>
      <c r="E24" s="13" t="s">
        <v>1016</v>
      </c>
      <c r="F24" s="13" t="s">
        <v>1002</v>
      </c>
      <c r="G24" s="13"/>
      <c r="H24" s="13" t="n">
        <v>78</v>
      </c>
      <c r="I24" s="14" t="s">
        <v>554</v>
      </c>
      <c r="J24" s="13" t="s">
        <v>110</v>
      </c>
      <c r="K24" s="14" t="s">
        <v>901</v>
      </c>
      <c r="L24" s="17" t="n">
        <f aca="false">IF(M24="",0,LEN(M24)-LEN(SUBSTITUTE(M24,",",""))+1)</f>
        <v>4</v>
      </c>
      <c r="M24" s="14" t="s">
        <v>2179</v>
      </c>
      <c r="N24" s="13" t="n">
        <v>4</v>
      </c>
      <c r="O24" s="14"/>
      <c r="P24" s="13"/>
    </row>
    <row r="25" customFormat="false" ht="15" hidden="false" customHeight="true" outlineLevel="0" collapsed="false">
      <c r="A25" s="13" t="n">
        <v>16</v>
      </c>
      <c r="B25" s="13" t="s">
        <v>2154</v>
      </c>
      <c r="C25" s="13" t="s">
        <v>987</v>
      </c>
      <c r="D25" s="13" t="s">
        <v>997</v>
      </c>
      <c r="E25" s="13" t="s">
        <v>1024</v>
      </c>
      <c r="F25" s="13" t="s">
        <v>2140</v>
      </c>
      <c r="G25" s="13"/>
      <c r="H25" s="13" t="n">
        <v>55</v>
      </c>
      <c r="I25" s="14" t="s">
        <v>456</v>
      </c>
      <c r="J25" s="13" t="s">
        <v>154</v>
      </c>
      <c r="K25" s="14" t="s">
        <v>950</v>
      </c>
      <c r="L25" s="17" t="n">
        <f aca="false">IF(M25="",0,LEN(M25)-LEN(SUBSTITUTE(M25,",",""))+1)</f>
        <v>1</v>
      </c>
      <c r="M25" s="14" t="s">
        <v>457</v>
      </c>
      <c r="N25" s="13" t="n">
        <v>7</v>
      </c>
      <c r="O25" s="14"/>
      <c r="P25" s="13"/>
    </row>
    <row r="26" customFormat="false" ht="15" hidden="false" customHeight="true" outlineLevel="0" collapsed="false">
      <c r="A26" s="13" t="n">
        <v>16</v>
      </c>
      <c r="B26" s="13" t="s">
        <v>2154</v>
      </c>
      <c r="C26" s="13" t="s">
        <v>987</v>
      </c>
      <c r="D26" s="13" t="s">
        <v>997</v>
      </c>
      <c r="E26" s="13" t="s">
        <v>1024</v>
      </c>
      <c r="F26" s="13" t="s">
        <v>2140</v>
      </c>
      <c r="G26" s="13"/>
      <c r="H26" s="13" t="n">
        <v>114</v>
      </c>
      <c r="I26" s="14" t="s">
        <v>648</v>
      </c>
      <c r="J26" s="13" t="s">
        <v>171</v>
      </c>
      <c r="K26" s="14" t="s">
        <v>950</v>
      </c>
      <c r="L26" s="17" t="n">
        <f aca="false">IF(M26="",0,LEN(M26)-LEN(SUBSTITUTE(M26,",",""))+1)</f>
        <v>2</v>
      </c>
      <c r="M26" s="14" t="s">
        <v>2180</v>
      </c>
      <c r="N26" s="13" t="n">
        <v>5</v>
      </c>
      <c r="O26" s="14"/>
      <c r="P26" s="13"/>
    </row>
    <row r="27" customFormat="false" ht="15" hidden="false" customHeight="true" outlineLevel="0" collapsed="false">
      <c r="A27" s="13" t="n">
        <v>17</v>
      </c>
      <c r="B27" s="13" t="s">
        <v>2181</v>
      </c>
      <c r="C27" s="13" t="s">
        <v>978</v>
      </c>
      <c r="D27" s="13" t="s">
        <v>2138</v>
      </c>
      <c r="E27" s="13" t="s">
        <v>1024</v>
      </c>
      <c r="F27" s="13" t="s">
        <v>1002</v>
      </c>
      <c r="G27" s="13"/>
      <c r="H27" s="13" t="n">
        <v>192</v>
      </c>
      <c r="I27" s="14" t="s">
        <v>788</v>
      </c>
      <c r="J27" s="13" t="s">
        <v>260</v>
      </c>
      <c r="K27" s="14" t="s">
        <v>943</v>
      </c>
      <c r="L27" s="17" t="n">
        <f aca="false">IF(M27="",0,LEN(M27)-LEN(SUBSTITUTE(M27,",",""))+1)</f>
        <v>2</v>
      </c>
      <c r="M27" s="14" t="s">
        <v>2182</v>
      </c>
      <c r="N27" s="13" t="n">
        <v>1</v>
      </c>
      <c r="O27" s="14" t="s">
        <v>2177</v>
      </c>
      <c r="P27" s="13"/>
    </row>
    <row r="28" customFormat="false" ht="15" hidden="false" customHeight="true" outlineLevel="0" collapsed="false">
      <c r="A28" s="13" t="n">
        <v>17</v>
      </c>
      <c r="B28" s="13" t="s">
        <v>2181</v>
      </c>
      <c r="C28" s="13" t="s">
        <v>978</v>
      </c>
      <c r="D28" s="13" t="s">
        <v>2138</v>
      </c>
      <c r="E28" s="13" t="s">
        <v>1024</v>
      </c>
      <c r="F28" s="13" t="s">
        <v>1002</v>
      </c>
      <c r="G28" s="13"/>
      <c r="H28" s="13" t="n">
        <v>201</v>
      </c>
      <c r="I28" s="14" t="s">
        <v>801</v>
      </c>
      <c r="J28" s="13" t="s">
        <v>191</v>
      </c>
      <c r="K28" s="14" t="s">
        <v>1032</v>
      </c>
      <c r="L28" s="17" t="n">
        <f aca="false">IF(M28="",0,LEN(M28)-LEN(SUBSTITUTE(M28,",",""))+1)</f>
        <v>3</v>
      </c>
      <c r="M28" s="14" t="s">
        <v>2183</v>
      </c>
      <c r="N28" s="13" t="n">
        <v>5</v>
      </c>
      <c r="O28" s="14"/>
      <c r="P28" s="13"/>
    </row>
    <row r="29" customFormat="false" ht="15" hidden="false" customHeight="true" outlineLevel="0" collapsed="false">
      <c r="A29" s="13" t="n">
        <v>18</v>
      </c>
      <c r="B29" s="13" t="s">
        <v>2181</v>
      </c>
      <c r="C29" s="13" t="s">
        <v>904</v>
      </c>
      <c r="D29" s="13" t="s">
        <v>1001</v>
      </c>
      <c r="E29" s="13" t="s">
        <v>1016</v>
      </c>
      <c r="F29" s="13" t="s">
        <v>984</v>
      </c>
      <c r="G29" s="13" t="s">
        <v>2155</v>
      </c>
      <c r="H29" s="13" t="n">
        <v>147</v>
      </c>
      <c r="I29" s="14" t="s">
        <v>711</v>
      </c>
      <c r="J29" s="13" t="s">
        <v>38</v>
      </c>
      <c r="K29" s="14" t="s">
        <v>999</v>
      </c>
      <c r="L29" s="17" t="n">
        <f aca="false">IF(M29="",0,LEN(M29)-LEN(SUBSTITUTE(M29,",",""))+1)</f>
        <v>2</v>
      </c>
      <c r="M29" s="14" t="s">
        <v>2184</v>
      </c>
      <c r="N29" s="13" t="n">
        <v>3</v>
      </c>
      <c r="O29" s="14"/>
      <c r="P29" s="13"/>
    </row>
    <row r="30" customFormat="false" ht="15" hidden="false" customHeight="true" outlineLevel="0" collapsed="false">
      <c r="A30" s="13" t="n">
        <v>18</v>
      </c>
      <c r="B30" s="13" t="s">
        <v>2181</v>
      </c>
      <c r="C30" s="13" t="s">
        <v>904</v>
      </c>
      <c r="D30" s="13" t="s">
        <v>1001</v>
      </c>
      <c r="E30" s="13" t="s">
        <v>1016</v>
      </c>
      <c r="F30" s="13" t="s">
        <v>2140</v>
      </c>
      <c r="G30" s="13"/>
      <c r="H30" s="13" t="n">
        <v>185</v>
      </c>
      <c r="I30" s="14" t="s">
        <v>775</v>
      </c>
      <c r="J30" s="13" t="s">
        <v>64</v>
      </c>
      <c r="K30" s="14" t="s">
        <v>1027</v>
      </c>
      <c r="L30" s="17" t="n">
        <f aca="false">IF(M30="",0,LEN(M30)-LEN(SUBSTITUTE(M30,",",""))+1)</f>
        <v>3</v>
      </c>
      <c r="M30" s="14" t="s">
        <v>2185</v>
      </c>
      <c r="N30" s="13" t="n">
        <v>5</v>
      </c>
      <c r="O30" s="14"/>
      <c r="P30" s="13"/>
    </row>
    <row r="31" customFormat="false" ht="15" hidden="false" customHeight="true" outlineLevel="0" collapsed="false">
      <c r="A31" s="13" t="n">
        <v>19</v>
      </c>
      <c r="B31" s="13" t="s">
        <v>2181</v>
      </c>
      <c r="C31" s="13" t="s">
        <v>958</v>
      </c>
      <c r="D31" s="13" t="s">
        <v>995</v>
      </c>
      <c r="E31" s="13" t="s">
        <v>1029</v>
      </c>
      <c r="F31" s="13" t="s">
        <v>1002</v>
      </c>
      <c r="G31" s="13" t="s">
        <v>2155</v>
      </c>
      <c r="H31" s="13" t="n">
        <v>28</v>
      </c>
      <c r="I31" s="14" t="s">
        <v>293</v>
      </c>
      <c r="J31" s="13" t="s">
        <v>154</v>
      </c>
      <c r="K31" s="14" t="s">
        <v>916</v>
      </c>
      <c r="L31" s="17" t="n">
        <f aca="false">IF(M31="",0,LEN(M31)-LEN(SUBSTITUTE(M31,",",""))+1)</f>
        <v>2</v>
      </c>
      <c r="M31" s="14" t="s">
        <v>2186</v>
      </c>
      <c r="N31" s="13" t="n">
        <v>7</v>
      </c>
      <c r="O31" s="14"/>
      <c r="P31" s="13"/>
    </row>
    <row r="32" customFormat="false" ht="15" hidden="false" customHeight="true" outlineLevel="0" collapsed="false">
      <c r="A32" s="13" t="n">
        <v>19</v>
      </c>
      <c r="B32" s="13" t="s">
        <v>2181</v>
      </c>
      <c r="C32" s="13" t="s">
        <v>958</v>
      </c>
      <c r="D32" s="13" t="s">
        <v>995</v>
      </c>
      <c r="E32" s="13" t="s">
        <v>1029</v>
      </c>
      <c r="F32" s="13" t="s">
        <v>984</v>
      </c>
      <c r="G32" s="13"/>
      <c r="H32" s="13" t="n">
        <v>29</v>
      </c>
      <c r="I32" s="14" t="s">
        <v>297</v>
      </c>
      <c r="J32" s="13" t="s">
        <v>51</v>
      </c>
      <c r="K32" s="14" t="s">
        <v>918</v>
      </c>
      <c r="L32" s="17" t="n">
        <f aca="false">IF(M32="",0,LEN(M32)-LEN(SUBSTITUTE(M32,",",""))+1)</f>
        <v>3</v>
      </c>
      <c r="M32" s="14" t="s">
        <v>2187</v>
      </c>
      <c r="N32" s="13" t="n">
        <v>6</v>
      </c>
      <c r="O32" s="14"/>
      <c r="P32" s="13"/>
    </row>
    <row r="33" customFormat="false" ht="23.25" hidden="false" customHeight="true" outlineLevel="0" collapsed="false">
      <c r="A33" s="13" t="n">
        <v>20</v>
      </c>
      <c r="B33" s="13" t="s">
        <v>2181</v>
      </c>
      <c r="C33" s="13" t="s">
        <v>923</v>
      </c>
      <c r="D33" s="13" t="s">
        <v>971</v>
      </c>
      <c r="E33" s="13" t="s">
        <v>1018</v>
      </c>
      <c r="F33" s="13" t="s">
        <v>984</v>
      </c>
      <c r="G33" s="13"/>
      <c r="H33" s="13" t="n">
        <v>170</v>
      </c>
      <c r="I33" s="14" t="s">
        <v>752</v>
      </c>
      <c r="J33" s="13" t="s">
        <v>163</v>
      </c>
      <c r="K33" s="14" t="s">
        <v>1023</v>
      </c>
      <c r="L33" s="17" t="n">
        <f aca="false">IF(M33="",0,LEN(M33)-LEN(SUBSTITUTE(M33,",",""))+1)</f>
        <v>4</v>
      </c>
      <c r="M33" s="14" t="s">
        <v>2188</v>
      </c>
      <c r="N33" s="13" t="n">
        <v>3</v>
      </c>
      <c r="O33" s="14" t="s">
        <v>2189</v>
      </c>
      <c r="P33" s="13"/>
    </row>
    <row r="34" customFormat="false" ht="15" hidden="false" customHeight="true" outlineLevel="0" collapsed="false">
      <c r="A34" s="13" t="n">
        <v>20</v>
      </c>
      <c r="B34" s="13" t="s">
        <v>2181</v>
      </c>
      <c r="C34" s="13" t="s">
        <v>923</v>
      </c>
      <c r="D34" s="13" t="s">
        <v>971</v>
      </c>
      <c r="E34" s="13" t="s">
        <v>1018</v>
      </c>
      <c r="F34" s="13" t="s">
        <v>1002</v>
      </c>
      <c r="G34" s="13"/>
      <c r="H34" s="13" t="n">
        <v>31</v>
      </c>
      <c r="I34" s="14" t="s">
        <v>309</v>
      </c>
      <c r="J34" s="13" t="s">
        <v>25</v>
      </c>
      <c r="K34" s="14" t="s">
        <v>923</v>
      </c>
      <c r="L34" s="17" t="n">
        <f aca="false">IF(M34="",0,LEN(M34)-LEN(SUBSTITUTE(M34,",",""))+1)</f>
        <v>2</v>
      </c>
      <c r="M34" s="14" t="s">
        <v>2190</v>
      </c>
      <c r="N34" s="13" t="n">
        <v>7</v>
      </c>
      <c r="O34" s="14"/>
      <c r="P34" s="13"/>
    </row>
    <row r="35" customFormat="false" ht="15" hidden="false" customHeight="true" outlineLevel="0" collapsed="false">
      <c r="A35" s="13" t="n">
        <v>21</v>
      </c>
      <c r="B35" s="13" t="s">
        <v>2181</v>
      </c>
      <c r="C35" s="13" t="s">
        <v>879</v>
      </c>
      <c r="D35" s="13" t="s">
        <v>2147</v>
      </c>
      <c r="E35" s="13" t="s">
        <v>1018</v>
      </c>
      <c r="F35" s="13" t="s">
        <v>1002</v>
      </c>
      <c r="G35" s="13"/>
      <c r="H35" s="13" t="n">
        <v>67</v>
      </c>
      <c r="I35" s="14" t="s">
        <v>505</v>
      </c>
      <c r="J35" s="13" t="s">
        <v>38</v>
      </c>
      <c r="K35" s="14" t="s">
        <v>879</v>
      </c>
      <c r="L35" s="17" t="n">
        <f aca="false">IF(M35="",0,LEN(M35)-LEN(SUBSTITUTE(M35,",",""))+1)</f>
        <v>3</v>
      </c>
      <c r="M35" s="14" t="s">
        <v>2191</v>
      </c>
      <c r="N35" s="13" t="n">
        <v>4</v>
      </c>
      <c r="O35" s="14"/>
      <c r="P35" s="13"/>
    </row>
    <row r="36" customFormat="false" ht="15" hidden="false" customHeight="true" outlineLevel="0" collapsed="false">
      <c r="A36" s="13" t="n">
        <v>21</v>
      </c>
      <c r="B36" s="13" t="s">
        <v>2181</v>
      </c>
      <c r="C36" s="13" t="s">
        <v>879</v>
      </c>
      <c r="D36" s="13" t="s">
        <v>2147</v>
      </c>
      <c r="E36" s="13" t="s">
        <v>1018</v>
      </c>
      <c r="F36" s="13" t="s">
        <v>1002</v>
      </c>
      <c r="G36" s="13"/>
      <c r="H36" s="13" t="n">
        <v>210</v>
      </c>
      <c r="I36" s="14" t="s">
        <v>815</v>
      </c>
      <c r="J36" s="13" t="s">
        <v>106</v>
      </c>
      <c r="K36" s="14" t="s">
        <v>943</v>
      </c>
      <c r="L36" s="17" t="n">
        <f aca="false">IF(M36="",0,LEN(M36)-LEN(SUBSTITUTE(M36,",",""))+1)</f>
        <v>2</v>
      </c>
      <c r="M36" s="14" t="s">
        <v>2192</v>
      </c>
      <c r="N36" s="13" t="n">
        <v>4</v>
      </c>
      <c r="O36" s="14"/>
      <c r="P36" s="13"/>
    </row>
    <row r="37" customFormat="false" ht="15" hidden="false" customHeight="true" outlineLevel="0" collapsed="false">
      <c r="A37" s="13" t="n">
        <v>22</v>
      </c>
      <c r="B37" s="13" t="s">
        <v>2181</v>
      </c>
      <c r="C37" s="13" t="s">
        <v>934</v>
      </c>
      <c r="D37" s="13" t="s">
        <v>1000</v>
      </c>
      <c r="E37" s="13" t="s">
        <v>2139</v>
      </c>
      <c r="F37" s="13" t="s">
        <v>1002</v>
      </c>
      <c r="G37" s="13"/>
      <c r="H37" s="13" t="n">
        <v>200</v>
      </c>
      <c r="I37" s="14" t="s">
        <v>800</v>
      </c>
      <c r="J37" s="13" t="s">
        <v>110</v>
      </c>
      <c r="K37" s="14" t="s">
        <v>934</v>
      </c>
      <c r="L37" s="17" t="n">
        <f aca="false">IF(M37="",0,LEN(M37)-LEN(SUBSTITUTE(M37,",",""))+1)</f>
        <v>3</v>
      </c>
      <c r="M37" s="14" t="s">
        <v>2193</v>
      </c>
      <c r="N37" s="13" t="n">
        <v>4</v>
      </c>
      <c r="O37" s="14" t="s">
        <v>2194</v>
      </c>
      <c r="P37" s="13"/>
    </row>
    <row r="38" customFormat="false" ht="15" hidden="false" customHeight="true" outlineLevel="0" collapsed="false">
      <c r="A38" s="13" t="n">
        <v>22</v>
      </c>
      <c r="B38" s="13" t="s">
        <v>2181</v>
      </c>
      <c r="C38" s="13" t="s">
        <v>934</v>
      </c>
      <c r="D38" s="13" t="s">
        <v>1000</v>
      </c>
      <c r="E38" s="13" t="s">
        <v>2139</v>
      </c>
      <c r="F38" s="13" t="s">
        <v>1002</v>
      </c>
      <c r="G38" s="13"/>
      <c r="H38" s="13" t="n">
        <v>184</v>
      </c>
      <c r="I38" s="14" t="s">
        <v>774</v>
      </c>
      <c r="J38" s="13" t="s">
        <v>279</v>
      </c>
      <c r="K38" s="14" t="s">
        <v>959</v>
      </c>
      <c r="L38" s="17" t="n">
        <f aca="false">IF(M38="",0,LEN(M38)-LEN(SUBSTITUTE(M38,",",""))+1)</f>
        <v>2</v>
      </c>
      <c r="M38" s="14" t="s">
        <v>2195</v>
      </c>
      <c r="N38" s="13" t="n">
        <v>4</v>
      </c>
      <c r="O38" s="14"/>
      <c r="P38" s="13"/>
    </row>
    <row r="39" customFormat="false" ht="15" hidden="false" customHeight="true" outlineLevel="0" collapsed="false">
      <c r="A39" s="13" t="n">
        <v>23</v>
      </c>
      <c r="B39" s="13" t="s">
        <v>2181</v>
      </c>
      <c r="C39" s="13" t="s">
        <v>987</v>
      </c>
      <c r="D39" s="13" t="s">
        <v>2196</v>
      </c>
      <c r="E39" s="13" t="s">
        <v>1024</v>
      </c>
      <c r="F39" s="13" t="s">
        <v>1002</v>
      </c>
      <c r="G39" s="13"/>
      <c r="H39" s="13" t="n">
        <v>199</v>
      </c>
      <c r="I39" s="14" t="s">
        <v>799</v>
      </c>
      <c r="J39" s="13" t="s">
        <v>25</v>
      </c>
      <c r="K39" s="14" t="s">
        <v>1031</v>
      </c>
      <c r="L39" s="17" t="n">
        <f aca="false">IF(M39="",0,LEN(M39)-LEN(SUBSTITUTE(M39,",",""))+1)</f>
        <v>2</v>
      </c>
      <c r="M39" s="14" t="s">
        <v>2197</v>
      </c>
      <c r="N39" s="13" t="n">
        <v>6</v>
      </c>
      <c r="O39" s="14"/>
      <c r="P39" s="13" t="s">
        <v>2178</v>
      </c>
    </row>
    <row r="40" customFormat="false" ht="15" hidden="false" customHeight="true" outlineLevel="0" collapsed="false">
      <c r="A40" s="13" t="n">
        <v>23</v>
      </c>
      <c r="B40" s="13" t="s">
        <v>2181</v>
      </c>
      <c r="C40" s="13" t="s">
        <v>987</v>
      </c>
      <c r="D40" s="13" t="s">
        <v>2196</v>
      </c>
      <c r="E40" s="13" t="s">
        <v>1024</v>
      </c>
      <c r="F40" s="13" t="s">
        <v>1002</v>
      </c>
      <c r="G40" s="13"/>
      <c r="H40" s="13" t="n">
        <v>44</v>
      </c>
      <c r="I40" s="14" t="s">
        <v>396</v>
      </c>
      <c r="J40" s="13" t="s">
        <v>77</v>
      </c>
      <c r="K40" s="14" t="s">
        <v>937</v>
      </c>
      <c r="L40" s="17" t="n">
        <f aca="false">IF(M40="",0,LEN(M40)-LEN(SUBSTITUTE(M40,",",""))+1)</f>
        <v>2</v>
      </c>
      <c r="M40" s="14" t="s">
        <v>2198</v>
      </c>
      <c r="N40" s="13" t="n">
        <v>7</v>
      </c>
      <c r="O40" s="14"/>
      <c r="P40" s="13"/>
    </row>
    <row r="41" customFormat="false" ht="23.25" hidden="false" customHeight="true" outlineLevel="0" collapsed="false">
      <c r="A41" s="13" t="n">
        <v>24</v>
      </c>
      <c r="B41" s="13" t="s">
        <v>2181</v>
      </c>
      <c r="C41" s="13" t="s">
        <v>978</v>
      </c>
      <c r="D41" s="13" t="s">
        <v>997</v>
      </c>
      <c r="E41" s="13" t="s">
        <v>1024</v>
      </c>
      <c r="F41" s="13" t="s">
        <v>1002</v>
      </c>
      <c r="G41" s="13"/>
      <c r="H41" s="13" t="n">
        <v>52</v>
      </c>
      <c r="I41" s="14" t="s">
        <v>436</v>
      </c>
      <c r="J41" s="13" t="s">
        <v>286</v>
      </c>
      <c r="K41" s="14" t="s">
        <v>946</v>
      </c>
      <c r="L41" s="17" t="n">
        <f aca="false">IF(M41="",0,LEN(M41)-LEN(SUBSTITUTE(M41,",",""))+1)</f>
        <v>6</v>
      </c>
      <c r="M41" s="14" t="s">
        <v>2199</v>
      </c>
      <c r="N41" s="13" t="n">
        <v>4</v>
      </c>
      <c r="O41" s="14"/>
      <c r="P41" s="13" t="s">
        <v>2178</v>
      </c>
    </row>
    <row r="42" customFormat="false" ht="15" hidden="false" customHeight="true" outlineLevel="0" collapsed="false">
      <c r="A42" s="13" t="n">
        <v>24</v>
      </c>
      <c r="B42" s="13" t="s">
        <v>2181</v>
      </c>
      <c r="C42" s="13" t="s">
        <v>978</v>
      </c>
      <c r="D42" s="13" t="s">
        <v>997</v>
      </c>
      <c r="E42" s="13" t="s">
        <v>1024</v>
      </c>
      <c r="F42" s="13" t="s">
        <v>1002</v>
      </c>
      <c r="G42" s="13"/>
      <c r="H42" s="13" t="n">
        <v>174</v>
      </c>
      <c r="I42" s="14" t="s">
        <v>756</v>
      </c>
      <c r="J42" s="13" t="s">
        <v>279</v>
      </c>
      <c r="K42" s="14" t="s">
        <v>1024</v>
      </c>
      <c r="L42" s="17" t="n">
        <f aca="false">IF(M42="",0,LEN(M42)-LEN(SUBSTITUTE(M42,",",""))+1)</f>
        <v>3</v>
      </c>
      <c r="M42" s="14" t="s">
        <v>2200</v>
      </c>
      <c r="N42" s="13" t="n">
        <v>3</v>
      </c>
      <c r="O42" s="14"/>
      <c r="P42" s="13"/>
    </row>
    <row r="43" customFormat="false" ht="15" hidden="false" customHeight="true" outlineLevel="0" collapsed="false">
      <c r="A43" s="13" t="n">
        <v>25</v>
      </c>
      <c r="B43" s="13" t="s">
        <v>2201</v>
      </c>
      <c r="C43" s="13" t="s">
        <v>904</v>
      </c>
      <c r="D43" s="13" t="s">
        <v>2138</v>
      </c>
      <c r="E43" s="13" t="s">
        <v>2139</v>
      </c>
      <c r="F43" s="13" t="s">
        <v>1002</v>
      </c>
      <c r="G43" s="13"/>
      <c r="H43" s="13" t="n">
        <v>30</v>
      </c>
      <c r="I43" s="14" t="s">
        <v>304</v>
      </c>
      <c r="J43" s="13" t="s">
        <v>137</v>
      </c>
      <c r="K43" s="14" t="s">
        <v>919</v>
      </c>
      <c r="L43" s="17" t="n">
        <f aca="false">IF(M43="",0,LEN(M43)-LEN(SUBSTITUTE(M43,",",""))+1)</f>
        <v>2</v>
      </c>
      <c r="M43" s="14" t="s">
        <v>2202</v>
      </c>
      <c r="N43" s="13" t="n">
        <v>5</v>
      </c>
      <c r="O43" s="14" t="s">
        <v>2189</v>
      </c>
      <c r="P43" s="13"/>
    </row>
    <row r="44" customFormat="false" ht="15" hidden="false" customHeight="true" outlineLevel="0" collapsed="false">
      <c r="A44" s="13" t="n">
        <v>25</v>
      </c>
      <c r="B44" s="13" t="s">
        <v>2201</v>
      </c>
      <c r="C44" s="13" t="s">
        <v>904</v>
      </c>
      <c r="D44" s="13" t="s">
        <v>2138</v>
      </c>
      <c r="E44" s="13" t="s">
        <v>2139</v>
      </c>
      <c r="F44" s="13" t="s">
        <v>1002</v>
      </c>
      <c r="G44" s="13"/>
      <c r="H44" s="13" t="n">
        <v>85</v>
      </c>
      <c r="I44" s="14" t="s">
        <v>577</v>
      </c>
      <c r="J44" s="13" t="s">
        <v>260</v>
      </c>
      <c r="K44" s="14" t="s">
        <v>976</v>
      </c>
      <c r="L44" s="17" t="n">
        <f aca="false">IF(M44="",0,LEN(M44)-LEN(SUBSTITUTE(M44,",",""))+1)</f>
        <v>3</v>
      </c>
      <c r="M44" s="14" t="s">
        <v>2203</v>
      </c>
      <c r="N44" s="13" t="n">
        <v>5</v>
      </c>
      <c r="O44" s="14"/>
      <c r="P44" s="13"/>
    </row>
    <row r="45" customFormat="false" ht="15" hidden="false" customHeight="true" outlineLevel="0" collapsed="false">
      <c r="A45" s="13" t="n">
        <v>26</v>
      </c>
      <c r="B45" s="13" t="s">
        <v>2201</v>
      </c>
      <c r="C45" s="13" t="s">
        <v>958</v>
      </c>
      <c r="D45" s="13" t="s">
        <v>1001</v>
      </c>
      <c r="E45" s="13" t="s">
        <v>1016</v>
      </c>
      <c r="F45" s="13" t="s">
        <v>1002</v>
      </c>
      <c r="G45" s="13"/>
      <c r="H45" s="13" t="n">
        <v>81</v>
      </c>
      <c r="I45" s="14" t="s">
        <v>567</v>
      </c>
      <c r="J45" s="13" t="s">
        <v>163</v>
      </c>
      <c r="K45" s="14" t="s">
        <v>958</v>
      </c>
      <c r="L45" s="17" t="n">
        <f aca="false">IF(M45="",0,LEN(M45)-LEN(SUBSTITUTE(M45,",",""))+1)</f>
        <v>2</v>
      </c>
      <c r="M45" s="14" t="s">
        <v>2204</v>
      </c>
      <c r="N45" s="13" t="n">
        <v>5</v>
      </c>
      <c r="O45" s="14"/>
      <c r="P45" s="13"/>
    </row>
    <row r="46" customFormat="false" ht="15" hidden="false" customHeight="true" outlineLevel="0" collapsed="false">
      <c r="A46" s="13" t="n">
        <v>26</v>
      </c>
      <c r="B46" s="13" t="s">
        <v>2201</v>
      </c>
      <c r="C46" s="13" t="s">
        <v>958</v>
      </c>
      <c r="D46" s="13" t="s">
        <v>1001</v>
      </c>
      <c r="E46" s="13" t="s">
        <v>1016</v>
      </c>
      <c r="F46" s="13" t="s">
        <v>979</v>
      </c>
      <c r="G46" s="13"/>
      <c r="H46" s="13" t="n">
        <v>90</v>
      </c>
      <c r="I46" s="14" t="s">
        <v>591</v>
      </c>
      <c r="J46" s="13" t="s">
        <v>135</v>
      </c>
      <c r="K46" s="14" t="s">
        <v>979</v>
      </c>
      <c r="L46" s="17" t="n">
        <f aca="false">IF(M46="",0,LEN(M46)-LEN(SUBSTITUTE(M46,",",""))+1)</f>
        <v>1</v>
      </c>
      <c r="M46" s="14" t="s">
        <v>593</v>
      </c>
      <c r="N46" s="13" t="n">
        <v>3</v>
      </c>
      <c r="O46" s="14"/>
      <c r="P46" s="13"/>
    </row>
    <row r="47" customFormat="false" ht="15" hidden="false" customHeight="true" outlineLevel="0" collapsed="false">
      <c r="A47" s="13" t="n">
        <v>27</v>
      </c>
      <c r="B47" s="13" t="s">
        <v>2201</v>
      </c>
      <c r="C47" s="13" t="s">
        <v>923</v>
      </c>
      <c r="D47" s="13" t="s">
        <v>995</v>
      </c>
      <c r="E47" s="13" t="s">
        <v>1024</v>
      </c>
      <c r="F47" s="13" t="s">
        <v>984</v>
      </c>
      <c r="G47" s="13"/>
      <c r="H47" s="13" t="n">
        <v>79</v>
      </c>
      <c r="I47" s="14" t="s">
        <v>558</v>
      </c>
      <c r="J47" s="13" t="s">
        <v>210</v>
      </c>
      <c r="K47" s="14" t="s">
        <v>973</v>
      </c>
      <c r="L47" s="17" t="n">
        <f aca="false">IF(M47="",0,LEN(M47)-LEN(SUBSTITUTE(M47,",",""))+1)</f>
        <v>1</v>
      </c>
      <c r="M47" s="14" t="s">
        <v>559</v>
      </c>
      <c r="N47" s="13" t="n">
        <v>8</v>
      </c>
      <c r="O47" s="14"/>
      <c r="P47" s="13"/>
    </row>
    <row r="48" customFormat="false" ht="15" hidden="false" customHeight="true" outlineLevel="0" collapsed="false">
      <c r="A48" s="13" t="n">
        <v>27</v>
      </c>
      <c r="B48" s="13" t="s">
        <v>2201</v>
      </c>
      <c r="C48" s="13" t="s">
        <v>923</v>
      </c>
      <c r="D48" s="13" t="s">
        <v>995</v>
      </c>
      <c r="E48" s="13" t="s">
        <v>1024</v>
      </c>
      <c r="F48" s="13" t="s">
        <v>1002</v>
      </c>
      <c r="G48" s="13"/>
      <c r="H48" s="13" t="n">
        <v>80</v>
      </c>
      <c r="I48" s="14" t="s">
        <v>563</v>
      </c>
      <c r="J48" s="13" t="s">
        <v>51</v>
      </c>
      <c r="K48" s="14" t="s">
        <v>923</v>
      </c>
      <c r="L48" s="17" t="n">
        <f aca="false">IF(M48="",0,LEN(M48)-LEN(SUBSTITUTE(M48,",",""))+1)</f>
        <v>3</v>
      </c>
      <c r="M48" s="14" t="s">
        <v>2205</v>
      </c>
      <c r="N48" s="13" t="n">
        <v>5</v>
      </c>
      <c r="O48" s="14"/>
      <c r="P48" s="13"/>
    </row>
    <row r="49" customFormat="false" ht="23.25" hidden="false" customHeight="true" outlineLevel="0" collapsed="false">
      <c r="A49" s="13" t="n">
        <v>28</v>
      </c>
      <c r="B49" s="13" t="s">
        <v>2201</v>
      </c>
      <c r="C49" s="13" t="s">
        <v>879</v>
      </c>
      <c r="D49" s="13" t="s">
        <v>971</v>
      </c>
      <c r="E49" s="13" t="s">
        <v>2139</v>
      </c>
      <c r="F49" s="13" t="s">
        <v>2140</v>
      </c>
      <c r="G49" s="13"/>
      <c r="H49" s="13" t="n">
        <v>48</v>
      </c>
      <c r="I49" s="14" t="s">
        <v>416</v>
      </c>
      <c r="J49" s="13" t="s">
        <v>84</v>
      </c>
      <c r="K49" s="14" t="s">
        <v>942</v>
      </c>
      <c r="L49" s="17" t="n">
        <f aca="false">IF(M49="",0,LEN(M49)-LEN(SUBSTITUTE(M49,",",""))+1)</f>
        <v>6</v>
      </c>
      <c r="M49" s="14" t="s">
        <v>2206</v>
      </c>
      <c r="N49" s="13" t="n">
        <v>4</v>
      </c>
      <c r="O49" s="14" t="s">
        <v>2207</v>
      </c>
      <c r="P49" s="13"/>
    </row>
    <row r="50" customFormat="false" ht="23.25" hidden="false" customHeight="true" outlineLevel="0" collapsed="false">
      <c r="A50" s="13" t="n">
        <v>28</v>
      </c>
      <c r="B50" s="13" t="s">
        <v>2201</v>
      </c>
      <c r="C50" s="13" t="s">
        <v>879</v>
      </c>
      <c r="D50" s="13" t="s">
        <v>971</v>
      </c>
      <c r="E50" s="13" t="s">
        <v>2139</v>
      </c>
      <c r="F50" s="13" t="s">
        <v>2140</v>
      </c>
      <c r="G50" s="13"/>
      <c r="H50" s="13" t="n">
        <v>57</v>
      </c>
      <c r="I50" s="14" t="s">
        <v>463</v>
      </c>
      <c r="J50" s="13" t="s">
        <v>163</v>
      </c>
      <c r="K50" s="14" t="s">
        <v>879</v>
      </c>
      <c r="L50" s="17" t="n">
        <f aca="false">IF(M50="",0,LEN(M50)-LEN(SUBSTITUTE(M50,",",""))+1)</f>
        <v>4</v>
      </c>
      <c r="M50" s="14" t="s">
        <v>2208</v>
      </c>
      <c r="N50" s="13" t="n">
        <v>4</v>
      </c>
      <c r="O50" s="14" t="s">
        <v>2209</v>
      </c>
      <c r="P50" s="13"/>
    </row>
    <row r="51" customFormat="false" ht="15" hidden="false" customHeight="true" outlineLevel="0" collapsed="false">
      <c r="A51" s="13" t="n">
        <v>29</v>
      </c>
      <c r="B51" s="13" t="s">
        <v>2201</v>
      </c>
      <c r="C51" s="13" t="s">
        <v>934</v>
      </c>
      <c r="D51" s="13" t="s">
        <v>2147</v>
      </c>
      <c r="E51" s="13" t="s">
        <v>1024</v>
      </c>
      <c r="F51" s="13" t="s">
        <v>1002</v>
      </c>
      <c r="G51" s="13" t="s">
        <v>2155</v>
      </c>
      <c r="H51" s="13" t="n">
        <v>169</v>
      </c>
      <c r="I51" s="14" t="s">
        <v>751</v>
      </c>
      <c r="J51" s="13" t="s">
        <v>84</v>
      </c>
      <c r="K51" s="14" t="s">
        <v>1002</v>
      </c>
      <c r="L51" s="17" t="n">
        <f aca="false">IF(M51="",0,LEN(M51)-LEN(SUBSTITUTE(M51,",",""))+1)</f>
        <v>0</v>
      </c>
      <c r="M51" s="14"/>
      <c r="N51" s="13" t="n">
        <v>4</v>
      </c>
      <c r="O51" s="14"/>
      <c r="P51" s="13"/>
    </row>
    <row r="52" customFormat="false" ht="15" hidden="false" customHeight="true" outlineLevel="0" collapsed="false">
      <c r="A52" s="13" t="n">
        <v>29</v>
      </c>
      <c r="B52" s="13" t="s">
        <v>2201</v>
      </c>
      <c r="C52" s="13" t="s">
        <v>934</v>
      </c>
      <c r="D52" s="13" t="s">
        <v>2147</v>
      </c>
      <c r="E52" s="13" t="s">
        <v>1024</v>
      </c>
      <c r="F52" s="13" t="s">
        <v>2140</v>
      </c>
      <c r="G52" s="13"/>
      <c r="H52" s="13" t="n">
        <v>186</v>
      </c>
      <c r="I52" s="14" t="s">
        <v>776</v>
      </c>
      <c r="J52" s="13" t="s">
        <v>171</v>
      </c>
      <c r="K52" s="14" t="s">
        <v>934</v>
      </c>
      <c r="L52" s="17" t="n">
        <f aca="false">IF(M52="",0,LEN(M52)-LEN(SUBSTITUTE(M52,",",""))+1)</f>
        <v>1</v>
      </c>
      <c r="M52" s="14" t="s">
        <v>777</v>
      </c>
      <c r="N52" s="13" t="n">
        <v>4</v>
      </c>
      <c r="O52" s="14"/>
      <c r="P52" s="13"/>
    </row>
    <row r="53" customFormat="false" ht="15" hidden="false" customHeight="true" outlineLevel="0" collapsed="false">
      <c r="A53" s="13" t="n">
        <v>30</v>
      </c>
      <c r="B53" s="13" t="s">
        <v>2201</v>
      </c>
      <c r="C53" s="13" t="s">
        <v>987</v>
      </c>
      <c r="D53" s="13" t="s">
        <v>1000</v>
      </c>
      <c r="E53" s="13" t="s">
        <v>1018</v>
      </c>
      <c r="F53" s="13" t="s">
        <v>1002</v>
      </c>
      <c r="G53" s="13"/>
      <c r="H53" s="13" t="n">
        <v>127</v>
      </c>
      <c r="I53" s="14" t="s">
        <v>673</v>
      </c>
      <c r="J53" s="13" t="s">
        <v>64</v>
      </c>
      <c r="K53" s="14" t="s">
        <v>1000</v>
      </c>
      <c r="L53" s="17" t="n">
        <f aca="false">IF(M53="",0,LEN(M53)-LEN(SUBSTITUTE(M53,",",""))+1)</f>
        <v>2</v>
      </c>
      <c r="M53" s="14" t="s">
        <v>2210</v>
      </c>
      <c r="N53" s="13" t="n">
        <v>3</v>
      </c>
      <c r="O53" s="14"/>
      <c r="P53" s="13"/>
    </row>
    <row r="54" customFormat="false" ht="15" hidden="false" customHeight="true" outlineLevel="0" collapsed="false">
      <c r="A54" s="13" t="n">
        <v>30</v>
      </c>
      <c r="B54" s="13" t="s">
        <v>2201</v>
      </c>
      <c r="C54" s="13" t="s">
        <v>987</v>
      </c>
      <c r="D54" s="13" t="s">
        <v>1000</v>
      </c>
      <c r="E54" s="13" t="s">
        <v>1018</v>
      </c>
      <c r="F54" s="13" t="s">
        <v>1002</v>
      </c>
      <c r="G54" s="13"/>
      <c r="H54" s="13" t="n">
        <v>187</v>
      </c>
      <c r="I54" s="14" t="s">
        <v>780</v>
      </c>
      <c r="J54" s="13" t="s">
        <v>519</v>
      </c>
      <c r="K54" s="14" t="s">
        <v>1018</v>
      </c>
      <c r="L54" s="17" t="n">
        <f aca="false">IF(M54="",0,LEN(M54)-LEN(SUBSTITUTE(M54,",",""))+1)</f>
        <v>2</v>
      </c>
      <c r="M54" s="14" t="s">
        <v>2211</v>
      </c>
      <c r="N54" s="13" t="n">
        <v>3</v>
      </c>
      <c r="O54" s="14"/>
      <c r="P54" s="13"/>
    </row>
    <row r="55" customFormat="false" ht="23.25" hidden="false" customHeight="true" outlineLevel="0" collapsed="false">
      <c r="A55" s="13" t="n">
        <v>31</v>
      </c>
      <c r="B55" s="13" t="s">
        <v>2201</v>
      </c>
      <c r="C55" s="13" t="s">
        <v>978</v>
      </c>
      <c r="D55" s="13" t="s">
        <v>2212</v>
      </c>
      <c r="E55" s="13" t="s">
        <v>1016</v>
      </c>
      <c r="F55" s="13" t="s">
        <v>1002</v>
      </c>
      <c r="G55" s="13"/>
      <c r="H55" s="13" t="n">
        <v>91</v>
      </c>
      <c r="I55" s="14" t="s">
        <v>595</v>
      </c>
      <c r="J55" s="13" t="s">
        <v>279</v>
      </c>
      <c r="K55" s="14" t="s">
        <v>981</v>
      </c>
      <c r="L55" s="17" t="n">
        <f aca="false">IF(M55="",0,LEN(M55)-LEN(SUBSTITUTE(M55,",",""))+1)</f>
        <v>2</v>
      </c>
      <c r="M55" s="14" t="s">
        <v>2213</v>
      </c>
      <c r="N55" s="13" t="n">
        <v>5</v>
      </c>
      <c r="O55" s="14"/>
      <c r="P55" s="13" t="s">
        <v>2178</v>
      </c>
    </row>
    <row r="56" customFormat="false" ht="15" hidden="false" customHeight="true" outlineLevel="0" collapsed="false">
      <c r="A56" s="13" t="n">
        <v>31</v>
      </c>
      <c r="B56" s="13" t="s">
        <v>2201</v>
      </c>
      <c r="C56" s="13" t="s">
        <v>978</v>
      </c>
      <c r="D56" s="13" t="s">
        <v>2212</v>
      </c>
      <c r="E56" s="13" t="s">
        <v>1016</v>
      </c>
      <c r="F56" s="13" t="s">
        <v>1002</v>
      </c>
      <c r="G56" s="13"/>
      <c r="H56" s="13" t="n">
        <v>107</v>
      </c>
      <c r="I56" s="14" t="s">
        <v>634</v>
      </c>
      <c r="J56" s="13" t="s">
        <v>348</v>
      </c>
      <c r="K56" s="14" t="s">
        <v>875</v>
      </c>
      <c r="L56" s="17" t="n">
        <f aca="false">IF(M56="",0,LEN(M56)-LEN(SUBSTITUTE(M56,",",""))+1)</f>
        <v>2</v>
      </c>
      <c r="M56" s="14" t="s">
        <v>2214</v>
      </c>
      <c r="N56" s="13" t="n">
        <v>7</v>
      </c>
      <c r="O56" s="14"/>
      <c r="P56" s="13"/>
    </row>
    <row r="57" customFormat="false" ht="15" hidden="false" customHeight="true" outlineLevel="0" collapsed="false">
      <c r="A57" s="13" t="n">
        <v>32</v>
      </c>
      <c r="B57" s="13" t="s">
        <v>2201</v>
      </c>
      <c r="C57" s="13" t="s">
        <v>904</v>
      </c>
      <c r="D57" s="13" t="s">
        <v>997</v>
      </c>
      <c r="E57" s="13" t="s">
        <v>1016</v>
      </c>
      <c r="F57" s="13" t="s">
        <v>1002</v>
      </c>
      <c r="G57" s="13"/>
      <c r="H57" s="13" t="n">
        <v>19</v>
      </c>
      <c r="I57" s="14" t="s">
        <v>209</v>
      </c>
      <c r="J57" s="13" t="s">
        <v>210</v>
      </c>
      <c r="K57" s="14" t="s">
        <v>903</v>
      </c>
      <c r="L57" s="17" t="n">
        <f aca="false">IF(M57="",0,LEN(M57)-LEN(SUBSTITUTE(M57,",",""))+1)</f>
        <v>3</v>
      </c>
      <c r="M57" s="14" t="s">
        <v>2215</v>
      </c>
      <c r="N57" s="13" t="n">
        <v>5</v>
      </c>
      <c r="O57" s="14"/>
      <c r="P57" s="13"/>
    </row>
    <row r="58" customFormat="false" ht="23.25" hidden="false" customHeight="true" outlineLevel="0" collapsed="false">
      <c r="A58" s="13" t="n">
        <v>32</v>
      </c>
      <c r="B58" s="13" t="s">
        <v>2201</v>
      </c>
      <c r="C58" s="13" t="s">
        <v>904</v>
      </c>
      <c r="D58" s="13" t="s">
        <v>997</v>
      </c>
      <c r="E58" s="13" t="s">
        <v>1016</v>
      </c>
      <c r="F58" s="13" t="s">
        <v>1002</v>
      </c>
      <c r="G58" s="13"/>
      <c r="H58" s="13" t="n">
        <v>148</v>
      </c>
      <c r="I58" s="14" t="s">
        <v>713</v>
      </c>
      <c r="J58" s="13" t="s">
        <v>181</v>
      </c>
      <c r="K58" s="14" t="s">
        <v>1012</v>
      </c>
      <c r="L58" s="17" t="n">
        <f aca="false">IF(M58="",0,LEN(M58)-LEN(SUBSTITUTE(M58,",",""))+1)</f>
        <v>0</v>
      </c>
      <c r="M58" s="14"/>
      <c r="N58" s="13" t="n">
        <v>7</v>
      </c>
      <c r="O58" s="14"/>
      <c r="P58" s="13"/>
    </row>
    <row r="59" customFormat="false" ht="15" hidden="false" customHeight="true" outlineLevel="0" collapsed="false">
      <c r="A59" s="13" t="n">
        <v>33</v>
      </c>
      <c r="B59" s="13" t="s">
        <v>2216</v>
      </c>
      <c r="C59" s="13" t="s">
        <v>958</v>
      </c>
      <c r="D59" s="13" t="s">
        <v>2138</v>
      </c>
      <c r="E59" s="13" t="s">
        <v>931</v>
      </c>
      <c r="F59" s="13" t="s">
        <v>1002</v>
      </c>
      <c r="G59" s="13"/>
      <c r="H59" s="13" t="n">
        <v>146</v>
      </c>
      <c r="I59" s="14" t="s">
        <v>709</v>
      </c>
      <c r="J59" s="13" t="s">
        <v>125</v>
      </c>
      <c r="K59" s="14" t="s">
        <v>931</v>
      </c>
      <c r="L59" s="17" t="n">
        <f aca="false">IF(M59="",0,LEN(M59)-LEN(SUBSTITUTE(M59,",",""))+1)</f>
        <v>1</v>
      </c>
      <c r="M59" s="14" t="s">
        <v>931</v>
      </c>
      <c r="N59" s="13" t="n">
        <v>5</v>
      </c>
      <c r="O59" s="14" t="s">
        <v>2217</v>
      </c>
      <c r="P59" s="13"/>
    </row>
    <row r="60" customFormat="false" ht="15" hidden="false" customHeight="true" outlineLevel="0" collapsed="false">
      <c r="A60" s="13" t="n">
        <v>33</v>
      </c>
      <c r="B60" s="13" t="s">
        <v>2216</v>
      </c>
      <c r="C60" s="13" t="s">
        <v>958</v>
      </c>
      <c r="D60" s="13" t="s">
        <v>2138</v>
      </c>
      <c r="E60" s="13" t="s">
        <v>931</v>
      </c>
      <c r="F60" s="13" t="s">
        <v>1002</v>
      </c>
      <c r="G60" s="13"/>
      <c r="H60" s="13" t="n">
        <v>39</v>
      </c>
      <c r="I60" s="14" t="s">
        <v>368</v>
      </c>
      <c r="J60" s="13" t="s">
        <v>210</v>
      </c>
      <c r="K60" s="14" t="s">
        <v>931</v>
      </c>
      <c r="L60" s="17" t="n">
        <f aca="false">IF(M60="",0,LEN(M60)-LEN(SUBSTITUTE(M60,",",""))+1)</f>
        <v>3</v>
      </c>
      <c r="M60" s="14" t="s">
        <v>2218</v>
      </c>
      <c r="N60" s="13" t="n">
        <v>7</v>
      </c>
      <c r="O60" s="14"/>
      <c r="P60" s="13"/>
    </row>
    <row r="61" customFormat="false" ht="15" hidden="false" customHeight="true" outlineLevel="0" collapsed="false">
      <c r="A61" s="13" t="n">
        <v>34</v>
      </c>
      <c r="B61" s="13" t="s">
        <v>2216</v>
      </c>
      <c r="C61" s="13" t="s">
        <v>923</v>
      </c>
      <c r="D61" s="13" t="s">
        <v>1001</v>
      </c>
      <c r="E61" s="13" t="s">
        <v>1018</v>
      </c>
      <c r="F61" s="13" t="s">
        <v>1002</v>
      </c>
      <c r="G61" s="13"/>
      <c r="H61" s="13" t="n">
        <v>128</v>
      </c>
      <c r="I61" s="14" t="s">
        <v>674</v>
      </c>
      <c r="J61" s="13" t="s">
        <v>239</v>
      </c>
      <c r="K61" s="14" t="s">
        <v>1001</v>
      </c>
      <c r="L61" s="17" t="n">
        <f aca="false">IF(M61="",0,LEN(M61)-LEN(SUBSTITUTE(M61,",",""))+1)</f>
        <v>3</v>
      </c>
      <c r="M61" s="14" t="s">
        <v>2219</v>
      </c>
      <c r="N61" s="13" t="n">
        <v>2</v>
      </c>
      <c r="O61" s="14" t="s">
        <v>2220</v>
      </c>
      <c r="P61" s="13"/>
    </row>
    <row r="62" customFormat="false" ht="15" hidden="false" customHeight="true" outlineLevel="0" collapsed="false">
      <c r="A62" s="13" t="n">
        <v>34</v>
      </c>
      <c r="B62" s="13" t="s">
        <v>2216</v>
      </c>
      <c r="C62" s="13" t="s">
        <v>923</v>
      </c>
      <c r="D62" s="13" t="s">
        <v>1001</v>
      </c>
      <c r="E62" s="13" t="s">
        <v>1018</v>
      </c>
      <c r="F62" s="13" t="s">
        <v>1002</v>
      </c>
      <c r="G62" s="13"/>
      <c r="H62" s="13" t="n">
        <v>225</v>
      </c>
      <c r="I62" s="14" t="s">
        <v>835</v>
      </c>
      <c r="J62" s="13" t="s">
        <v>51</v>
      </c>
      <c r="K62" s="14" t="s">
        <v>943</v>
      </c>
      <c r="L62" s="17" t="n">
        <f aca="false">IF(M62="",0,LEN(M62)-LEN(SUBSTITUTE(M62,",",""))+1)</f>
        <v>1</v>
      </c>
      <c r="M62" s="14" t="s">
        <v>217</v>
      </c>
      <c r="N62" s="13" t="n">
        <v>3</v>
      </c>
      <c r="O62" s="14" t="s">
        <v>2221</v>
      </c>
      <c r="P62" s="13"/>
    </row>
    <row r="63" customFormat="false" ht="15" hidden="false" customHeight="true" outlineLevel="0" collapsed="false">
      <c r="A63" s="13" t="n">
        <v>35</v>
      </c>
      <c r="B63" s="13" t="s">
        <v>2216</v>
      </c>
      <c r="C63" s="13" t="s">
        <v>879</v>
      </c>
      <c r="D63" s="13" t="s">
        <v>995</v>
      </c>
      <c r="E63" s="13" t="s">
        <v>1016</v>
      </c>
      <c r="F63" s="13" t="s">
        <v>1002</v>
      </c>
      <c r="G63" s="13"/>
      <c r="H63" s="13" t="n">
        <v>61</v>
      </c>
      <c r="I63" s="14" t="s">
        <v>480</v>
      </c>
      <c r="J63" s="13" t="s">
        <v>96</v>
      </c>
      <c r="K63" s="14" t="s">
        <v>956</v>
      </c>
      <c r="L63" s="17" t="n">
        <f aca="false">IF(M63="",0,LEN(M63)-LEN(SUBSTITUTE(M63,",",""))+1)</f>
        <v>2</v>
      </c>
      <c r="M63" s="14" t="s">
        <v>2222</v>
      </c>
      <c r="N63" s="13" t="n">
        <v>8</v>
      </c>
      <c r="O63" s="14" t="s">
        <v>2223</v>
      </c>
      <c r="P63" s="13"/>
    </row>
    <row r="64" customFormat="false" ht="15" hidden="false" customHeight="true" outlineLevel="0" collapsed="false">
      <c r="A64" s="13" t="n">
        <v>35</v>
      </c>
      <c r="B64" s="13" t="s">
        <v>2216</v>
      </c>
      <c r="C64" s="13" t="s">
        <v>879</v>
      </c>
      <c r="D64" s="13" t="s">
        <v>995</v>
      </c>
      <c r="E64" s="13" t="s">
        <v>1016</v>
      </c>
      <c r="F64" s="13" t="s">
        <v>1002</v>
      </c>
      <c r="G64" s="13"/>
      <c r="H64" s="13" t="n">
        <v>56</v>
      </c>
      <c r="I64" s="14" t="s">
        <v>459</v>
      </c>
      <c r="J64" s="13" t="s">
        <v>25</v>
      </c>
      <c r="K64" s="14" t="s">
        <v>951</v>
      </c>
      <c r="L64" s="17" t="n">
        <f aca="false">IF(M64="",0,LEN(M64)-LEN(SUBSTITUTE(M64,",",""))+1)</f>
        <v>3</v>
      </c>
      <c r="M64" s="14" t="s">
        <v>2224</v>
      </c>
      <c r="N64" s="13" t="n">
        <v>6</v>
      </c>
      <c r="O64" s="14"/>
      <c r="P64" s="13"/>
    </row>
    <row r="65" customFormat="false" ht="15" hidden="false" customHeight="true" outlineLevel="0" collapsed="false">
      <c r="A65" s="13" t="n">
        <v>36</v>
      </c>
      <c r="B65" s="13" t="s">
        <v>2216</v>
      </c>
      <c r="C65" s="13" t="s">
        <v>934</v>
      </c>
      <c r="D65" s="13" t="s">
        <v>971</v>
      </c>
      <c r="E65" s="13" t="s">
        <v>1018</v>
      </c>
      <c r="F65" s="13" t="s">
        <v>1002</v>
      </c>
      <c r="G65" s="13"/>
      <c r="H65" s="13" t="n">
        <v>116</v>
      </c>
      <c r="I65" s="14" t="s">
        <v>652</v>
      </c>
      <c r="J65" s="13" t="s">
        <v>25</v>
      </c>
      <c r="K65" s="14" t="s">
        <v>951</v>
      </c>
      <c r="L65" s="17" t="n">
        <f aca="false">IF(M65="",0,LEN(M65)-LEN(SUBSTITUTE(M65,",",""))+1)</f>
        <v>2</v>
      </c>
      <c r="M65" s="14" t="s">
        <v>2225</v>
      </c>
      <c r="N65" s="13" t="n">
        <v>7</v>
      </c>
      <c r="O65" s="14"/>
      <c r="P65" s="13"/>
    </row>
    <row r="66" customFormat="false" ht="15" hidden="false" customHeight="true" outlineLevel="0" collapsed="false">
      <c r="A66" s="13" t="n">
        <v>36</v>
      </c>
      <c r="B66" s="13" t="s">
        <v>2216</v>
      </c>
      <c r="C66" s="13" t="s">
        <v>934</v>
      </c>
      <c r="D66" s="13" t="s">
        <v>971</v>
      </c>
      <c r="E66" s="13" t="s">
        <v>1018</v>
      </c>
      <c r="F66" s="13" t="s">
        <v>1002</v>
      </c>
      <c r="G66" s="13"/>
      <c r="H66" s="13" t="n">
        <v>102</v>
      </c>
      <c r="I66" s="14" t="s">
        <v>624</v>
      </c>
      <c r="J66" s="13" t="s">
        <v>96</v>
      </c>
      <c r="K66" s="14" t="s">
        <v>971</v>
      </c>
      <c r="L66" s="17" t="n">
        <f aca="false">IF(M66="",0,LEN(M66)-LEN(SUBSTITUTE(M66,",",""))+1)</f>
        <v>2</v>
      </c>
      <c r="M66" s="14" t="s">
        <v>2226</v>
      </c>
      <c r="N66" s="13" t="n">
        <v>6</v>
      </c>
      <c r="O66" s="14"/>
      <c r="P66" s="13"/>
    </row>
    <row r="67" customFormat="false" ht="15" hidden="false" customHeight="true" outlineLevel="0" collapsed="false">
      <c r="A67" s="13" t="n">
        <v>37</v>
      </c>
      <c r="B67" s="13" t="s">
        <v>2216</v>
      </c>
      <c r="C67" s="13" t="s">
        <v>987</v>
      </c>
      <c r="D67" s="13" t="s">
        <v>2147</v>
      </c>
      <c r="E67" s="13" t="s">
        <v>1016</v>
      </c>
      <c r="F67" s="13" t="s">
        <v>1002</v>
      </c>
      <c r="G67" s="13"/>
      <c r="H67" s="13" t="n">
        <v>110</v>
      </c>
      <c r="I67" s="14" t="s">
        <v>638</v>
      </c>
      <c r="J67" s="13" t="s">
        <v>279</v>
      </c>
      <c r="K67" s="14" t="s">
        <v>991</v>
      </c>
      <c r="L67" s="17" t="n">
        <f aca="false">IF(M67="",0,LEN(M67)-LEN(SUBSTITUTE(M67,",",""))+1)</f>
        <v>2</v>
      </c>
      <c r="M67" s="14" t="s">
        <v>2227</v>
      </c>
      <c r="N67" s="13" t="n">
        <v>7</v>
      </c>
      <c r="O67" s="14"/>
      <c r="P67" s="13" t="s">
        <v>2178</v>
      </c>
    </row>
    <row r="68" customFormat="false" ht="15" hidden="false" customHeight="true" outlineLevel="0" collapsed="false">
      <c r="A68" s="13" t="n">
        <v>37</v>
      </c>
      <c r="B68" s="13" t="s">
        <v>2216</v>
      </c>
      <c r="C68" s="13" t="s">
        <v>987</v>
      </c>
      <c r="D68" s="13" t="s">
        <v>2147</v>
      </c>
      <c r="E68" s="13" t="s">
        <v>1016</v>
      </c>
      <c r="F68" s="13" t="s">
        <v>2140</v>
      </c>
      <c r="G68" s="13"/>
      <c r="H68" s="13" t="n">
        <v>41</v>
      </c>
      <c r="I68" s="14" t="s">
        <v>382</v>
      </c>
      <c r="J68" s="13" t="s">
        <v>84</v>
      </c>
      <c r="K68" s="14" t="s">
        <v>933</v>
      </c>
      <c r="L68" s="17" t="n">
        <f aca="false">IF(M68="",0,LEN(M68)-LEN(SUBSTITUTE(M68,",",""))+1)</f>
        <v>0</v>
      </c>
      <c r="M68" s="14"/>
      <c r="N68" s="13" t="n">
        <v>9</v>
      </c>
      <c r="O68" s="14"/>
      <c r="P68" s="13"/>
    </row>
    <row r="69" customFormat="false" ht="15" hidden="false" customHeight="true" outlineLevel="0" collapsed="false">
      <c r="A69" s="13" t="n">
        <v>38</v>
      </c>
      <c r="B69" s="13" t="s">
        <v>2216</v>
      </c>
      <c r="C69" s="13" t="s">
        <v>978</v>
      </c>
      <c r="D69" s="13" t="s">
        <v>1000</v>
      </c>
      <c r="E69" s="13" t="s">
        <v>1016</v>
      </c>
      <c r="F69" s="13" t="s">
        <v>984</v>
      </c>
      <c r="G69" s="13"/>
      <c r="H69" s="13" t="n">
        <v>43</v>
      </c>
      <c r="I69" s="14" t="s">
        <v>392</v>
      </c>
      <c r="J69" s="13" t="s">
        <v>148</v>
      </c>
      <c r="K69" s="14" t="s">
        <v>909</v>
      </c>
      <c r="L69" s="17" t="n">
        <f aca="false">IF(M69="",0,LEN(M69)-LEN(SUBSTITUTE(M69,",",""))+1)</f>
        <v>1</v>
      </c>
      <c r="M69" s="14" t="s">
        <v>393</v>
      </c>
      <c r="N69" s="13" t="n">
        <v>8</v>
      </c>
      <c r="O69" s="14"/>
      <c r="P69" s="13"/>
    </row>
    <row r="70" customFormat="false" ht="15" hidden="false" customHeight="true" outlineLevel="0" collapsed="false">
      <c r="A70" s="13" t="n">
        <v>38</v>
      </c>
      <c r="B70" s="13" t="s">
        <v>2216</v>
      </c>
      <c r="C70" s="13" t="s">
        <v>978</v>
      </c>
      <c r="D70" s="13" t="s">
        <v>1000</v>
      </c>
      <c r="E70" s="13" t="s">
        <v>1016</v>
      </c>
      <c r="F70" s="13" t="s">
        <v>984</v>
      </c>
      <c r="G70" s="13"/>
      <c r="H70" s="13" t="n">
        <v>106</v>
      </c>
      <c r="I70" s="14" t="s">
        <v>631</v>
      </c>
      <c r="J70" s="13" t="s">
        <v>96</v>
      </c>
      <c r="K70" s="14" t="s">
        <v>909</v>
      </c>
      <c r="L70" s="17" t="n">
        <f aca="false">IF(M70="",0,LEN(M70)-LEN(SUBSTITUTE(M70,",",""))+1)</f>
        <v>1</v>
      </c>
      <c r="M70" s="14" t="s">
        <v>616</v>
      </c>
      <c r="N70" s="13" t="n">
        <v>10</v>
      </c>
      <c r="O70" s="14"/>
      <c r="P70" s="13"/>
    </row>
    <row r="71" customFormat="false" ht="15" hidden="false" customHeight="true" outlineLevel="0" collapsed="false">
      <c r="A71" s="13" t="n">
        <v>39</v>
      </c>
      <c r="B71" s="13" t="s">
        <v>2216</v>
      </c>
      <c r="C71" s="13" t="s">
        <v>904</v>
      </c>
      <c r="D71" s="13" t="s">
        <v>2228</v>
      </c>
      <c r="E71" s="13" t="s">
        <v>931</v>
      </c>
      <c r="F71" s="13" t="s">
        <v>1002</v>
      </c>
      <c r="G71" s="13"/>
      <c r="H71" s="13" t="n">
        <v>207</v>
      </c>
      <c r="I71" s="14" t="s">
        <v>811</v>
      </c>
      <c r="J71" s="13" t="s">
        <v>260</v>
      </c>
      <c r="K71" s="14" t="s">
        <v>1033</v>
      </c>
      <c r="L71" s="17" t="n">
        <f aca="false">IF(M71="",0,LEN(M71)-LEN(SUBSTITUTE(M71,",",""))+1)</f>
        <v>1</v>
      </c>
      <c r="M71" s="14" t="s">
        <v>2229</v>
      </c>
      <c r="N71" s="13" t="n">
        <v>3</v>
      </c>
      <c r="O71" s="14"/>
      <c r="P71" s="13" t="s">
        <v>2178</v>
      </c>
    </row>
    <row r="72" customFormat="false" ht="15" hidden="false" customHeight="true" outlineLevel="0" collapsed="false">
      <c r="A72" s="13" t="n">
        <v>39</v>
      </c>
      <c r="B72" s="13" t="s">
        <v>2216</v>
      </c>
      <c r="C72" s="13" t="s">
        <v>904</v>
      </c>
      <c r="D72" s="13" t="s">
        <v>2228</v>
      </c>
      <c r="E72" s="13" t="s">
        <v>931</v>
      </c>
      <c r="F72" s="13" t="s">
        <v>1002</v>
      </c>
      <c r="G72" s="13"/>
      <c r="H72" s="13" t="n">
        <v>4</v>
      </c>
      <c r="I72" s="14" t="s">
        <v>63</v>
      </c>
      <c r="J72" s="13" t="s">
        <v>64</v>
      </c>
      <c r="K72" s="14" t="s">
        <v>877</v>
      </c>
      <c r="L72" s="17" t="n">
        <f aca="false">IF(M72="",0,LEN(M72)-LEN(SUBSTITUTE(M72,",",""))+1)</f>
        <v>3</v>
      </c>
      <c r="M72" s="14" t="s">
        <v>2230</v>
      </c>
      <c r="N72" s="13" t="n">
        <v>7</v>
      </c>
      <c r="O72" s="14"/>
      <c r="P72" s="13"/>
    </row>
    <row r="73" customFormat="false" ht="15" hidden="false" customHeight="true" outlineLevel="0" collapsed="false">
      <c r="A73" s="13" t="n">
        <v>40</v>
      </c>
      <c r="B73" s="13" t="s">
        <v>2216</v>
      </c>
      <c r="C73" s="13" t="s">
        <v>958</v>
      </c>
      <c r="D73" s="13" t="s">
        <v>997</v>
      </c>
      <c r="E73" s="13" t="s">
        <v>1018</v>
      </c>
      <c r="F73" s="13" t="s">
        <v>2140</v>
      </c>
      <c r="G73" s="13"/>
      <c r="H73" s="13" t="n">
        <v>10</v>
      </c>
      <c r="I73" s="14" t="s">
        <v>124</v>
      </c>
      <c r="J73" s="13" t="s">
        <v>125</v>
      </c>
      <c r="K73" s="14" t="s">
        <v>890</v>
      </c>
      <c r="L73" s="17" t="n">
        <f aca="false">IF(M73="",0,LEN(M73)-LEN(SUBSTITUTE(M73,",",""))+1)</f>
        <v>0</v>
      </c>
      <c r="M73" s="14"/>
      <c r="N73" s="13" t="n">
        <v>8</v>
      </c>
      <c r="O73" s="14"/>
      <c r="P73" s="13"/>
    </row>
    <row r="74" customFormat="false" ht="15" hidden="false" customHeight="true" outlineLevel="0" collapsed="false">
      <c r="A74" s="13" t="n">
        <v>40</v>
      </c>
      <c r="B74" s="13" t="s">
        <v>2216</v>
      </c>
      <c r="C74" s="13" t="s">
        <v>958</v>
      </c>
      <c r="D74" s="13" t="s">
        <v>997</v>
      </c>
      <c r="E74" s="13" t="s">
        <v>1018</v>
      </c>
      <c r="F74" s="13" t="s">
        <v>2140</v>
      </c>
      <c r="G74" s="13"/>
      <c r="H74" s="13" t="n">
        <v>22</v>
      </c>
      <c r="I74" s="14" t="s">
        <v>238</v>
      </c>
      <c r="J74" s="13" t="s">
        <v>239</v>
      </c>
      <c r="K74" s="14" t="s">
        <v>907</v>
      </c>
      <c r="L74" s="17" t="n">
        <f aca="false">IF(M74="",0,LEN(M74)-LEN(SUBSTITUTE(M74,",",""))+1)</f>
        <v>1</v>
      </c>
      <c r="M74" s="14" t="s">
        <v>244</v>
      </c>
      <c r="N74" s="13" t="n">
        <v>8</v>
      </c>
      <c r="O74" s="14"/>
      <c r="P74" s="13"/>
    </row>
    <row r="75" customFormat="false" ht="23.25" hidden="false" customHeight="true" outlineLevel="0" collapsed="false">
      <c r="A75" s="13" t="n">
        <v>41</v>
      </c>
      <c r="B75" s="13" t="s">
        <v>2231</v>
      </c>
      <c r="C75" s="13" t="s">
        <v>923</v>
      </c>
      <c r="D75" s="13" t="s">
        <v>2138</v>
      </c>
      <c r="E75" s="13" t="s">
        <v>1016</v>
      </c>
      <c r="F75" s="13" t="s">
        <v>2140</v>
      </c>
      <c r="G75" s="13"/>
      <c r="H75" s="13" t="n">
        <v>38</v>
      </c>
      <c r="I75" s="14" t="s">
        <v>361</v>
      </c>
      <c r="J75" s="13" t="s">
        <v>135</v>
      </c>
      <c r="K75" s="14" t="s">
        <v>930</v>
      </c>
      <c r="L75" s="17" t="n">
        <f aca="false">IF(M75="",0,LEN(M75)-LEN(SUBSTITUTE(M75,",",""))+1)</f>
        <v>2</v>
      </c>
      <c r="M75" s="14" t="s">
        <v>2232</v>
      </c>
      <c r="N75" s="13" t="n">
        <v>3</v>
      </c>
      <c r="O75" s="14"/>
      <c r="P75" s="13"/>
    </row>
    <row r="76" customFormat="false" ht="15" hidden="false" customHeight="true" outlineLevel="0" collapsed="false">
      <c r="A76" s="13" t="n">
        <v>41</v>
      </c>
      <c r="B76" s="13" t="s">
        <v>2231</v>
      </c>
      <c r="C76" s="13" t="s">
        <v>923</v>
      </c>
      <c r="D76" s="13" t="s">
        <v>2138</v>
      </c>
      <c r="E76" s="13" t="s">
        <v>1016</v>
      </c>
      <c r="F76" s="13" t="s">
        <v>2140</v>
      </c>
      <c r="G76" s="13"/>
      <c r="H76" s="13" t="n">
        <v>167</v>
      </c>
      <c r="I76" s="14" t="s">
        <v>746</v>
      </c>
      <c r="J76" s="13" t="s">
        <v>51</v>
      </c>
      <c r="K76" s="14" t="s">
        <v>1022</v>
      </c>
      <c r="L76" s="17" t="n">
        <f aca="false">IF(M76="",0,LEN(M76)-LEN(SUBSTITUTE(M76,",",""))+1)</f>
        <v>1</v>
      </c>
      <c r="M76" s="14" t="s">
        <v>475</v>
      </c>
      <c r="N76" s="13" t="n">
        <v>5</v>
      </c>
      <c r="O76" s="14"/>
      <c r="P76" s="13"/>
    </row>
    <row r="77" customFormat="false" ht="15" hidden="false" customHeight="true" outlineLevel="0" collapsed="false">
      <c r="A77" s="13" t="n">
        <v>42</v>
      </c>
      <c r="B77" s="13" t="s">
        <v>2231</v>
      </c>
      <c r="C77" s="13" t="s">
        <v>879</v>
      </c>
      <c r="D77" s="13" t="s">
        <v>1001</v>
      </c>
      <c r="E77" s="13" t="s">
        <v>1016</v>
      </c>
      <c r="F77" s="13" t="s">
        <v>1002</v>
      </c>
      <c r="G77" s="13"/>
      <c r="H77" s="13" t="n">
        <v>5</v>
      </c>
      <c r="I77" s="14" t="s">
        <v>76</v>
      </c>
      <c r="J77" s="13" t="s">
        <v>77</v>
      </c>
      <c r="K77" s="14" t="s">
        <v>879</v>
      </c>
      <c r="L77" s="17" t="n">
        <f aca="false">IF(M77="",0,LEN(M77)-LEN(SUBSTITUTE(M77,",",""))+1)</f>
        <v>2</v>
      </c>
      <c r="M77" s="14" t="s">
        <v>2233</v>
      </c>
      <c r="N77" s="13" t="n">
        <v>6</v>
      </c>
      <c r="O77" s="14"/>
      <c r="P77" s="13"/>
    </row>
    <row r="78" customFormat="false" ht="15" hidden="false" customHeight="true" outlineLevel="0" collapsed="false">
      <c r="A78" s="13" t="n">
        <v>42</v>
      </c>
      <c r="B78" s="13" t="s">
        <v>2231</v>
      </c>
      <c r="C78" s="13" t="s">
        <v>879</v>
      </c>
      <c r="D78" s="13" t="s">
        <v>1001</v>
      </c>
      <c r="E78" s="13" t="s">
        <v>1016</v>
      </c>
      <c r="F78" s="13" t="s">
        <v>1002</v>
      </c>
      <c r="G78" s="13"/>
      <c r="H78" s="13" t="n">
        <v>72</v>
      </c>
      <c r="I78" s="14" t="s">
        <v>525</v>
      </c>
      <c r="J78" s="13" t="s">
        <v>135</v>
      </c>
      <c r="K78" s="14" t="s">
        <v>966</v>
      </c>
      <c r="L78" s="17" t="n">
        <f aca="false">IF(M78="",0,LEN(M78)-LEN(SUBSTITUTE(M78,",",""))+1)</f>
        <v>0</v>
      </c>
      <c r="M78" s="14"/>
      <c r="N78" s="13" t="n">
        <v>6</v>
      </c>
      <c r="O78" s="14"/>
      <c r="P78" s="13"/>
    </row>
    <row r="79" customFormat="false" ht="23.25" hidden="false" customHeight="true" outlineLevel="0" collapsed="false">
      <c r="A79" s="13" t="n">
        <v>43</v>
      </c>
      <c r="B79" s="13" t="s">
        <v>2231</v>
      </c>
      <c r="C79" s="13" t="s">
        <v>934</v>
      </c>
      <c r="D79" s="13" t="s">
        <v>995</v>
      </c>
      <c r="E79" s="13" t="s">
        <v>1018</v>
      </c>
      <c r="F79" s="13" t="s">
        <v>984</v>
      </c>
      <c r="G79" s="13"/>
      <c r="H79" s="13" t="n">
        <v>18</v>
      </c>
      <c r="I79" s="14" t="s">
        <v>201</v>
      </c>
      <c r="J79" s="13" t="s">
        <v>171</v>
      </c>
      <c r="K79" s="14" t="s">
        <v>902</v>
      </c>
      <c r="L79" s="17" t="n">
        <f aca="false">IF(M79="",0,LEN(M79)-LEN(SUBSTITUTE(M79,",",""))+1)</f>
        <v>1</v>
      </c>
      <c r="M79" s="14" t="s">
        <v>202</v>
      </c>
      <c r="N79" s="13" t="n">
        <v>7</v>
      </c>
      <c r="O79" s="14"/>
      <c r="P79" s="13"/>
    </row>
    <row r="80" customFormat="false" ht="15" hidden="false" customHeight="true" outlineLevel="0" collapsed="false">
      <c r="A80" s="13" t="n">
        <v>43</v>
      </c>
      <c r="B80" s="13" t="s">
        <v>2231</v>
      </c>
      <c r="C80" s="13" t="s">
        <v>934</v>
      </c>
      <c r="D80" s="13" t="s">
        <v>995</v>
      </c>
      <c r="E80" s="13" t="s">
        <v>1018</v>
      </c>
      <c r="F80" s="13" t="s">
        <v>1002</v>
      </c>
      <c r="G80" s="13"/>
      <c r="H80" s="13" t="n">
        <v>104</v>
      </c>
      <c r="I80" s="14" t="s">
        <v>628</v>
      </c>
      <c r="J80" s="13" t="s">
        <v>51</v>
      </c>
      <c r="K80" s="14" t="s">
        <v>916</v>
      </c>
      <c r="L80" s="17" t="n">
        <f aca="false">IF(M80="",0,LEN(M80)-LEN(SUBSTITUTE(M80,",",""))+1)</f>
        <v>0</v>
      </c>
      <c r="M80" s="14"/>
      <c r="N80" s="13" t="n">
        <v>8</v>
      </c>
      <c r="O80" s="14"/>
      <c r="P80" s="13"/>
    </row>
    <row r="81" customFormat="false" ht="15" hidden="false" customHeight="true" outlineLevel="0" collapsed="false">
      <c r="A81" s="13" t="n">
        <v>44</v>
      </c>
      <c r="B81" s="13" t="s">
        <v>2231</v>
      </c>
      <c r="C81" s="13" t="s">
        <v>987</v>
      </c>
      <c r="D81" s="13" t="s">
        <v>971</v>
      </c>
      <c r="E81" s="13" t="s">
        <v>1018</v>
      </c>
      <c r="F81" s="13" t="s">
        <v>1002</v>
      </c>
      <c r="G81" s="13"/>
      <c r="H81" s="13" t="n">
        <v>168</v>
      </c>
      <c r="I81" s="14" t="s">
        <v>749</v>
      </c>
      <c r="J81" s="13" t="s">
        <v>260</v>
      </c>
      <c r="K81" s="14" t="s">
        <v>943</v>
      </c>
      <c r="L81" s="17" t="n">
        <f aca="false">IF(M81="",0,LEN(M81)-LEN(SUBSTITUTE(M81,",",""))+1)</f>
        <v>1</v>
      </c>
      <c r="M81" s="14" t="s">
        <v>615</v>
      </c>
      <c r="N81" s="13" t="n">
        <v>3</v>
      </c>
      <c r="O81" s="14"/>
      <c r="P81" s="13"/>
    </row>
    <row r="82" customFormat="false" ht="15" hidden="false" customHeight="true" outlineLevel="0" collapsed="false">
      <c r="A82" s="13" t="n">
        <v>45</v>
      </c>
      <c r="B82" s="13" t="s">
        <v>2231</v>
      </c>
      <c r="C82" s="13" t="s">
        <v>978</v>
      </c>
      <c r="D82" s="13" t="s">
        <v>2147</v>
      </c>
      <c r="E82" s="13" t="s">
        <v>1029</v>
      </c>
      <c r="F82" s="13" t="s">
        <v>979</v>
      </c>
      <c r="G82" s="13" t="s">
        <v>2155</v>
      </c>
      <c r="H82" s="13" t="n">
        <v>222</v>
      </c>
      <c r="I82" s="14" t="s">
        <v>831</v>
      </c>
      <c r="J82" s="13" t="s">
        <v>84</v>
      </c>
      <c r="K82" s="14" t="s">
        <v>1037</v>
      </c>
      <c r="L82" s="17" t="n">
        <f aca="false">IF(M82="",0,LEN(M82)-LEN(SUBSTITUTE(M82,",",""))+1)</f>
        <v>1</v>
      </c>
      <c r="M82" s="14" t="s">
        <v>87</v>
      </c>
      <c r="N82" s="13" t="n">
        <v>5</v>
      </c>
      <c r="O82" s="14" t="s">
        <v>2234</v>
      </c>
      <c r="P82" s="13"/>
    </row>
    <row r="83" customFormat="false" ht="15" hidden="false" customHeight="true" outlineLevel="0" collapsed="false">
      <c r="A83" s="13" t="n">
        <v>45</v>
      </c>
      <c r="B83" s="13" t="s">
        <v>2231</v>
      </c>
      <c r="C83" s="13" t="s">
        <v>978</v>
      </c>
      <c r="D83" s="13" t="s">
        <v>2147</v>
      </c>
      <c r="E83" s="13" t="s">
        <v>1029</v>
      </c>
      <c r="F83" s="13" t="s">
        <v>1002</v>
      </c>
      <c r="G83" s="13"/>
      <c r="H83" s="13" t="n">
        <v>66</v>
      </c>
      <c r="I83" s="14" t="s">
        <v>500</v>
      </c>
      <c r="J83" s="13" t="s">
        <v>279</v>
      </c>
      <c r="K83" s="14" t="s">
        <v>959</v>
      </c>
      <c r="L83" s="17" t="n">
        <f aca="false">IF(M83="",0,LEN(M83)-LEN(SUBSTITUTE(M83,",",""))+1)</f>
        <v>1</v>
      </c>
      <c r="M83" s="14" t="s">
        <v>503</v>
      </c>
      <c r="N83" s="13" t="n">
        <v>7</v>
      </c>
      <c r="O83" s="14"/>
      <c r="P83" s="13"/>
    </row>
    <row r="84" customFormat="false" ht="15" hidden="false" customHeight="true" outlineLevel="0" collapsed="false">
      <c r="A84" s="13" t="n">
        <v>46</v>
      </c>
      <c r="B84" s="13" t="s">
        <v>2231</v>
      </c>
      <c r="C84" s="13" t="s">
        <v>904</v>
      </c>
      <c r="D84" s="13" t="s">
        <v>1000</v>
      </c>
      <c r="E84" s="13" t="s">
        <v>1016</v>
      </c>
      <c r="F84" s="13" t="s">
        <v>1002</v>
      </c>
      <c r="G84" s="13"/>
      <c r="H84" s="13" t="n">
        <v>50</v>
      </c>
      <c r="I84" s="14" t="s">
        <v>422</v>
      </c>
      <c r="J84" s="13" t="s">
        <v>64</v>
      </c>
      <c r="K84" s="14" t="s">
        <v>944</v>
      </c>
      <c r="L84" s="17" t="n">
        <f aca="false">IF(M84="",0,LEN(M84)-LEN(SUBSTITUTE(M84,",",""))+1)</f>
        <v>0</v>
      </c>
      <c r="M84" s="14"/>
      <c r="N84" s="13" t="n">
        <v>8</v>
      </c>
      <c r="O84" s="14"/>
      <c r="P84" s="13"/>
    </row>
    <row r="85" customFormat="false" ht="15" hidden="false" customHeight="true" outlineLevel="0" collapsed="false">
      <c r="A85" s="13" t="n">
        <v>47</v>
      </c>
      <c r="B85" s="13" t="s">
        <v>2231</v>
      </c>
      <c r="C85" s="13" t="s">
        <v>958</v>
      </c>
      <c r="D85" s="13" t="s">
        <v>2235</v>
      </c>
      <c r="E85" s="13" t="s">
        <v>931</v>
      </c>
      <c r="F85" s="13" t="s">
        <v>1002</v>
      </c>
      <c r="G85" s="13"/>
      <c r="H85" s="13" t="n">
        <v>1</v>
      </c>
      <c r="I85" s="14" t="s">
        <v>24</v>
      </c>
      <c r="J85" s="13" t="s">
        <v>25</v>
      </c>
      <c r="K85" s="14" t="s">
        <v>872</v>
      </c>
      <c r="L85" s="17" t="n">
        <f aca="false">IF(M85="",0,LEN(M85)-LEN(SUBSTITUTE(M85,",",""))+1)</f>
        <v>1</v>
      </c>
      <c r="M85" s="14" t="s">
        <v>2236</v>
      </c>
      <c r="N85" s="13" t="n">
        <v>8</v>
      </c>
      <c r="O85" s="14"/>
      <c r="P85" s="13" t="s">
        <v>2178</v>
      </c>
    </row>
    <row r="86" customFormat="false" ht="15" hidden="false" customHeight="true" outlineLevel="0" collapsed="false">
      <c r="A86" s="13" t="n">
        <v>48</v>
      </c>
      <c r="B86" s="13" t="s">
        <v>2231</v>
      </c>
      <c r="C86" s="13" t="s">
        <v>923</v>
      </c>
      <c r="D86" s="13" t="s">
        <v>997</v>
      </c>
      <c r="E86" s="13" t="s">
        <v>1016</v>
      </c>
      <c r="F86" s="13" t="s">
        <v>984</v>
      </c>
      <c r="G86" s="13"/>
      <c r="H86" s="13" t="n">
        <v>131</v>
      </c>
      <c r="I86" s="14" t="s">
        <v>677</v>
      </c>
      <c r="J86" s="13" t="s">
        <v>148</v>
      </c>
      <c r="K86" s="14" t="s">
        <v>999</v>
      </c>
      <c r="L86" s="17" t="n">
        <f aca="false">IF(M86="",0,LEN(M86)-LEN(SUBSTITUTE(M86,",",""))+1)</f>
        <v>1</v>
      </c>
      <c r="M86" s="14" t="s">
        <v>176</v>
      </c>
      <c r="N86" s="13" t="n">
        <v>3</v>
      </c>
      <c r="O86" s="14"/>
      <c r="P86" s="13"/>
    </row>
    <row r="87" customFormat="false" ht="15" hidden="false" customHeight="true" outlineLevel="0" collapsed="false">
      <c r="A87" s="13" t="n">
        <v>49</v>
      </c>
      <c r="B87" s="13" t="s">
        <v>2237</v>
      </c>
      <c r="C87" s="13" t="s">
        <v>879</v>
      </c>
      <c r="D87" s="13" t="s">
        <v>2138</v>
      </c>
      <c r="E87" s="13" t="s">
        <v>1016</v>
      </c>
      <c r="F87" s="13" t="s">
        <v>1002</v>
      </c>
      <c r="G87" s="13"/>
      <c r="H87" s="13" t="n">
        <v>13</v>
      </c>
      <c r="I87" s="14" t="s">
        <v>153</v>
      </c>
      <c r="J87" s="13" t="s">
        <v>154</v>
      </c>
      <c r="K87" s="14" t="s">
        <v>893</v>
      </c>
      <c r="L87" s="17" t="n">
        <f aca="false">IF(M87="",0,LEN(M87)-LEN(SUBSTITUTE(M87,",",""))+1)</f>
        <v>2</v>
      </c>
      <c r="M87" s="14" t="s">
        <v>2238</v>
      </c>
      <c r="N87" s="13" t="n">
        <v>6</v>
      </c>
      <c r="O87" s="14" t="s">
        <v>2234</v>
      </c>
      <c r="P87" s="13"/>
    </row>
    <row r="88" customFormat="false" ht="15" hidden="false" customHeight="true" outlineLevel="0" collapsed="false">
      <c r="A88" s="13" t="n">
        <v>49</v>
      </c>
      <c r="B88" s="13" t="s">
        <v>2237</v>
      </c>
      <c r="C88" s="13" t="s">
        <v>879</v>
      </c>
      <c r="D88" s="13" t="s">
        <v>2138</v>
      </c>
      <c r="E88" s="13" t="s">
        <v>1016</v>
      </c>
      <c r="F88" s="13" t="s">
        <v>1002</v>
      </c>
      <c r="G88" s="13"/>
      <c r="H88" s="13" t="n">
        <v>158</v>
      </c>
      <c r="I88" s="14" t="s">
        <v>733</v>
      </c>
      <c r="J88" s="13" t="s">
        <v>96</v>
      </c>
      <c r="K88" s="14" t="s">
        <v>1017</v>
      </c>
      <c r="L88" s="17" t="n">
        <f aca="false">IF(M88="",0,LEN(M88)-LEN(SUBSTITUTE(M88,",",""))+1)</f>
        <v>0</v>
      </c>
      <c r="M88" s="14"/>
      <c r="N88" s="13" t="n">
        <v>8</v>
      </c>
      <c r="O88" s="14"/>
      <c r="P88" s="13"/>
    </row>
    <row r="89" customFormat="false" ht="23.25" hidden="false" customHeight="true" outlineLevel="0" collapsed="false">
      <c r="A89" s="13" t="n">
        <v>50</v>
      </c>
      <c r="B89" s="13" t="s">
        <v>2237</v>
      </c>
      <c r="C89" s="13" t="s">
        <v>934</v>
      </c>
      <c r="D89" s="13" t="s">
        <v>1001</v>
      </c>
      <c r="E89" s="13" t="s">
        <v>1016</v>
      </c>
      <c r="F89" s="13" t="s">
        <v>979</v>
      </c>
      <c r="G89" s="13"/>
      <c r="H89" s="13" t="n">
        <v>9</v>
      </c>
      <c r="I89" s="14" t="s">
        <v>109</v>
      </c>
      <c r="J89" s="13" t="s">
        <v>110</v>
      </c>
      <c r="K89" s="14" t="s">
        <v>888</v>
      </c>
      <c r="L89" s="17" t="n">
        <f aca="false">IF(M89="",0,LEN(M89)-LEN(SUBSTITUTE(M89,",",""))+1)</f>
        <v>2</v>
      </c>
      <c r="M89" s="14" t="s">
        <v>2239</v>
      </c>
      <c r="N89" s="13" t="n">
        <v>10</v>
      </c>
      <c r="O89" s="14"/>
      <c r="P89" s="13"/>
    </row>
    <row r="90" customFormat="false" ht="15" hidden="false" customHeight="true" outlineLevel="0" collapsed="false">
      <c r="A90" s="13" t="n">
        <v>51</v>
      </c>
      <c r="B90" s="13" t="s">
        <v>2237</v>
      </c>
      <c r="C90" s="13" t="s">
        <v>987</v>
      </c>
      <c r="D90" s="13" t="s">
        <v>995</v>
      </c>
      <c r="E90" s="13" t="s">
        <v>1016</v>
      </c>
      <c r="F90" s="13" t="s">
        <v>984</v>
      </c>
      <c r="G90" s="13"/>
      <c r="H90" s="13" t="n">
        <v>109</v>
      </c>
      <c r="I90" s="14" t="s">
        <v>637</v>
      </c>
      <c r="J90" s="13" t="s">
        <v>239</v>
      </c>
      <c r="K90" s="14" t="s">
        <v>990</v>
      </c>
      <c r="L90" s="17" t="n">
        <f aca="false">IF(M90="",0,LEN(M90)-LEN(SUBSTITUTE(M90,",",""))+1)</f>
        <v>0</v>
      </c>
      <c r="M90" s="14"/>
      <c r="N90" s="13" t="n">
        <v>8</v>
      </c>
      <c r="O90" s="14"/>
      <c r="P90" s="13"/>
    </row>
    <row r="91" customFormat="false" ht="15" hidden="false" customHeight="true" outlineLevel="0" collapsed="false">
      <c r="A91" s="13" t="n">
        <v>52</v>
      </c>
      <c r="B91" s="13" t="s">
        <v>2237</v>
      </c>
      <c r="C91" s="13" t="s">
        <v>978</v>
      </c>
      <c r="D91" s="13" t="s">
        <v>971</v>
      </c>
      <c r="E91" s="13" t="s">
        <v>1029</v>
      </c>
      <c r="F91" s="13" t="s">
        <v>984</v>
      </c>
      <c r="G91" s="13" t="s">
        <v>2155</v>
      </c>
      <c r="H91" s="13" t="n">
        <v>103</v>
      </c>
      <c r="I91" s="14" t="s">
        <v>627</v>
      </c>
      <c r="J91" s="13" t="s">
        <v>148</v>
      </c>
      <c r="K91" s="14" t="s">
        <v>986</v>
      </c>
      <c r="L91" s="17" t="n">
        <f aca="false">IF(M91="",0,LEN(M91)-LEN(SUBSTITUTE(M91,",",""))+1)</f>
        <v>1</v>
      </c>
      <c r="M91" s="14" t="s">
        <v>1029</v>
      </c>
      <c r="N91" s="13" t="n">
        <v>7</v>
      </c>
      <c r="O91" s="14"/>
      <c r="P91" s="13"/>
    </row>
    <row r="92" customFormat="false" ht="15" hidden="false" customHeight="true" outlineLevel="0" collapsed="false">
      <c r="A92" s="13" t="n">
        <v>53</v>
      </c>
      <c r="B92" s="13" t="s">
        <v>2237</v>
      </c>
      <c r="C92" s="13" t="s">
        <v>904</v>
      </c>
      <c r="D92" s="13" t="s">
        <v>2147</v>
      </c>
      <c r="E92" s="13" t="s">
        <v>1016</v>
      </c>
      <c r="F92" s="13" t="s">
        <v>1002</v>
      </c>
      <c r="G92" s="13"/>
      <c r="H92" s="13" t="n">
        <v>217</v>
      </c>
      <c r="I92" s="14" t="s">
        <v>825</v>
      </c>
      <c r="J92" s="13" t="s">
        <v>154</v>
      </c>
      <c r="K92" s="14" t="s">
        <v>943</v>
      </c>
      <c r="L92" s="17" t="n">
        <f aca="false">IF(M92="",0,LEN(M92)-LEN(SUBSTITUTE(M92,",",""))+1)</f>
        <v>0</v>
      </c>
      <c r="M92" s="14"/>
      <c r="N92" s="13" t="n">
        <v>3</v>
      </c>
      <c r="O92" s="14"/>
      <c r="P92" s="13"/>
    </row>
    <row r="93" customFormat="false" ht="15" hidden="false" customHeight="true" outlineLevel="0" collapsed="false">
      <c r="A93" s="13" t="n">
        <v>53</v>
      </c>
      <c r="B93" s="13" t="s">
        <v>2237</v>
      </c>
      <c r="C93" s="13" t="s">
        <v>904</v>
      </c>
      <c r="D93" s="13" t="s">
        <v>2147</v>
      </c>
      <c r="E93" s="13" t="s">
        <v>1016</v>
      </c>
      <c r="F93" s="13" t="s">
        <v>1002</v>
      </c>
      <c r="G93" s="13"/>
      <c r="H93" s="13" t="n">
        <v>224</v>
      </c>
      <c r="I93" s="14" t="s">
        <v>833</v>
      </c>
      <c r="J93" s="13" t="s">
        <v>181</v>
      </c>
      <c r="K93" s="14" t="s">
        <v>943</v>
      </c>
      <c r="L93" s="17" t="n">
        <f aca="false">IF(M93="",0,LEN(M93)-LEN(SUBSTITUTE(M93,",",""))+1)</f>
        <v>0</v>
      </c>
      <c r="M93" s="14"/>
      <c r="N93" s="13" t="n">
        <v>3</v>
      </c>
      <c r="O93" s="14"/>
      <c r="P93" s="13"/>
    </row>
    <row r="94" customFormat="false" ht="15" hidden="false" customHeight="true" outlineLevel="0" collapsed="false">
      <c r="A94" s="13" t="n">
        <v>54</v>
      </c>
      <c r="B94" s="13" t="s">
        <v>2237</v>
      </c>
      <c r="C94" s="13" t="s">
        <v>958</v>
      </c>
      <c r="D94" s="13" t="s">
        <v>1000</v>
      </c>
      <c r="E94" s="13" t="s">
        <v>1016</v>
      </c>
      <c r="F94" s="13" t="s">
        <v>1002</v>
      </c>
      <c r="G94" s="13"/>
      <c r="H94" s="13" t="n">
        <v>160</v>
      </c>
      <c r="I94" s="14" t="s">
        <v>735</v>
      </c>
      <c r="J94" s="13" t="s">
        <v>210</v>
      </c>
      <c r="K94" s="14" t="s">
        <v>1019</v>
      </c>
      <c r="L94" s="17" t="n">
        <f aca="false">IF(M94="",0,LEN(M94)-LEN(SUBSTITUTE(M94,",",""))+1)</f>
        <v>1</v>
      </c>
      <c r="M94" s="14" t="s">
        <v>642</v>
      </c>
      <c r="N94" s="13" t="n">
        <v>6</v>
      </c>
      <c r="O94" s="14"/>
      <c r="P94" s="13"/>
    </row>
    <row r="95" customFormat="false" ht="15" hidden="false" customHeight="true" outlineLevel="0" collapsed="false">
      <c r="A95" s="13" t="n">
        <v>55</v>
      </c>
      <c r="B95" s="13" t="s">
        <v>2237</v>
      </c>
      <c r="C95" s="13" t="s">
        <v>923</v>
      </c>
      <c r="D95" s="13" t="s">
        <v>2240</v>
      </c>
      <c r="E95" s="13" t="s">
        <v>1016</v>
      </c>
      <c r="F95" s="13" t="s">
        <v>1002</v>
      </c>
      <c r="G95" s="13"/>
      <c r="H95" s="13" t="n">
        <v>212</v>
      </c>
      <c r="I95" s="14" t="s">
        <v>817</v>
      </c>
      <c r="J95" s="13" t="s">
        <v>64</v>
      </c>
      <c r="K95" s="14" t="s">
        <v>1036</v>
      </c>
      <c r="L95" s="17" t="n">
        <f aca="false">IF(M95="",0,LEN(M95)-LEN(SUBSTITUTE(M95,",",""))+1)</f>
        <v>1</v>
      </c>
      <c r="M95" s="14" t="s">
        <v>2241</v>
      </c>
      <c r="N95" s="13" t="n">
        <v>3</v>
      </c>
      <c r="O95" s="14"/>
      <c r="P95" s="13" t="s">
        <v>2178</v>
      </c>
    </row>
    <row r="96" customFormat="false" ht="15" hidden="false" customHeight="true" outlineLevel="0" collapsed="false">
      <c r="A96" s="13" t="n">
        <v>56</v>
      </c>
      <c r="B96" s="13" t="s">
        <v>2237</v>
      </c>
      <c r="C96" s="13" t="s">
        <v>879</v>
      </c>
      <c r="D96" s="13" t="s">
        <v>997</v>
      </c>
      <c r="E96" s="13" t="s">
        <v>931</v>
      </c>
      <c r="F96" s="13" t="s">
        <v>2140</v>
      </c>
      <c r="G96" s="13"/>
      <c r="H96" s="13" t="n">
        <v>195</v>
      </c>
      <c r="I96" s="14" t="s">
        <v>793</v>
      </c>
      <c r="J96" s="13" t="s">
        <v>125</v>
      </c>
      <c r="K96" s="14" t="s">
        <v>997</v>
      </c>
      <c r="L96" s="17" t="n">
        <f aca="false">IF(M96="",0,LEN(M96)-LEN(SUBSTITUTE(M96,",",""))+1)</f>
        <v>0</v>
      </c>
      <c r="M96" s="14"/>
      <c r="N96" s="13" t="n">
        <v>6</v>
      </c>
      <c r="O96" s="14"/>
      <c r="P96" s="13"/>
    </row>
    <row r="97" customFormat="false" ht="15" hidden="false" customHeight="true" outlineLevel="0" collapsed="false">
      <c r="A97" s="13" t="n">
        <v>57</v>
      </c>
      <c r="B97" s="13" t="s">
        <v>2242</v>
      </c>
      <c r="C97" s="13" t="s">
        <v>934</v>
      </c>
      <c r="D97" s="13" t="s">
        <v>2138</v>
      </c>
      <c r="E97" s="13" t="s">
        <v>1016</v>
      </c>
      <c r="F97" s="13" t="s">
        <v>1002</v>
      </c>
      <c r="G97" s="13"/>
      <c r="H97" s="13" t="n">
        <v>70</v>
      </c>
      <c r="I97" s="14" t="s">
        <v>518</v>
      </c>
      <c r="J97" s="13" t="s">
        <v>519</v>
      </c>
      <c r="K97" s="14" t="s">
        <v>964</v>
      </c>
      <c r="L97" s="17" t="n">
        <f aca="false">IF(M97="",0,LEN(M97)-LEN(SUBSTITUTE(M97,",",""))+1)</f>
        <v>0</v>
      </c>
      <c r="M97" s="14"/>
      <c r="N97" s="13" t="n">
        <v>8</v>
      </c>
      <c r="O97" s="14"/>
      <c r="P97" s="13"/>
    </row>
    <row r="98" customFormat="false" ht="15" hidden="false" customHeight="true" outlineLevel="0" collapsed="false">
      <c r="A98" s="13" t="n">
        <v>57</v>
      </c>
      <c r="B98" s="13" t="s">
        <v>2242</v>
      </c>
      <c r="C98" s="13" t="s">
        <v>934</v>
      </c>
      <c r="D98" s="13" t="s">
        <v>2138</v>
      </c>
      <c r="E98" s="13" t="s">
        <v>1016</v>
      </c>
      <c r="F98" s="13" t="s">
        <v>1002</v>
      </c>
      <c r="G98" s="13"/>
      <c r="H98" s="13" t="n">
        <v>93</v>
      </c>
      <c r="I98" s="14" t="s">
        <v>600</v>
      </c>
      <c r="J98" s="13" t="s">
        <v>64</v>
      </c>
      <c r="K98" s="14" t="s">
        <v>964</v>
      </c>
      <c r="L98" s="17" t="n">
        <f aca="false">IF(M98="",0,LEN(M98)-LEN(SUBSTITUTE(M98,",",""))+1)</f>
        <v>1</v>
      </c>
      <c r="M98" s="14" t="s">
        <v>601</v>
      </c>
      <c r="N98" s="13" t="n">
        <v>7</v>
      </c>
      <c r="O98" s="14"/>
      <c r="P98" s="13"/>
    </row>
    <row r="99" customFormat="false" ht="15" hidden="false" customHeight="true" outlineLevel="0" collapsed="false">
      <c r="A99" s="13" t="n">
        <v>58</v>
      </c>
      <c r="B99" s="13" t="s">
        <v>2242</v>
      </c>
      <c r="C99" s="13" t="s">
        <v>987</v>
      </c>
      <c r="D99" s="13" t="s">
        <v>1001</v>
      </c>
      <c r="E99" s="13" t="s">
        <v>1018</v>
      </c>
      <c r="F99" s="13" t="s">
        <v>2140</v>
      </c>
      <c r="G99" s="13"/>
      <c r="H99" s="13" t="n">
        <v>92</v>
      </c>
      <c r="I99" s="14" t="s">
        <v>596</v>
      </c>
      <c r="J99" s="13" t="s">
        <v>77</v>
      </c>
      <c r="K99" s="14" t="s">
        <v>982</v>
      </c>
      <c r="L99" s="17" t="n">
        <f aca="false">IF(M99="",0,LEN(M99)-LEN(SUBSTITUTE(M99,",",""))+1)</f>
        <v>0</v>
      </c>
      <c r="M99" s="14"/>
      <c r="N99" s="13" t="n">
        <v>8</v>
      </c>
      <c r="O99" s="14"/>
      <c r="P99" s="13"/>
    </row>
    <row r="100" customFormat="false" ht="15" hidden="false" customHeight="true" outlineLevel="0" collapsed="false">
      <c r="A100" s="13" t="n">
        <v>59</v>
      </c>
      <c r="B100" s="13" t="s">
        <v>2242</v>
      </c>
      <c r="C100" s="13" t="s">
        <v>978</v>
      </c>
      <c r="D100" s="13" t="s">
        <v>995</v>
      </c>
      <c r="E100" s="13" t="s">
        <v>1016</v>
      </c>
      <c r="F100" s="13" t="s">
        <v>1002</v>
      </c>
      <c r="G100" s="13"/>
      <c r="H100" s="13" t="n">
        <v>74</v>
      </c>
      <c r="I100" s="14" t="s">
        <v>530</v>
      </c>
      <c r="J100" s="13" t="s">
        <v>181</v>
      </c>
      <c r="K100" s="14" t="s">
        <v>967</v>
      </c>
      <c r="L100" s="17" t="n">
        <f aca="false">IF(M100="",0,LEN(M100)-LEN(SUBSTITUTE(M100,",",""))+1)</f>
        <v>0</v>
      </c>
      <c r="M100" s="14"/>
      <c r="N100" s="13" t="n">
        <v>8</v>
      </c>
      <c r="O100" s="14"/>
      <c r="P100" s="13" t="s">
        <v>2178</v>
      </c>
    </row>
    <row r="101" customFormat="false" ht="15" hidden="false" customHeight="true" outlineLevel="0" collapsed="false">
      <c r="A101" s="13" t="n">
        <v>60</v>
      </c>
      <c r="B101" s="13" t="s">
        <v>2242</v>
      </c>
      <c r="C101" s="13" t="s">
        <v>904</v>
      </c>
      <c r="D101" s="13" t="s">
        <v>971</v>
      </c>
      <c r="E101" s="13" t="s">
        <v>972</v>
      </c>
      <c r="F101" s="13" t="s">
        <v>2140</v>
      </c>
      <c r="G101" s="13"/>
      <c r="H101" s="13" t="n">
        <v>230</v>
      </c>
      <c r="I101" s="14" t="s">
        <v>845</v>
      </c>
      <c r="J101" s="13" t="s">
        <v>110</v>
      </c>
      <c r="K101" s="14" t="s">
        <v>943</v>
      </c>
      <c r="L101" s="17" t="n">
        <f aca="false">IF(M101="",0,LEN(M101)-LEN(SUBSTITUTE(M101,",",""))+1)</f>
        <v>0</v>
      </c>
      <c r="M101" s="14"/>
      <c r="N101" s="13" t="n">
        <v>3</v>
      </c>
      <c r="O101" s="14"/>
      <c r="P101" s="13"/>
    </row>
    <row r="102" customFormat="false" ht="23.25" hidden="false" customHeight="true" outlineLevel="0" collapsed="false">
      <c r="A102" s="13" t="n">
        <v>61</v>
      </c>
      <c r="B102" s="13" t="s">
        <v>2242</v>
      </c>
      <c r="C102" s="13" t="s">
        <v>958</v>
      </c>
      <c r="D102" s="13" t="s">
        <v>2147</v>
      </c>
      <c r="E102" s="13" t="s">
        <v>1016</v>
      </c>
      <c r="F102" s="13" t="s">
        <v>1002</v>
      </c>
      <c r="G102" s="13"/>
      <c r="H102" s="13" t="n">
        <v>134</v>
      </c>
      <c r="I102" s="14" t="s">
        <v>684</v>
      </c>
      <c r="J102" s="13" t="s">
        <v>260</v>
      </c>
      <c r="K102" s="14" t="s">
        <v>1004</v>
      </c>
      <c r="L102" s="17" t="n">
        <f aca="false">IF(M102="",0,LEN(M102)-LEN(SUBSTITUTE(M102,",",""))+1)</f>
        <v>3</v>
      </c>
      <c r="M102" s="14" t="s">
        <v>2243</v>
      </c>
      <c r="N102" s="13" t="n">
        <v>3</v>
      </c>
      <c r="O102" s="14"/>
      <c r="P102" s="13"/>
    </row>
    <row r="103" customFormat="false" ht="15" hidden="false" customHeight="true" outlineLevel="0" collapsed="false">
      <c r="A103" s="13" t="n">
        <v>61</v>
      </c>
      <c r="B103" s="13" t="s">
        <v>2242</v>
      </c>
      <c r="C103" s="13" t="s">
        <v>958</v>
      </c>
      <c r="D103" s="13" t="s">
        <v>2147</v>
      </c>
      <c r="E103" s="13" t="s">
        <v>1016</v>
      </c>
      <c r="F103" s="13" t="s">
        <v>1002</v>
      </c>
      <c r="G103" s="13"/>
      <c r="H103" s="13" t="n">
        <v>152</v>
      </c>
      <c r="I103" s="14" t="s">
        <v>721</v>
      </c>
      <c r="J103" s="13" t="s">
        <v>181</v>
      </c>
      <c r="K103" s="14" t="s">
        <v>958</v>
      </c>
      <c r="L103" s="17" t="n">
        <f aca="false">IF(M103="",0,LEN(M103)-LEN(SUBSTITUTE(M103,",",""))+1)</f>
        <v>1</v>
      </c>
      <c r="M103" s="14" t="s">
        <v>722</v>
      </c>
      <c r="N103" s="13" t="n">
        <v>5</v>
      </c>
      <c r="O103" s="14"/>
      <c r="P103" s="13"/>
    </row>
    <row r="104" customFormat="false" ht="23.25" hidden="false" customHeight="true" outlineLevel="0" collapsed="false">
      <c r="A104" s="13" t="n">
        <v>62</v>
      </c>
      <c r="B104" s="13" t="s">
        <v>2242</v>
      </c>
      <c r="C104" s="13" t="s">
        <v>923</v>
      </c>
      <c r="D104" s="13" t="s">
        <v>1000</v>
      </c>
      <c r="E104" s="13" t="s">
        <v>1016</v>
      </c>
      <c r="F104" s="13" t="s">
        <v>2140</v>
      </c>
      <c r="G104" s="13"/>
      <c r="H104" s="13" t="n">
        <v>32</v>
      </c>
      <c r="I104" s="14" t="s">
        <v>319</v>
      </c>
      <c r="J104" s="13" t="s">
        <v>64</v>
      </c>
      <c r="K104" s="14" t="s">
        <v>925</v>
      </c>
      <c r="L104" s="17" t="n">
        <f aca="false">IF(M104="",0,LEN(M104)-LEN(SUBSTITUTE(M104,",",""))+1)</f>
        <v>0</v>
      </c>
      <c r="M104" s="14"/>
      <c r="N104" s="13" t="n">
        <v>10</v>
      </c>
      <c r="O104" s="14"/>
      <c r="P104" s="13" t="s">
        <v>2178</v>
      </c>
    </row>
    <row r="105" customFormat="false" ht="15" hidden="false" customHeight="true" outlineLevel="0" collapsed="false">
      <c r="A105" s="13" t="n">
        <v>62</v>
      </c>
      <c r="B105" s="13" t="s">
        <v>2242</v>
      </c>
      <c r="C105" s="13" t="s">
        <v>923</v>
      </c>
      <c r="D105" s="13" t="s">
        <v>1000</v>
      </c>
      <c r="E105" s="13" t="s">
        <v>1016</v>
      </c>
      <c r="F105" s="13" t="s">
        <v>1002</v>
      </c>
      <c r="G105" s="13"/>
      <c r="H105" s="13" t="n">
        <v>35</v>
      </c>
      <c r="I105" s="14" t="s">
        <v>340</v>
      </c>
      <c r="J105" s="13" t="s">
        <v>51</v>
      </c>
      <c r="K105" s="14" t="s">
        <v>927</v>
      </c>
      <c r="L105" s="17" t="n">
        <f aca="false">IF(M105="",0,LEN(M105)-LEN(SUBSTITUTE(M105,",",""))+1)</f>
        <v>1</v>
      </c>
      <c r="M105" s="14" t="s">
        <v>343</v>
      </c>
      <c r="N105" s="13" t="n">
        <v>8</v>
      </c>
      <c r="O105" s="14"/>
      <c r="P105" s="13" t="s">
        <v>2178</v>
      </c>
    </row>
    <row r="106" customFormat="false" ht="15" hidden="false" customHeight="true" outlineLevel="0" collapsed="false">
      <c r="A106" s="13" t="n">
        <v>63</v>
      </c>
      <c r="B106" s="13" t="s">
        <v>2242</v>
      </c>
      <c r="C106" s="13" t="s">
        <v>879</v>
      </c>
      <c r="D106" s="13" t="s">
        <v>2244</v>
      </c>
      <c r="E106" s="13" t="s">
        <v>1016</v>
      </c>
      <c r="F106" s="13" t="s">
        <v>1002</v>
      </c>
      <c r="G106" s="13"/>
      <c r="H106" s="13" t="n">
        <v>47</v>
      </c>
      <c r="I106" s="14" t="s">
        <v>413</v>
      </c>
      <c r="J106" s="13" t="s">
        <v>148</v>
      </c>
      <c r="K106" s="14" t="s">
        <v>892</v>
      </c>
      <c r="L106" s="17" t="n">
        <f aca="false">IF(M106="",0,LEN(M106)-LEN(SUBSTITUTE(M106,",",""))+1)</f>
        <v>1</v>
      </c>
      <c r="M106" s="14" t="s">
        <v>151</v>
      </c>
      <c r="N106" s="13" t="n">
        <v>8</v>
      </c>
      <c r="O106" s="14" t="s">
        <v>2245</v>
      </c>
      <c r="P106" s="13" t="s">
        <v>2178</v>
      </c>
    </row>
    <row r="107" customFormat="false" ht="15" hidden="false" customHeight="true" outlineLevel="0" collapsed="false">
      <c r="A107" s="13" t="n">
        <v>63</v>
      </c>
      <c r="B107" s="13" t="s">
        <v>2242</v>
      </c>
      <c r="C107" s="13" t="s">
        <v>879</v>
      </c>
      <c r="D107" s="13" t="s">
        <v>2244</v>
      </c>
      <c r="E107" s="13" t="s">
        <v>1016</v>
      </c>
      <c r="F107" s="13" t="s">
        <v>1002</v>
      </c>
      <c r="G107" s="13"/>
      <c r="H107" s="13" t="n">
        <v>14</v>
      </c>
      <c r="I107" s="14" t="s">
        <v>162</v>
      </c>
      <c r="J107" s="13" t="s">
        <v>163</v>
      </c>
      <c r="K107" s="14" t="s">
        <v>892</v>
      </c>
      <c r="L107" s="17" t="n">
        <f aca="false">IF(M107="",0,LEN(M107)-LEN(SUBSTITUTE(M107,",",""))+1)</f>
        <v>2</v>
      </c>
      <c r="M107" s="14" t="s">
        <v>2246</v>
      </c>
      <c r="N107" s="13" t="n">
        <v>6</v>
      </c>
      <c r="O107" s="14"/>
      <c r="P107" s="13" t="s">
        <v>2178</v>
      </c>
    </row>
    <row r="108" customFormat="false" ht="15" hidden="false" customHeight="true" outlineLevel="0" collapsed="false">
      <c r="A108" s="13" t="n">
        <v>63</v>
      </c>
      <c r="B108" s="13" t="s">
        <v>2242</v>
      </c>
      <c r="C108" s="13" t="s">
        <v>879</v>
      </c>
      <c r="D108" s="13" t="s">
        <v>2244</v>
      </c>
      <c r="E108" s="13" t="s">
        <v>1016</v>
      </c>
      <c r="F108" s="13" t="s">
        <v>1002</v>
      </c>
      <c r="G108" s="13"/>
      <c r="H108" s="13" t="n">
        <v>62</v>
      </c>
      <c r="I108" s="14" t="s">
        <v>487</v>
      </c>
      <c r="J108" s="13" t="s">
        <v>110</v>
      </c>
      <c r="K108" s="14" t="s">
        <v>892</v>
      </c>
      <c r="L108" s="17" t="n">
        <f aca="false">IF(M108="",0,LEN(M108)-LEN(SUBSTITUTE(M108,",",""))+1)</f>
        <v>1</v>
      </c>
      <c r="M108" s="14" t="s">
        <v>489</v>
      </c>
      <c r="N108" s="13" t="n">
        <v>9</v>
      </c>
      <c r="O108" s="14"/>
      <c r="P108" s="13" t="s">
        <v>2178</v>
      </c>
    </row>
    <row r="109" customFormat="false" ht="15" hidden="false" customHeight="true" outlineLevel="0" collapsed="false">
      <c r="A109" s="13" t="n">
        <v>64</v>
      </c>
      <c r="B109" s="13" t="s">
        <v>2242</v>
      </c>
      <c r="C109" s="13" t="s">
        <v>934</v>
      </c>
      <c r="D109" s="13" t="s">
        <v>997</v>
      </c>
      <c r="E109" s="13" t="s">
        <v>1016</v>
      </c>
      <c r="F109" s="13" t="s">
        <v>2140</v>
      </c>
      <c r="G109" s="13"/>
      <c r="H109" s="13" t="n">
        <v>94</v>
      </c>
      <c r="I109" s="14" t="s">
        <v>603</v>
      </c>
      <c r="J109" s="13" t="s">
        <v>125</v>
      </c>
      <c r="K109" s="14" t="s">
        <v>983</v>
      </c>
      <c r="L109" s="17" t="n">
        <f aca="false">IF(M109="",0,LEN(M109)-LEN(SUBSTITUTE(M109,",",""))+1)</f>
        <v>0</v>
      </c>
      <c r="M109" s="14"/>
      <c r="N109" s="13" t="n">
        <v>8</v>
      </c>
      <c r="O109" s="14"/>
      <c r="P109" s="13" t="s">
        <v>2178</v>
      </c>
    </row>
    <row r="110" customFormat="false" ht="15" hidden="false" customHeight="true" outlineLevel="0" collapsed="false">
      <c r="A110" s="13" t="n">
        <v>64</v>
      </c>
      <c r="B110" s="13" t="s">
        <v>2242</v>
      </c>
      <c r="C110" s="13" t="s">
        <v>934</v>
      </c>
      <c r="D110" s="13" t="s">
        <v>997</v>
      </c>
      <c r="E110" s="13" t="s">
        <v>1016</v>
      </c>
      <c r="F110" s="13" t="s">
        <v>2140</v>
      </c>
      <c r="G110" s="13"/>
      <c r="H110" s="13" t="n">
        <v>99</v>
      </c>
      <c r="I110" s="14" t="s">
        <v>614</v>
      </c>
      <c r="J110" s="13" t="s">
        <v>260</v>
      </c>
      <c r="K110" s="14" t="s">
        <v>964</v>
      </c>
      <c r="L110" s="17" t="n">
        <f aca="false">IF(M110="",0,LEN(M110)-LEN(SUBSTITUTE(M110,",",""))+1)</f>
        <v>0</v>
      </c>
      <c r="M110" s="14"/>
      <c r="N110" s="13" t="n">
        <v>7</v>
      </c>
      <c r="O110" s="14"/>
      <c r="P110" s="13" t="s">
        <v>2178</v>
      </c>
    </row>
    <row r="111" customFormat="false" ht="15" hidden="false" customHeight="true" outlineLevel="0" collapsed="false">
      <c r="A111" s="13" t="n">
        <v>64</v>
      </c>
      <c r="B111" s="13" t="s">
        <v>2242</v>
      </c>
      <c r="C111" s="13" t="s">
        <v>934</v>
      </c>
      <c r="D111" s="13" t="s">
        <v>997</v>
      </c>
      <c r="E111" s="13" t="s">
        <v>1016</v>
      </c>
      <c r="F111" s="13" t="s">
        <v>2140</v>
      </c>
      <c r="G111" s="13"/>
      <c r="H111" s="13" t="n">
        <v>118</v>
      </c>
      <c r="I111" s="14" t="s">
        <v>658</v>
      </c>
      <c r="J111" s="13" t="s">
        <v>110</v>
      </c>
      <c r="K111" s="14" t="s">
        <v>964</v>
      </c>
      <c r="L111" s="17" t="n">
        <f aca="false">IF(M111="",0,LEN(M111)-LEN(SUBSTITUTE(M111,",",""))+1)</f>
        <v>1</v>
      </c>
      <c r="M111" s="14" t="s">
        <v>454</v>
      </c>
      <c r="N111" s="13" t="n">
        <v>8</v>
      </c>
      <c r="O111" s="14"/>
      <c r="P111" s="13" t="s">
        <v>2178</v>
      </c>
    </row>
    <row r="112" customFormat="false" ht="15" hidden="false" customHeight="true" outlineLevel="0" collapsed="false">
      <c r="A112" s="13" t="n">
        <v>65</v>
      </c>
      <c r="B112" s="13" t="s">
        <v>2247</v>
      </c>
      <c r="C112" s="13" t="s">
        <v>987</v>
      </c>
      <c r="D112" s="13" t="s">
        <v>2138</v>
      </c>
      <c r="E112" s="13" t="s">
        <v>1016</v>
      </c>
      <c r="F112" s="13" t="s">
        <v>1002</v>
      </c>
      <c r="G112" s="13"/>
      <c r="H112" s="13" t="n">
        <v>193</v>
      </c>
      <c r="I112" s="14" t="s">
        <v>790</v>
      </c>
      <c r="J112" s="13" t="s">
        <v>154</v>
      </c>
      <c r="K112" s="14" t="s">
        <v>987</v>
      </c>
      <c r="L112" s="17" t="n">
        <f aca="false">IF(M112="",0,LEN(M112)-LEN(SUBSTITUTE(M112,",",""))+1)</f>
        <v>0</v>
      </c>
      <c r="M112" s="14"/>
      <c r="N112" s="13" t="n">
        <v>7</v>
      </c>
      <c r="O112" s="14"/>
      <c r="P112" s="13"/>
    </row>
    <row r="113" customFormat="false" ht="15" hidden="false" customHeight="true" outlineLevel="0" collapsed="false">
      <c r="A113" s="13" t="n">
        <v>66</v>
      </c>
      <c r="B113" s="13" t="s">
        <v>2247</v>
      </c>
      <c r="C113" s="13" t="s">
        <v>978</v>
      </c>
      <c r="D113" s="13" t="s">
        <v>1001</v>
      </c>
      <c r="E113" s="13" t="s">
        <v>1018</v>
      </c>
      <c r="F113" s="13" t="s">
        <v>1002</v>
      </c>
      <c r="G113" s="13"/>
      <c r="H113" s="13" t="n">
        <v>196</v>
      </c>
      <c r="I113" s="14" t="s">
        <v>794</v>
      </c>
      <c r="J113" s="13" t="s">
        <v>51</v>
      </c>
      <c r="K113" s="14" t="s">
        <v>1001</v>
      </c>
      <c r="L113" s="17" t="n">
        <f aca="false">IF(M113="",0,LEN(M113)-LEN(SUBSTITUTE(M113,",",""))+1)</f>
        <v>0</v>
      </c>
      <c r="M113" s="14"/>
      <c r="N113" s="13" t="n">
        <v>7</v>
      </c>
      <c r="O113" s="14"/>
      <c r="P113" s="13"/>
    </row>
    <row r="114" customFormat="false" ht="15" hidden="false" customHeight="true" outlineLevel="0" collapsed="false">
      <c r="A114" s="13" t="n">
        <v>67</v>
      </c>
      <c r="B114" s="13" t="s">
        <v>2247</v>
      </c>
      <c r="C114" s="13" t="s">
        <v>904</v>
      </c>
      <c r="D114" s="13" t="s">
        <v>995</v>
      </c>
      <c r="E114" s="13" t="s">
        <v>931</v>
      </c>
      <c r="F114" s="13" t="s">
        <v>1002</v>
      </c>
      <c r="G114" s="13"/>
      <c r="H114" s="13" t="n">
        <v>119</v>
      </c>
      <c r="I114" s="14" t="s">
        <v>659</v>
      </c>
      <c r="J114" s="13" t="s">
        <v>84</v>
      </c>
      <c r="K114" s="14" t="s">
        <v>995</v>
      </c>
      <c r="L114" s="17" t="n">
        <f aca="false">IF(M114="",0,LEN(M114)-LEN(SUBSTITUTE(M114,",",""))+1)</f>
        <v>0</v>
      </c>
      <c r="M114" s="14"/>
      <c r="N114" s="13" t="n">
        <v>7</v>
      </c>
      <c r="O114" s="14"/>
      <c r="P114" s="13"/>
    </row>
    <row r="115" customFormat="false" ht="15" hidden="false" customHeight="true" outlineLevel="0" collapsed="false">
      <c r="A115" s="13" t="n">
        <v>68</v>
      </c>
      <c r="B115" s="13" t="s">
        <v>2247</v>
      </c>
      <c r="C115" s="13" t="s">
        <v>958</v>
      </c>
      <c r="D115" s="13" t="s">
        <v>971</v>
      </c>
      <c r="E115" s="13" t="s">
        <v>1018</v>
      </c>
      <c r="F115" s="13" t="s">
        <v>1002</v>
      </c>
      <c r="G115" s="13"/>
      <c r="H115" s="13" t="n">
        <v>162</v>
      </c>
      <c r="I115" s="14" t="s">
        <v>739</v>
      </c>
      <c r="J115" s="13" t="s">
        <v>25</v>
      </c>
      <c r="K115" s="14" t="s">
        <v>1020</v>
      </c>
      <c r="L115" s="17" t="n">
        <f aca="false">IF(M115="",0,LEN(M115)-LEN(SUBSTITUTE(M115,",",""))+1)</f>
        <v>0</v>
      </c>
      <c r="M115" s="14"/>
      <c r="N115" s="13" t="n">
        <v>6</v>
      </c>
      <c r="O115" s="14"/>
      <c r="P115" s="13"/>
    </row>
    <row r="116" customFormat="false" ht="15" hidden="false" customHeight="true" outlineLevel="0" collapsed="false">
      <c r="A116" s="13" t="n">
        <v>69</v>
      </c>
      <c r="B116" s="13" t="s">
        <v>2247</v>
      </c>
      <c r="C116" s="13" t="s">
        <v>923</v>
      </c>
      <c r="D116" s="13" t="s">
        <v>2147</v>
      </c>
      <c r="E116" s="13" t="s">
        <v>1016</v>
      </c>
      <c r="F116" s="13" t="s">
        <v>1002</v>
      </c>
      <c r="G116" s="13"/>
      <c r="H116" s="13" t="n">
        <v>37</v>
      </c>
      <c r="I116" s="14" t="s">
        <v>355</v>
      </c>
      <c r="J116" s="13" t="s">
        <v>106</v>
      </c>
      <c r="K116" s="14" t="s">
        <v>929</v>
      </c>
      <c r="L116" s="17" t="n">
        <f aca="false">IF(M116="",0,LEN(M116)-LEN(SUBSTITUTE(M116,",",""))+1)</f>
        <v>2</v>
      </c>
      <c r="M116" s="14" t="s">
        <v>2248</v>
      </c>
      <c r="N116" s="13" t="n">
        <v>7</v>
      </c>
      <c r="O116" s="14" t="s">
        <v>2249</v>
      </c>
      <c r="P116" s="13"/>
    </row>
    <row r="117" customFormat="false" ht="15" hidden="false" customHeight="true" outlineLevel="0" collapsed="false">
      <c r="A117" s="13" t="n">
        <v>70</v>
      </c>
      <c r="B117" s="13" t="s">
        <v>2247</v>
      </c>
      <c r="C117" s="13" t="s">
        <v>879</v>
      </c>
      <c r="D117" s="13" t="s">
        <v>1000</v>
      </c>
      <c r="E117" s="13" t="s">
        <v>1016</v>
      </c>
      <c r="F117" s="13" t="s">
        <v>1002</v>
      </c>
      <c r="G117" s="13" t="s">
        <v>2155</v>
      </c>
      <c r="H117" s="13" t="n">
        <v>211</v>
      </c>
      <c r="I117" s="14" t="s">
        <v>816</v>
      </c>
      <c r="J117" s="13" t="s">
        <v>84</v>
      </c>
      <c r="K117" s="14" t="s">
        <v>1035</v>
      </c>
      <c r="L117" s="17" t="n">
        <f aca="false">IF(M117="",0,LEN(M117)-LEN(SUBSTITUTE(M117,",",""))+1)</f>
        <v>0</v>
      </c>
      <c r="M117" s="14"/>
      <c r="N117" s="13" t="n">
        <v>8</v>
      </c>
      <c r="O117" s="14"/>
      <c r="P117" s="13"/>
    </row>
    <row r="118" customFormat="false" ht="15" hidden="false" customHeight="true" outlineLevel="0" collapsed="false">
      <c r="A118" s="13" t="n">
        <v>71</v>
      </c>
      <c r="B118" s="13" t="s">
        <v>2247</v>
      </c>
      <c r="C118" s="13" t="s">
        <v>934</v>
      </c>
      <c r="D118" s="13" t="s">
        <v>2250</v>
      </c>
      <c r="E118" s="13" t="s">
        <v>1016</v>
      </c>
      <c r="F118" s="13" t="s">
        <v>1002</v>
      </c>
      <c r="G118" s="13"/>
      <c r="H118" s="13" t="n">
        <v>17</v>
      </c>
      <c r="I118" s="14" t="s">
        <v>190</v>
      </c>
      <c r="J118" s="13" t="s">
        <v>191</v>
      </c>
      <c r="K118" s="14" t="s">
        <v>901</v>
      </c>
      <c r="L118" s="17" t="n">
        <f aca="false">IF(M118="",0,LEN(M118)-LEN(SUBSTITUTE(M118,",",""))+1)</f>
        <v>1</v>
      </c>
      <c r="M118" s="14" t="s">
        <v>199</v>
      </c>
      <c r="N118" s="13" t="n">
        <v>9</v>
      </c>
      <c r="O118" s="14"/>
      <c r="P118" s="13" t="s">
        <v>2178</v>
      </c>
    </row>
    <row r="119" customFormat="false" ht="15" hidden="false" customHeight="true" outlineLevel="0" collapsed="false">
      <c r="A119" s="13" t="n">
        <v>71</v>
      </c>
      <c r="B119" s="13" t="s">
        <v>2247</v>
      </c>
      <c r="C119" s="13" t="s">
        <v>934</v>
      </c>
      <c r="D119" s="13" t="s">
        <v>2250</v>
      </c>
      <c r="E119" s="13" t="s">
        <v>1016</v>
      </c>
      <c r="F119" s="13" t="s">
        <v>1002</v>
      </c>
      <c r="G119" s="13"/>
      <c r="H119" s="13" t="n">
        <v>46</v>
      </c>
      <c r="I119" s="14" t="s">
        <v>411</v>
      </c>
      <c r="J119" s="13" t="s">
        <v>125</v>
      </c>
      <c r="K119" s="14" t="s">
        <v>941</v>
      </c>
      <c r="L119" s="17" t="n">
        <f aca="false">IF(M119="",0,LEN(M119)-LEN(SUBSTITUTE(M119,",",""))+1)</f>
        <v>1</v>
      </c>
      <c r="M119" s="14" t="s">
        <v>2251</v>
      </c>
      <c r="N119" s="13" t="n">
        <v>6</v>
      </c>
      <c r="O119" s="14"/>
      <c r="P119" s="13" t="s">
        <v>2178</v>
      </c>
    </row>
    <row r="120" customFormat="false" ht="15" hidden="false" customHeight="true" outlineLevel="0" collapsed="false">
      <c r="A120" s="13" t="n">
        <v>72</v>
      </c>
      <c r="B120" s="13" t="s">
        <v>2247</v>
      </c>
      <c r="C120" s="13" t="s">
        <v>987</v>
      </c>
      <c r="D120" s="13" t="s">
        <v>997</v>
      </c>
      <c r="E120" s="13" t="s">
        <v>1018</v>
      </c>
      <c r="F120" s="13" t="s">
        <v>1002</v>
      </c>
      <c r="G120" s="13"/>
      <c r="H120" s="13" t="n">
        <v>198</v>
      </c>
      <c r="I120" s="14" t="s">
        <v>796</v>
      </c>
      <c r="J120" s="13" t="s">
        <v>77</v>
      </c>
      <c r="K120" s="14" t="s">
        <v>997</v>
      </c>
      <c r="L120" s="17" t="n">
        <f aca="false">IF(M120="",0,LEN(M120)-LEN(SUBSTITUTE(M120,",",""))+1)</f>
        <v>1</v>
      </c>
      <c r="M120" s="14" t="s">
        <v>667</v>
      </c>
      <c r="N120" s="13" t="n">
        <v>6</v>
      </c>
      <c r="O120" s="14"/>
      <c r="P120" s="13"/>
    </row>
    <row r="121" customFormat="false" ht="15" hidden="false" customHeight="true" outlineLevel="0" collapsed="false">
      <c r="A121" s="13" t="n">
        <v>73</v>
      </c>
      <c r="B121" s="13" t="s">
        <v>2252</v>
      </c>
      <c r="C121" s="13" t="s">
        <v>978</v>
      </c>
      <c r="D121" s="13" t="s">
        <v>2138</v>
      </c>
      <c r="E121" s="13" t="s">
        <v>1016</v>
      </c>
      <c r="F121" s="13" t="s">
        <v>1002</v>
      </c>
      <c r="G121" s="13"/>
      <c r="H121" s="13" t="n">
        <v>233</v>
      </c>
      <c r="I121" s="14" t="s">
        <v>854</v>
      </c>
      <c r="J121" s="13" t="s">
        <v>84</v>
      </c>
      <c r="K121" s="14" t="s">
        <v>943</v>
      </c>
      <c r="L121" s="17" t="n">
        <f aca="false">IF(M121="",0,LEN(M121)-LEN(SUBSTITUTE(M121,",",""))+1)</f>
        <v>0</v>
      </c>
      <c r="M121" s="14"/>
      <c r="N121" s="13" t="n">
        <v>3</v>
      </c>
      <c r="O121" s="14"/>
      <c r="P121" s="13"/>
    </row>
    <row r="122" customFormat="false" ht="15" hidden="false" customHeight="true" outlineLevel="0" collapsed="false">
      <c r="A122" s="13" t="n">
        <v>74</v>
      </c>
      <c r="B122" s="13" t="s">
        <v>2252</v>
      </c>
      <c r="C122" s="13" t="s">
        <v>904</v>
      </c>
      <c r="D122" s="13" t="s">
        <v>1001</v>
      </c>
      <c r="E122" s="13" t="s">
        <v>1016</v>
      </c>
      <c r="F122" s="13" t="s">
        <v>1002</v>
      </c>
      <c r="G122" s="13"/>
      <c r="H122" s="13" t="n">
        <v>237</v>
      </c>
      <c r="I122" s="14" t="s">
        <v>860</v>
      </c>
      <c r="J122" s="13" t="s">
        <v>210</v>
      </c>
      <c r="K122" s="14" t="s">
        <v>943</v>
      </c>
      <c r="L122" s="17" t="n">
        <f aca="false">IF(M122="",0,LEN(M122)-LEN(SUBSTITUTE(M122,",",""))+1)</f>
        <v>0</v>
      </c>
      <c r="M122" s="14"/>
      <c r="N122" s="13" t="n">
        <v>3</v>
      </c>
      <c r="O122" s="14"/>
      <c r="P122" s="13"/>
    </row>
    <row r="123" customFormat="false" ht="15" hidden="false" customHeight="true" outlineLevel="0" collapsed="false">
      <c r="A123" s="13" t="n">
        <v>75</v>
      </c>
      <c r="B123" s="13" t="s">
        <v>2252</v>
      </c>
      <c r="C123" s="13" t="s">
        <v>958</v>
      </c>
      <c r="D123" s="13" t="s">
        <v>995</v>
      </c>
      <c r="E123" s="13" t="s">
        <v>1016</v>
      </c>
      <c r="F123" s="13" t="s">
        <v>1002</v>
      </c>
      <c r="G123" s="13"/>
      <c r="H123" s="13" t="n">
        <v>228</v>
      </c>
      <c r="I123" s="14" t="s">
        <v>843</v>
      </c>
      <c r="J123" s="13" t="s">
        <v>260</v>
      </c>
      <c r="K123" s="14" t="s">
        <v>1038</v>
      </c>
      <c r="L123" s="17" t="n">
        <f aca="false">IF(M123="",0,LEN(M123)-LEN(SUBSTITUTE(M123,",",""))+1)</f>
        <v>2</v>
      </c>
      <c r="M123" s="14" t="s">
        <v>2253</v>
      </c>
      <c r="N123" s="13" t="n">
        <v>2</v>
      </c>
      <c r="O123" s="14"/>
      <c r="P123" s="13"/>
    </row>
    <row r="124" customFormat="false" ht="15" hidden="false" customHeight="true" outlineLevel="0" collapsed="false">
      <c r="A124" s="13" t="n">
        <v>76</v>
      </c>
      <c r="B124" s="13" t="s">
        <v>2252</v>
      </c>
      <c r="C124" s="13" t="s">
        <v>923</v>
      </c>
      <c r="D124" s="13" t="s">
        <v>971</v>
      </c>
      <c r="E124" s="13" t="s">
        <v>1016</v>
      </c>
      <c r="F124" s="13" t="s">
        <v>2140</v>
      </c>
      <c r="G124" s="13"/>
      <c r="H124" s="13" t="n">
        <v>215</v>
      </c>
      <c r="I124" s="14" t="s">
        <v>821</v>
      </c>
      <c r="J124" s="13" t="s">
        <v>163</v>
      </c>
      <c r="K124" s="14" t="s">
        <v>923</v>
      </c>
      <c r="L124" s="17" t="n">
        <f aca="false">IF(M124="",0,LEN(M124)-LEN(SUBSTITUTE(M124,",",""))+1)</f>
        <v>1</v>
      </c>
      <c r="M124" s="14" t="s">
        <v>822</v>
      </c>
      <c r="N124" s="13" t="n">
        <v>6</v>
      </c>
      <c r="O124" s="14"/>
      <c r="P124" s="13"/>
    </row>
    <row r="125" customFormat="false" ht="15" hidden="false" customHeight="true" outlineLevel="0" collapsed="false">
      <c r="A125" s="13" t="n">
        <v>77</v>
      </c>
      <c r="B125" s="13" t="s">
        <v>2252</v>
      </c>
      <c r="C125" s="13" t="s">
        <v>879</v>
      </c>
      <c r="D125" s="13" t="s">
        <v>2147</v>
      </c>
      <c r="E125" s="13" t="s">
        <v>1016</v>
      </c>
      <c r="F125" s="13" t="s">
        <v>1002</v>
      </c>
      <c r="G125" s="13"/>
      <c r="H125" s="13" t="n">
        <v>239</v>
      </c>
      <c r="I125" s="14" t="s">
        <v>863</v>
      </c>
      <c r="J125" s="13" t="s">
        <v>279</v>
      </c>
      <c r="K125" s="14" t="s">
        <v>943</v>
      </c>
      <c r="L125" s="17" t="n">
        <f aca="false">IF(M125="",0,LEN(M125)-LEN(SUBSTITUTE(M125,",",""))+1)</f>
        <v>1</v>
      </c>
      <c r="M125" s="14" t="s">
        <v>39</v>
      </c>
      <c r="N125" s="13" t="n">
        <v>3</v>
      </c>
      <c r="O125" s="14"/>
      <c r="P125" s="13"/>
    </row>
    <row r="126" customFormat="false" ht="15" hidden="false" customHeight="true" outlineLevel="0" collapsed="false">
      <c r="A126" s="13" t="n">
        <v>78</v>
      </c>
      <c r="B126" s="13" t="s">
        <v>2252</v>
      </c>
      <c r="C126" s="13" t="s">
        <v>934</v>
      </c>
      <c r="D126" s="13" t="s">
        <v>1000</v>
      </c>
      <c r="E126" s="13" t="s">
        <v>972</v>
      </c>
      <c r="F126" s="13" t="s">
        <v>1002</v>
      </c>
      <c r="G126" s="13"/>
      <c r="H126" s="13" t="n">
        <v>177</v>
      </c>
      <c r="I126" s="14" t="s">
        <v>763</v>
      </c>
      <c r="J126" s="13" t="s">
        <v>148</v>
      </c>
      <c r="K126" s="14" t="s">
        <v>943</v>
      </c>
      <c r="L126" s="17" t="n">
        <f aca="false">IF(M126="",0,LEN(M126)-LEN(SUBSTITUTE(M126,",",""))+1)</f>
        <v>1</v>
      </c>
      <c r="M126" s="14" t="s">
        <v>390</v>
      </c>
      <c r="N126" s="13" t="n">
        <v>2</v>
      </c>
      <c r="O126" s="14"/>
      <c r="P126" s="13"/>
    </row>
    <row r="127" customFormat="false" ht="15" hidden="false" customHeight="true" outlineLevel="0" collapsed="false">
      <c r="A127" s="13" t="n">
        <v>79</v>
      </c>
      <c r="B127" s="13" t="s">
        <v>2252</v>
      </c>
      <c r="C127" s="13" t="s">
        <v>987</v>
      </c>
      <c r="D127" s="13" t="s">
        <v>2254</v>
      </c>
      <c r="E127" s="13" t="s">
        <v>1016</v>
      </c>
      <c r="F127" s="13" t="s">
        <v>1002</v>
      </c>
      <c r="G127" s="13"/>
      <c r="H127" s="13" t="n">
        <v>83</v>
      </c>
      <c r="I127" s="14" t="s">
        <v>571</v>
      </c>
      <c r="J127" s="13" t="s">
        <v>171</v>
      </c>
      <c r="K127" s="14" t="s">
        <v>937</v>
      </c>
      <c r="L127" s="17" t="n">
        <f aca="false">IF(M127="",0,LEN(M127)-LEN(SUBSTITUTE(M127,",",""))+1)</f>
        <v>0</v>
      </c>
      <c r="M127" s="14"/>
      <c r="N127" s="13" t="n">
        <v>7</v>
      </c>
      <c r="O127" s="14"/>
      <c r="P127" s="13" t="s">
        <v>2178</v>
      </c>
    </row>
    <row r="128" customFormat="false" ht="23.25" hidden="false" customHeight="true" outlineLevel="0" collapsed="false">
      <c r="A128" s="13" t="n">
        <v>79</v>
      </c>
      <c r="B128" s="13" t="s">
        <v>2252</v>
      </c>
      <c r="C128" s="13" t="s">
        <v>987</v>
      </c>
      <c r="D128" s="13" t="s">
        <v>2254</v>
      </c>
      <c r="E128" s="13" t="s">
        <v>1016</v>
      </c>
      <c r="F128" s="13" t="s">
        <v>1002</v>
      </c>
      <c r="G128" s="13"/>
      <c r="H128" s="13" t="n">
        <v>141</v>
      </c>
      <c r="I128" s="14" t="s">
        <v>699</v>
      </c>
      <c r="J128" s="13" t="s">
        <v>519</v>
      </c>
      <c r="K128" s="14" t="s">
        <v>1008</v>
      </c>
      <c r="L128" s="17" t="n">
        <f aca="false">IF(M128="",0,LEN(M128)-LEN(SUBSTITUTE(M128,",",""))+1)</f>
        <v>1</v>
      </c>
      <c r="M128" s="14" t="s">
        <v>2255</v>
      </c>
      <c r="N128" s="13" t="n">
        <v>4</v>
      </c>
      <c r="O128" s="14"/>
      <c r="P128" s="13" t="s">
        <v>2178</v>
      </c>
    </row>
    <row r="129" customFormat="false" ht="15" hidden="false" customHeight="true" outlineLevel="0" collapsed="false">
      <c r="A129" s="13" t="n">
        <v>82</v>
      </c>
      <c r="B129" s="13" t="s">
        <v>2256</v>
      </c>
      <c r="C129" s="13" t="s">
        <v>958</v>
      </c>
      <c r="D129" s="13" t="s">
        <v>1001</v>
      </c>
      <c r="E129" s="13" t="s">
        <v>1029</v>
      </c>
      <c r="F129" s="13" t="s">
        <v>1002</v>
      </c>
      <c r="G129" s="13"/>
      <c r="H129" s="13" t="n">
        <v>191</v>
      </c>
      <c r="I129" s="14" t="s">
        <v>785</v>
      </c>
      <c r="J129" s="13" t="s">
        <v>96</v>
      </c>
      <c r="K129" s="14" t="s">
        <v>1029</v>
      </c>
      <c r="L129" s="17" t="n">
        <f aca="false">IF(M129="",0,LEN(M129)-LEN(SUBSTITUTE(M129,",",""))+1)</f>
        <v>1</v>
      </c>
      <c r="M129" s="14" t="s">
        <v>786</v>
      </c>
      <c r="N129" s="13" t="n">
        <v>5</v>
      </c>
      <c r="O129" s="14"/>
      <c r="P129" s="13"/>
    </row>
    <row r="130" customFormat="false" ht="15" hidden="false" customHeight="true" outlineLevel="0" collapsed="false">
      <c r="A130" s="13" t="n">
        <v>83</v>
      </c>
      <c r="B130" s="13" t="s">
        <v>2256</v>
      </c>
      <c r="C130" s="13" t="s">
        <v>923</v>
      </c>
      <c r="D130" s="13" t="s">
        <v>995</v>
      </c>
      <c r="E130" s="13" t="s">
        <v>1016</v>
      </c>
      <c r="F130" s="13" t="s">
        <v>984</v>
      </c>
      <c r="G130" s="13"/>
      <c r="H130" s="13" t="n">
        <v>120</v>
      </c>
      <c r="I130" s="14" t="s">
        <v>660</v>
      </c>
      <c r="J130" s="13" t="s">
        <v>148</v>
      </c>
      <c r="K130" s="14" t="s">
        <v>989</v>
      </c>
      <c r="L130" s="17" t="n">
        <f aca="false">IF(M130="",0,LEN(M130)-LEN(SUBSTITUTE(M130,",",""))+1)</f>
        <v>0</v>
      </c>
      <c r="M130" s="14"/>
      <c r="N130" s="13" t="n">
        <v>7</v>
      </c>
      <c r="O130" s="14"/>
      <c r="P130" s="13"/>
    </row>
    <row r="131" customFormat="false" ht="15" hidden="false" customHeight="true" outlineLevel="0" collapsed="false">
      <c r="A131" s="13" t="n">
        <v>85</v>
      </c>
      <c r="B131" s="13" t="s">
        <v>2256</v>
      </c>
      <c r="C131" s="13" t="s">
        <v>934</v>
      </c>
      <c r="D131" s="13" t="s">
        <v>2147</v>
      </c>
      <c r="E131" s="13" t="s">
        <v>1016</v>
      </c>
      <c r="F131" s="13" t="s">
        <v>1002</v>
      </c>
      <c r="G131" s="13"/>
      <c r="H131" s="13" t="n">
        <v>101</v>
      </c>
      <c r="I131" s="14" t="s">
        <v>621</v>
      </c>
      <c r="J131" s="13" t="s">
        <v>25</v>
      </c>
      <c r="K131" s="14" t="s">
        <v>965</v>
      </c>
      <c r="L131" s="17" t="n">
        <f aca="false">IF(M131="",0,LEN(M131)-LEN(SUBSTITUTE(M131,",",""))+1)</f>
        <v>1</v>
      </c>
      <c r="M131" s="14" t="s">
        <v>965</v>
      </c>
      <c r="N131" s="13" t="n">
        <v>8</v>
      </c>
      <c r="O131" s="14" t="s">
        <v>2257</v>
      </c>
      <c r="P131" s="13"/>
    </row>
    <row r="132" customFormat="false" ht="15" hidden="false" customHeight="true" outlineLevel="0" collapsed="false">
      <c r="A132" s="13" t="n">
        <v>87</v>
      </c>
      <c r="B132" s="13" t="s">
        <v>2256</v>
      </c>
      <c r="C132" s="13" t="s">
        <v>978</v>
      </c>
      <c r="D132" s="13" t="s">
        <v>2258</v>
      </c>
      <c r="E132" s="13" t="s">
        <v>1016</v>
      </c>
      <c r="F132" s="13" t="s">
        <v>1002</v>
      </c>
      <c r="G132" s="13"/>
      <c r="H132" s="13" t="n">
        <v>3</v>
      </c>
      <c r="I132" s="14" t="s">
        <v>50</v>
      </c>
      <c r="J132" s="13" t="s">
        <v>51</v>
      </c>
      <c r="K132" s="14" t="s">
        <v>875</v>
      </c>
      <c r="L132" s="17" t="n">
        <f aca="false">IF(M132="",0,LEN(M132)-LEN(SUBSTITUTE(M132,",",""))+1)</f>
        <v>2</v>
      </c>
      <c r="M132" s="14" t="s">
        <v>2259</v>
      </c>
      <c r="N132" s="13" t="n">
        <v>9</v>
      </c>
      <c r="O132" s="14"/>
      <c r="P132" s="13" t="s">
        <v>2178</v>
      </c>
    </row>
    <row r="133" customFormat="false" ht="23.25" hidden="false" customHeight="true" outlineLevel="0" collapsed="false">
      <c r="A133" s="13" t="n">
        <v>87</v>
      </c>
      <c r="B133" s="13" t="s">
        <v>2256</v>
      </c>
      <c r="C133" s="13" t="s">
        <v>978</v>
      </c>
      <c r="D133" s="13" t="s">
        <v>2258</v>
      </c>
      <c r="E133" s="13" t="s">
        <v>1016</v>
      </c>
      <c r="F133" s="13" t="s">
        <v>1002</v>
      </c>
      <c r="G133" s="13"/>
      <c r="H133" s="13" t="n">
        <v>40</v>
      </c>
      <c r="I133" s="14" t="s">
        <v>377</v>
      </c>
      <c r="J133" s="13" t="s">
        <v>38</v>
      </c>
      <c r="K133" s="14" t="s">
        <v>932</v>
      </c>
      <c r="L133" s="17" t="n">
        <f aca="false">IF(M133="",0,LEN(M133)-LEN(SUBSTITUTE(M133,",",""))+1)</f>
        <v>1</v>
      </c>
      <c r="M133" s="14" t="s">
        <v>2260</v>
      </c>
      <c r="N133" s="13" t="n">
        <v>7</v>
      </c>
      <c r="O133" s="14"/>
      <c r="P133" s="13" t="s">
        <v>2178</v>
      </c>
    </row>
    <row r="134" customFormat="false" ht="15" hidden="false" customHeight="true" outlineLevel="0" collapsed="false">
      <c r="A134" s="13" t="n">
        <v>87</v>
      </c>
      <c r="B134" s="13" t="s">
        <v>2256</v>
      </c>
      <c r="C134" s="13" t="s">
        <v>978</v>
      </c>
      <c r="D134" s="13" t="s">
        <v>2258</v>
      </c>
      <c r="E134" s="13" t="s">
        <v>1016</v>
      </c>
      <c r="F134" s="13" t="s">
        <v>1002</v>
      </c>
      <c r="G134" s="13"/>
      <c r="H134" s="13" t="n">
        <v>112</v>
      </c>
      <c r="I134" s="14" t="s">
        <v>641</v>
      </c>
      <c r="J134" s="13" t="s">
        <v>210</v>
      </c>
      <c r="K134" s="14" t="s">
        <v>875</v>
      </c>
      <c r="L134" s="17" t="n">
        <f aca="false">IF(M134="",0,LEN(M134)-LEN(SUBSTITUTE(M134,",",""))+1)</f>
        <v>1</v>
      </c>
      <c r="M134" s="14" t="s">
        <v>644</v>
      </c>
      <c r="N134" s="13" t="n">
        <v>7</v>
      </c>
      <c r="O134" s="14"/>
      <c r="P134" s="13" t="s">
        <v>2178</v>
      </c>
    </row>
    <row r="135" customFormat="false" ht="15" hidden="false" customHeight="true" outlineLevel="0" collapsed="false">
      <c r="A135" s="13" t="n">
        <v>87</v>
      </c>
      <c r="B135" s="13" t="s">
        <v>2256</v>
      </c>
      <c r="C135" s="13" t="s">
        <v>978</v>
      </c>
      <c r="D135" s="13" t="s">
        <v>2258</v>
      </c>
      <c r="E135" s="13" t="s">
        <v>1016</v>
      </c>
      <c r="F135" s="13" t="s">
        <v>984</v>
      </c>
      <c r="G135" s="13" t="s">
        <v>2155</v>
      </c>
      <c r="H135" s="13" t="n">
        <v>115</v>
      </c>
      <c r="I135" s="14" t="s">
        <v>651</v>
      </c>
      <c r="J135" s="13" t="s">
        <v>51</v>
      </c>
      <c r="K135" s="14" t="s">
        <v>993</v>
      </c>
      <c r="L135" s="17" t="n">
        <f aca="false">IF(M135="",0,LEN(M135)-LEN(SUBSTITUTE(M135,",",""))+1)</f>
        <v>0</v>
      </c>
      <c r="M135" s="14"/>
      <c r="N135" s="13" t="n">
        <v>11</v>
      </c>
      <c r="O135" s="14"/>
      <c r="P135" s="13" t="s">
        <v>2178</v>
      </c>
    </row>
    <row r="136" customFormat="false" ht="15" hidden="false" customHeight="true" outlineLevel="0" collapsed="false">
      <c r="A136" s="13" t="n">
        <v>89</v>
      </c>
      <c r="B136" s="13" t="s">
        <v>2261</v>
      </c>
      <c r="C136" s="13" t="s">
        <v>958</v>
      </c>
      <c r="D136" s="13" t="s">
        <v>2138</v>
      </c>
      <c r="E136" s="13" t="s">
        <v>1018</v>
      </c>
      <c r="F136" s="13" t="s">
        <v>1002</v>
      </c>
      <c r="G136" s="13"/>
      <c r="H136" s="13" t="n">
        <v>204</v>
      </c>
      <c r="I136" s="14" t="s">
        <v>807</v>
      </c>
      <c r="J136" s="13" t="s">
        <v>148</v>
      </c>
      <c r="K136" s="14" t="s">
        <v>958</v>
      </c>
      <c r="L136" s="17" t="n">
        <f aca="false">IF(M136="",0,LEN(M136)-LEN(SUBSTITUTE(M136,",",""))+1)</f>
        <v>0</v>
      </c>
      <c r="M136" s="14"/>
      <c r="N136" s="13" t="n">
        <v>5</v>
      </c>
      <c r="O136" s="14"/>
      <c r="P136" s="13"/>
    </row>
    <row r="137" customFormat="false" ht="15" hidden="false" customHeight="true" outlineLevel="0" collapsed="false">
      <c r="A137" s="13" t="n">
        <v>89</v>
      </c>
      <c r="B137" s="13" t="s">
        <v>2261</v>
      </c>
      <c r="C137" s="13" t="s">
        <v>958</v>
      </c>
      <c r="D137" s="13" t="s">
        <v>2138</v>
      </c>
      <c r="E137" s="13" t="s">
        <v>1018</v>
      </c>
      <c r="F137" s="13" t="s">
        <v>1002</v>
      </c>
      <c r="G137" s="13"/>
      <c r="H137" s="13" t="n">
        <v>213</v>
      </c>
      <c r="I137" s="14" t="s">
        <v>818</v>
      </c>
      <c r="J137" s="13" t="s">
        <v>210</v>
      </c>
      <c r="K137" s="14" t="s">
        <v>958</v>
      </c>
      <c r="L137" s="17" t="n">
        <f aca="false">IF(M137="",0,LEN(M137)-LEN(SUBSTITUTE(M137,",",""))+1)</f>
        <v>0</v>
      </c>
      <c r="M137" s="14"/>
      <c r="N137" s="13" t="n">
        <v>5</v>
      </c>
      <c r="O137" s="14"/>
      <c r="P137" s="13"/>
    </row>
    <row r="138" customFormat="false" ht="15" hidden="false" customHeight="true" outlineLevel="0" collapsed="false">
      <c r="A138" s="13" t="n">
        <v>91</v>
      </c>
      <c r="B138" s="13" t="s">
        <v>2261</v>
      </c>
      <c r="C138" s="13" t="s">
        <v>879</v>
      </c>
      <c r="D138" s="13" t="s">
        <v>995</v>
      </c>
      <c r="E138" s="13" t="s">
        <v>1018</v>
      </c>
      <c r="F138" s="13" t="s">
        <v>984</v>
      </c>
      <c r="G138" s="13" t="s">
        <v>2155</v>
      </c>
      <c r="H138" s="13" t="n">
        <v>59</v>
      </c>
      <c r="I138" s="14" t="s">
        <v>471</v>
      </c>
      <c r="J138" s="13" t="s">
        <v>96</v>
      </c>
      <c r="K138" s="14" t="s">
        <v>954</v>
      </c>
      <c r="L138" s="17" t="n">
        <f aca="false">IF(M138="",0,LEN(M138)-LEN(SUBSTITUTE(M138,",",""))+1)</f>
        <v>1</v>
      </c>
      <c r="M138" s="14" t="s">
        <v>265</v>
      </c>
      <c r="N138" s="13" t="n">
        <v>10</v>
      </c>
      <c r="O138" s="14"/>
      <c r="P138" s="13" t="s">
        <v>2178</v>
      </c>
    </row>
    <row r="139" customFormat="false" ht="15" hidden="false" customHeight="true" outlineLevel="0" collapsed="false">
      <c r="A139" s="13" t="n">
        <v>91</v>
      </c>
      <c r="B139" s="13" t="s">
        <v>2261</v>
      </c>
      <c r="C139" s="13" t="s">
        <v>879</v>
      </c>
      <c r="D139" s="13" t="s">
        <v>995</v>
      </c>
      <c r="E139" s="13" t="s">
        <v>1018</v>
      </c>
      <c r="F139" s="13" t="s">
        <v>1002</v>
      </c>
      <c r="G139" s="13"/>
      <c r="H139" s="13" t="n">
        <v>121</v>
      </c>
      <c r="I139" s="14" t="s">
        <v>663</v>
      </c>
      <c r="J139" s="13" t="s">
        <v>171</v>
      </c>
      <c r="K139" s="14" t="s">
        <v>995</v>
      </c>
      <c r="L139" s="17" t="n">
        <f aca="false">IF(M139="",0,LEN(M139)-LEN(SUBSTITUTE(M139,",",""))+1)</f>
        <v>0</v>
      </c>
      <c r="M139" s="14"/>
      <c r="N139" s="13" t="n">
        <v>7</v>
      </c>
      <c r="O139" s="14"/>
      <c r="P139" s="13"/>
    </row>
    <row r="140" customFormat="false" ht="15" hidden="false" customHeight="true" outlineLevel="0" collapsed="false">
      <c r="A140" s="13" t="n">
        <v>92</v>
      </c>
      <c r="B140" s="13" t="s">
        <v>2261</v>
      </c>
      <c r="C140" s="13" t="s">
        <v>934</v>
      </c>
      <c r="D140" s="13" t="s">
        <v>971</v>
      </c>
      <c r="E140" s="13" t="s">
        <v>2139</v>
      </c>
      <c r="F140" s="13" t="s">
        <v>1002</v>
      </c>
      <c r="G140" s="13"/>
      <c r="H140" s="13" t="n">
        <v>24</v>
      </c>
      <c r="I140" s="14" t="s">
        <v>259</v>
      </c>
      <c r="J140" s="13" t="s">
        <v>260</v>
      </c>
      <c r="K140" s="14" t="s">
        <v>911</v>
      </c>
      <c r="L140" s="17" t="n">
        <f aca="false">IF(M140="",0,LEN(M140)-LEN(SUBSTITUTE(M140,",",""))+1)</f>
        <v>1</v>
      </c>
      <c r="M140" s="14" t="s">
        <v>267</v>
      </c>
      <c r="N140" s="13" t="n">
        <v>9</v>
      </c>
      <c r="O140" s="14"/>
      <c r="P140" s="13" t="s">
        <v>2178</v>
      </c>
    </row>
    <row r="141" customFormat="false" ht="15" hidden="false" customHeight="true" outlineLevel="0" collapsed="false">
      <c r="A141" s="13" t="n">
        <v>92</v>
      </c>
      <c r="B141" s="13" t="s">
        <v>2261</v>
      </c>
      <c r="C141" s="13" t="s">
        <v>934</v>
      </c>
      <c r="D141" s="13" t="s">
        <v>971</v>
      </c>
      <c r="E141" s="13" t="s">
        <v>2139</v>
      </c>
      <c r="F141" s="13" t="s">
        <v>1002</v>
      </c>
      <c r="G141" s="13"/>
      <c r="H141" s="13" t="n">
        <v>97</v>
      </c>
      <c r="I141" s="14" t="s">
        <v>611</v>
      </c>
      <c r="J141" s="13" t="s">
        <v>191</v>
      </c>
      <c r="K141" s="14" t="s">
        <v>911</v>
      </c>
      <c r="L141" s="17" t="n">
        <f aca="false">IF(M141="",0,LEN(M141)-LEN(SUBSTITUTE(M141,",",""))+1)</f>
        <v>0</v>
      </c>
      <c r="M141" s="14"/>
      <c r="N141" s="13" t="n">
        <v>9</v>
      </c>
      <c r="O141" s="14"/>
      <c r="P141" s="13" t="s">
        <v>2178</v>
      </c>
    </row>
    <row r="142" customFormat="false" ht="15" hidden="false" customHeight="true" outlineLevel="0" collapsed="false">
      <c r="A142" s="13" t="n">
        <v>95</v>
      </c>
      <c r="B142" s="13" t="s">
        <v>2261</v>
      </c>
      <c r="C142" s="13" t="s">
        <v>904</v>
      </c>
      <c r="D142" s="13" t="s">
        <v>2262</v>
      </c>
      <c r="E142" s="13" t="s">
        <v>1016</v>
      </c>
      <c r="F142" s="13" t="s">
        <v>984</v>
      </c>
      <c r="G142" s="13" t="s">
        <v>2155</v>
      </c>
      <c r="H142" s="13" t="n">
        <v>15</v>
      </c>
      <c r="I142" s="14" t="s">
        <v>170</v>
      </c>
      <c r="J142" s="13" t="s">
        <v>171</v>
      </c>
      <c r="K142" s="14" t="s">
        <v>896</v>
      </c>
      <c r="L142" s="17" t="n">
        <f aca="false">IF(M142="",0,LEN(M142)-LEN(SUBSTITUTE(M142,",",""))+1)</f>
        <v>0</v>
      </c>
      <c r="M142" s="14"/>
      <c r="N142" s="13" t="n">
        <v>8</v>
      </c>
      <c r="O142" s="14"/>
      <c r="P142" s="13" t="s">
        <v>2178</v>
      </c>
    </row>
    <row r="143" customFormat="false" ht="15" hidden="false" customHeight="true" outlineLevel="0" collapsed="false">
      <c r="A143" s="13" t="n">
        <v>95</v>
      </c>
      <c r="B143" s="13" t="s">
        <v>2261</v>
      </c>
      <c r="C143" s="13" t="s">
        <v>904</v>
      </c>
      <c r="D143" s="13" t="s">
        <v>2262</v>
      </c>
      <c r="E143" s="13" t="s">
        <v>1016</v>
      </c>
      <c r="F143" s="13" t="s">
        <v>1002</v>
      </c>
      <c r="G143" s="13"/>
      <c r="H143" s="13" t="n">
        <v>27</v>
      </c>
      <c r="I143" s="14" t="s">
        <v>285</v>
      </c>
      <c r="J143" s="13" t="s">
        <v>286</v>
      </c>
      <c r="K143" s="14" t="s">
        <v>885</v>
      </c>
      <c r="L143" s="17" t="n">
        <f aca="false">IF(M143="",0,LEN(M143)-LEN(SUBSTITUTE(M143,",",""))+1)</f>
        <v>0</v>
      </c>
      <c r="M143" s="14"/>
      <c r="N143" s="13" t="n">
        <v>8</v>
      </c>
      <c r="O143" s="14"/>
      <c r="P143" s="13" t="s">
        <v>2178</v>
      </c>
    </row>
    <row r="144" customFormat="false" ht="15" hidden="false" customHeight="true" outlineLevel="0" collapsed="false">
      <c r="A144" s="13" t="n">
        <v>95</v>
      </c>
      <c r="B144" s="13" t="s">
        <v>2261</v>
      </c>
      <c r="C144" s="13" t="s">
        <v>904</v>
      </c>
      <c r="D144" s="13" t="s">
        <v>2262</v>
      </c>
      <c r="E144" s="13" t="s">
        <v>1016</v>
      </c>
      <c r="F144" s="13" t="s">
        <v>984</v>
      </c>
      <c r="G144" s="13" t="s">
        <v>2155</v>
      </c>
      <c r="H144" s="13" t="n">
        <v>63</v>
      </c>
      <c r="I144" s="14" t="s">
        <v>492</v>
      </c>
      <c r="J144" s="13" t="s">
        <v>51</v>
      </c>
      <c r="K144" s="14" t="s">
        <v>896</v>
      </c>
      <c r="L144" s="17" t="n">
        <f aca="false">IF(M144="",0,LEN(M144)-LEN(SUBSTITUTE(M144,",",""))+1)</f>
        <v>0</v>
      </c>
      <c r="M144" s="14"/>
      <c r="N144" s="13" t="n">
        <v>9</v>
      </c>
      <c r="O144" s="14"/>
      <c r="P144" s="13" t="s">
        <v>2178</v>
      </c>
    </row>
    <row r="145" customFormat="false" ht="15" hidden="false" customHeight="true" outlineLevel="0" collapsed="false">
      <c r="A145" s="13" t="n">
        <v>95</v>
      </c>
      <c r="B145" s="13" t="s">
        <v>2261</v>
      </c>
      <c r="C145" s="13" t="s">
        <v>904</v>
      </c>
      <c r="D145" s="13" t="s">
        <v>2262</v>
      </c>
      <c r="E145" s="13" t="s">
        <v>1016</v>
      </c>
      <c r="F145" s="13" t="s">
        <v>984</v>
      </c>
      <c r="G145" s="13" t="s">
        <v>2155</v>
      </c>
      <c r="H145" s="13" t="n">
        <v>142</v>
      </c>
      <c r="I145" s="14" t="s">
        <v>700</v>
      </c>
      <c r="J145" s="13" t="s">
        <v>286</v>
      </c>
      <c r="K145" s="14" t="s">
        <v>1009</v>
      </c>
      <c r="L145" s="17" t="n">
        <f aca="false">IF(M145="",0,LEN(M145)-LEN(SUBSTITUTE(M145,",",""))+1)</f>
        <v>0</v>
      </c>
      <c r="M145" s="14"/>
      <c r="N145" s="13" t="n">
        <v>5</v>
      </c>
      <c r="O145" s="14"/>
      <c r="P145" s="13" t="s">
        <v>2178</v>
      </c>
    </row>
    <row r="146" customFormat="false" ht="15" hidden="false" customHeight="true" outlineLevel="0" collapsed="false">
      <c r="A146" s="13" t="n">
        <v>96</v>
      </c>
      <c r="B146" s="13" t="s">
        <v>2261</v>
      </c>
      <c r="C146" s="13" t="s">
        <v>958</v>
      </c>
      <c r="D146" s="13" t="s">
        <v>997</v>
      </c>
      <c r="E146" s="13" t="s">
        <v>1029</v>
      </c>
      <c r="F146" s="13" t="s">
        <v>2140</v>
      </c>
      <c r="G146" s="13"/>
      <c r="H146" s="13" t="n">
        <v>226</v>
      </c>
      <c r="I146" s="14" t="s">
        <v>838</v>
      </c>
      <c r="J146" s="13" t="s">
        <v>106</v>
      </c>
      <c r="K146" s="14" t="s">
        <v>958</v>
      </c>
      <c r="L146" s="17" t="n">
        <f aca="false">IF(M146="",0,LEN(M146)-LEN(SUBSTITUTE(M146,",",""))+1)</f>
        <v>0</v>
      </c>
      <c r="M146" s="14"/>
      <c r="N146" s="13" t="n">
        <v>6</v>
      </c>
      <c r="O146" s="14"/>
      <c r="P146" s="13" t="s">
        <v>2178</v>
      </c>
    </row>
    <row r="147" customFormat="false" ht="15" hidden="false" customHeight="true" outlineLevel="0" collapsed="false">
      <c r="A147" s="13" t="n">
        <v>97</v>
      </c>
      <c r="B147" s="13" t="s">
        <v>2261</v>
      </c>
      <c r="C147" s="13" t="s">
        <v>923</v>
      </c>
      <c r="D147" s="13" t="s">
        <v>2138</v>
      </c>
      <c r="E147" s="13" t="s">
        <v>2139</v>
      </c>
      <c r="F147" s="13" t="s">
        <v>2140</v>
      </c>
      <c r="G147" s="13"/>
      <c r="H147" s="13" t="n">
        <v>117</v>
      </c>
      <c r="I147" s="14" t="s">
        <v>656</v>
      </c>
      <c r="J147" s="13" t="s">
        <v>519</v>
      </c>
      <c r="K147" s="14" t="s">
        <v>985</v>
      </c>
      <c r="L147" s="17" t="n">
        <f aca="false">IF(M147="",0,LEN(M147)-LEN(SUBSTITUTE(M147,",",""))+1)</f>
        <v>0</v>
      </c>
      <c r="M147" s="14"/>
      <c r="N147" s="13" t="n">
        <v>9</v>
      </c>
      <c r="O147" s="14"/>
      <c r="P147" s="13"/>
    </row>
    <row r="148" customFormat="false" ht="15" hidden="false" customHeight="true" outlineLevel="0" collapsed="false">
      <c r="A148" s="13" t="n">
        <v>97</v>
      </c>
      <c r="B148" s="13" t="s">
        <v>2261</v>
      </c>
      <c r="C148" s="13" t="s">
        <v>923</v>
      </c>
      <c r="D148" s="13" t="s">
        <v>2138</v>
      </c>
      <c r="E148" s="13" t="s">
        <v>2139</v>
      </c>
      <c r="F148" s="13" t="s">
        <v>2140</v>
      </c>
      <c r="G148" s="13"/>
      <c r="H148" s="13" t="n">
        <v>190</v>
      </c>
      <c r="I148" s="14" t="s">
        <v>784</v>
      </c>
      <c r="J148" s="13" t="s">
        <v>84</v>
      </c>
      <c r="K148" s="14" t="s">
        <v>992</v>
      </c>
      <c r="L148" s="17" t="n">
        <f aca="false">IF(M148="",0,LEN(M148)-LEN(SUBSTITUTE(M148,",",""))+1)</f>
        <v>0</v>
      </c>
      <c r="M148" s="14"/>
      <c r="N148" s="13" t="n">
        <v>5</v>
      </c>
      <c r="O148" s="14"/>
      <c r="P148" s="13"/>
    </row>
    <row r="149" customFormat="false" ht="15" hidden="false" customHeight="true" outlineLevel="0" collapsed="false">
      <c r="A149" s="13" t="n">
        <v>99</v>
      </c>
      <c r="B149" s="13" t="s">
        <v>2261</v>
      </c>
      <c r="C149" s="13" t="s">
        <v>934</v>
      </c>
      <c r="D149" s="13" t="s">
        <v>995</v>
      </c>
      <c r="E149" s="13" t="s">
        <v>1016</v>
      </c>
      <c r="F149" s="13" t="s">
        <v>1002</v>
      </c>
      <c r="G149" s="13"/>
      <c r="H149" s="13" t="n">
        <v>126</v>
      </c>
      <c r="I149" s="14" t="s">
        <v>671</v>
      </c>
      <c r="J149" s="13" t="s">
        <v>163</v>
      </c>
      <c r="K149" s="14" t="s">
        <v>995</v>
      </c>
      <c r="L149" s="17" t="n">
        <f aca="false">IF(M149="",0,LEN(M149)-LEN(SUBSTITUTE(M149,",",""))+1)</f>
        <v>0</v>
      </c>
      <c r="M149" s="14"/>
      <c r="N149" s="13" t="n">
        <v>7</v>
      </c>
      <c r="O149" s="14"/>
      <c r="P149" s="13" t="s">
        <v>2178</v>
      </c>
    </row>
    <row r="151" customFormat="false" ht="15" hidden="false" customHeight="true" outlineLevel="0" collapsed="false">
      <c r="A151" s="7" t="s">
        <v>2263</v>
      </c>
    </row>
    <row r="152" customFormat="false" ht="15" hidden="false" customHeight="true" outlineLevel="0" collapsed="false">
      <c r="A152" s="5" t="s">
        <v>2264</v>
      </c>
    </row>
  </sheetData>
  <autoFilter ref="A1:P149"/>
  <conditionalFormatting sqref="L2:L149">
    <cfRule type="expression" priority="2" aboveAverage="0" equalAverage="0" bottom="0" percent="0" rank="0" text="" dxfId="6">
      <formula>L2&gt;=5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38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6" style="1" width="8"/>
  </cols>
  <sheetData>
    <row r="1" customFormat="false" ht="15" hidden="false" customHeight="true" outlineLevel="0" collapsed="false">
      <c r="A1" s="4" t="s">
        <v>2265</v>
      </c>
      <c r="B1" s="4" t="s">
        <v>2266</v>
      </c>
      <c r="C1" s="4" t="s">
        <v>2130</v>
      </c>
      <c r="D1" s="4" t="s">
        <v>2267</v>
      </c>
      <c r="E1" s="4" t="s">
        <v>2268</v>
      </c>
      <c r="F1" s="4" t="s">
        <v>2269</v>
      </c>
      <c r="G1" s="4" t="s">
        <v>2270</v>
      </c>
    </row>
    <row r="2" customFormat="false" ht="15" hidden="false" customHeight="true" outlineLevel="0" collapsed="false">
      <c r="A2" s="5" t="n">
        <v>1</v>
      </c>
      <c r="B2" s="5" t="s">
        <v>2271</v>
      </c>
      <c r="C2" s="5" t="s">
        <v>2272</v>
      </c>
      <c r="D2" s="5" t="n">
        <v>3</v>
      </c>
      <c r="E2" s="5" t="n">
        <v>3</v>
      </c>
      <c r="F2" s="5" t="n">
        <f aca="false">D2-E2</f>
        <v>0</v>
      </c>
      <c r="G2" s="5" t="str">
        <f aca="false">IF(E2&gt;=5,"Check","")</f>
        <v/>
      </c>
    </row>
    <row r="3" customFormat="false" ht="15" hidden="false" customHeight="true" outlineLevel="0" collapsed="false">
      <c r="A3" s="5" t="n">
        <v>2</v>
      </c>
      <c r="B3" s="5" t="s">
        <v>2051</v>
      </c>
      <c r="C3" s="5" t="s">
        <v>2273</v>
      </c>
      <c r="D3" s="5" t="n">
        <v>0</v>
      </c>
      <c r="E3" s="5" t="n">
        <v>0</v>
      </c>
      <c r="F3" s="5" t="n">
        <f aca="false">D3-E3</f>
        <v>0</v>
      </c>
      <c r="G3" s="5" t="str">
        <f aca="false">IF(E3&gt;=5,"Check","")</f>
        <v/>
      </c>
    </row>
    <row r="4" customFormat="false" ht="15" hidden="false" customHeight="true" outlineLevel="0" collapsed="false">
      <c r="A4" s="5" t="n">
        <v>3</v>
      </c>
      <c r="B4" s="5" t="s">
        <v>2274</v>
      </c>
      <c r="C4" s="5" t="s">
        <v>2275</v>
      </c>
      <c r="D4" s="5" t="n">
        <v>0</v>
      </c>
      <c r="E4" s="5" t="n">
        <v>0</v>
      </c>
      <c r="F4" s="5" t="n">
        <f aca="false">D4-E4</f>
        <v>0</v>
      </c>
      <c r="G4" s="5" t="str">
        <f aca="false">IF(E4&gt;=5,"Check","")</f>
        <v/>
      </c>
    </row>
    <row r="5" customFormat="false" ht="15" hidden="false" customHeight="true" outlineLevel="0" collapsed="false">
      <c r="A5" s="5" t="n">
        <v>5</v>
      </c>
      <c r="B5" s="5" t="s">
        <v>2276</v>
      </c>
      <c r="C5" s="5" t="s">
        <v>2277</v>
      </c>
      <c r="D5" s="5" t="n">
        <v>4</v>
      </c>
      <c r="E5" s="5" t="n">
        <v>4</v>
      </c>
      <c r="F5" s="5" t="n">
        <f aca="false">D5-E5</f>
        <v>0</v>
      </c>
      <c r="G5" s="5" t="str">
        <f aca="false">IF(E5&gt;=5,"Check","")</f>
        <v/>
      </c>
    </row>
    <row r="6" customFormat="false" ht="15" hidden="false" customHeight="true" outlineLevel="0" collapsed="false">
      <c r="A6" s="5" t="n">
        <v>12</v>
      </c>
      <c r="B6" s="5" t="s">
        <v>2278</v>
      </c>
      <c r="C6" s="5" t="s">
        <v>2279</v>
      </c>
      <c r="D6" s="5" t="n">
        <v>6</v>
      </c>
      <c r="E6" s="5" t="n">
        <v>2</v>
      </c>
      <c r="F6" s="5" t="n">
        <f aca="false">D6-E6</f>
        <v>4</v>
      </c>
      <c r="G6" s="5" t="str">
        <f aca="false">IF(E6&gt;=5,"Check","")</f>
        <v/>
      </c>
    </row>
    <row r="7" customFormat="false" ht="15" hidden="false" customHeight="true" outlineLevel="0" collapsed="false">
      <c r="A7" s="5" t="n">
        <v>9</v>
      </c>
      <c r="B7" s="5" t="s">
        <v>2280</v>
      </c>
      <c r="C7" s="5" t="s">
        <v>2281</v>
      </c>
      <c r="D7" s="5" t="n">
        <v>7</v>
      </c>
      <c r="E7" s="5" t="n">
        <v>5</v>
      </c>
      <c r="F7" s="5" t="n">
        <f aca="false">D7-E7</f>
        <v>2</v>
      </c>
      <c r="G7" s="5" t="str">
        <f aca="false">IF(E7&gt;=5,"Check","")</f>
        <v>Check</v>
      </c>
    </row>
    <row r="8" customFormat="false" ht="15" hidden="false" customHeight="true" outlineLevel="0" collapsed="false">
      <c r="A8" s="5" t="n">
        <v>10</v>
      </c>
      <c r="B8" s="5" t="s">
        <v>2024</v>
      </c>
      <c r="C8" s="5" t="s">
        <v>2282</v>
      </c>
      <c r="D8" s="5" t="n">
        <v>3</v>
      </c>
      <c r="E8" s="5" t="n">
        <v>2</v>
      </c>
      <c r="F8" s="5" t="n">
        <f aca="false">D8-E8</f>
        <v>1</v>
      </c>
      <c r="G8" s="5" t="str">
        <f aca="false">IF(E8&gt;=5,"Check","")</f>
        <v/>
      </c>
    </row>
    <row r="9" customFormat="false" ht="15" hidden="false" customHeight="true" outlineLevel="0" collapsed="false">
      <c r="A9" s="5" t="n">
        <v>10</v>
      </c>
      <c r="B9" s="5" t="s">
        <v>2274</v>
      </c>
      <c r="C9" s="5" t="s">
        <v>2283</v>
      </c>
      <c r="D9" s="5" t="n">
        <v>2</v>
      </c>
      <c r="E9" s="5" t="n">
        <v>0</v>
      </c>
      <c r="F9" s="5" t="n">
        <f aca="false">D9-E9</f>
        <v>2</v>
      </c>
      <c r="G9" s="5" t="str">
        <f aca="false">IF(E9&gt;=5,"Check","")</f>
        <v/>
      </c>
    </row>
    <row r="10" customFormat="false" ht="15" hidden="false" customHeight="true" outlineLevel="0" collapsed="false">
      <c r="A10" s="5" t="n">
        <v>16</v>
      </c>
      <c r="B10" s="5" t="s">
        <v>2102</v>
      </c>
      <c r="C10" s="5" t="s">
        <v>2284</v>
      </c>
      <c r="D10" s="5" t="n">
        <v>1</v>
      </c>
      <c r="E10" s="5" t="n">
        <v>1</v>
      </c>
      <c r="F10" s="5" t="n">
        <f aca="false">D10-E10</f>
        <v>0</v>
      </c>
      <c r="G10" s="5" t="str">
        <f aca="false">IF(E10&gt;=5,"Check","")</f>
        <v/>
      </c>
    </row>
    <row r="11" customFormat="false" ht="15" hidden="false" customHeight="true" outlineLevel="0" collapsed="false">
      <c r="A11" s="5" t="n">
        <v>13</v>
      </c>
      <c r="B11" s="5" t="s">
        <v>2271</v>
      </c>
      <c r="C11" s="5" t="s">
        <v>2285</v>
      </c>
      <c r="D11" s="5" t="n">
        <v>6</v>
      </c>
      <c r="E11" s="5" t="n">
        <v>3</v>
      </c>
      <c r="F11" s="5" t="n">
        <f aca="false">D11-E11</f>
        <v>3</v>
      </c>
      <c r="G11" s="5" t="str">
        <f aca="false">IF(E11&gt;=5,"Check","")</f>
        <v/>
      </c>
    </row>
    <row r="12" customFormat="false" ht="15" hidden="false" customHeight="true" outlineLevel="0" collapsed="false">
      <c r="A12" s="5" t="n">
        <v>19</v>
      </c>
      <c r="B12" s="5" t="s">
        <v>2038</v>
      </c>
      <c r="C12" s="5" t="s">
        <v>2286</v>
      </c>
      <c r="D12" s="5" t="n">
        <v>2</v>
      </c>
      <c r="E12" s="5" t="n">
        <v>0</v>
      </c>
      <c r="F12" s="5" t="n">
        <f aca="false">D12-E12</f>
        <v>2</v>
      </c>
      <c r="G12" s="5" t="str">
        <f aca="false">IF(E12&gt;=5,"Check","")</f>
        <v/>
      </c>
    </row>
    <row r="13" customFormat="false" ht="15" hidden="false" customHeight="true" outlineLevel="0" collapsed="false">
      <c r="A13" s="5" t="n">
        <v>15</v>
      </c>
      <c r="B13" s="5" t="s">
        <v>2278</v>
      </c>
      <c r="C13" s="5" t="s">
        <v>2287</v>
      </c>
      <c r="D13" s="5" t="n">
        <v>5</v>
      </c>
      <c r="E13" s="5" t="n">
        <v>3</v>
      </c>
      <c r="F13" s="5" t="n">
        <f aca="false">D13-E13</f>
        <v>2</v>
      </c>
      <c r="G13" s="5" t="str">
        <f aca="false">IF(E13&gt;=5,"Check","")</f>
        <v/>
      </c>
    </row>
    <row r="14" customFormat="false" ht="15" hidden="false" customHeight="true" outlineLevel="0" collapsed="false">
      <c r="A14" s="5" t="n">
        <v>18</v>
      </c>
      <c r="B14" s="5" t="s">
        <v>2280</v>
      </c>
      <c r="C14" s="5" t="s">
        <v>2288</v>
      </c>
      <c r="D14" s="5" t="n">
        <v>3</v>
      </c>
      <c r="E14" s="5" t="n">
        <v>0</v>
      </c>
      <c r="F14" s="5" t="n">
        <f aca="false">D14-E14</f>
        <v>3</v>
      </c>
      <c r="G14" s="5" t="str">
        <f aca="false">IF(E14&gt;=5,"Check","")</f>
        <v/>
      </c>
    </row>
    <row r="15" customFormat="false" ht="15" hidden="false" customHeight="true" outlineLevel="0" collapsed="false">
      <c r="A15" s="5" t="n">
        <v>26</v>
      </c>
      <c r="B15" s="5" t="s">
        <v>2038</v>
      </c>
      <c r="C15" s="5" t="s">
        <v>2289</v>
      </c>
      <c r="D15" s="5" t="n">
        <v>3</v>
      </c>
      <c r="E15" s="5" t="n">
        <v>1</v>
      </c>
      <c r="F15" s="5" t="n">
        <f aca="false">D15-E15</f>
        <v>2</v>
      </c>
      <c r="G15" s="5" t="str">
        <f aca="false">IF(E15&gt;=5,"Check","")</f>
        <v/>
      </c>
    </row>
    <row r="16" customFormat="false" ht="15" hidden="false" customHeight="true" outlineLevel="0" collapsed="false">
      <c r="A16" s="5" t="n">
        <v>28</v>
      </c>
      <c r="B16" s="5" t="s">
        <v>2276</v>
      </c>
      <c r="C16" s="5" t="s">
        <v>2290</v>
      </c>
      <c r="D16" s="5" t="n">
        <v>6</v>
      </c>
      <c r="E16" s="5" t="n">
        <v>2</v>
      </c>
      <c r="F16" s="5" t="n">
        <f aca="false">D16-E16</f>
        <v>4</v>
      </c>
      <c r="G16" s="5" t="str">
        <f aca="false">IF(E16&gt;=5,"Check","")</f>
        <v/>
      </c>
    </row>
    <row r="17" customFormat="false" ht="15" hidden="false" customHeight="true" outlineLevel="0" collapsed="false">
      <c r="A17" s="5" t="n">
        <v>26</v>
      </c>
      <c r="B17" s="5" t="s">
        <v>2024</v>
      </c>
      <c r="C17" s="5" t="s">
        <v>2291</v>
      </c>
      <c r="D17" s="5" t="n">
        <v>2</v>
      </c>
      <c r="E17" s="5" t="n">
        <v>0</v>
      </c>
      <c r="F17" s="5" t="n">
        <f aca="false">D17-E17</f>
        <v>2</v>
      </c>
      <c r="G17" s="5" t="str">
        <f aca="false">IF(E17&gt;=5,"Check","")</f>
        <v/>
      </c>
    </row>
    <row r="18" customFormat="false" ht="15" hidden="false" customHeight="true" outlineLevel="0" collapsed="false">
      <c r="A18" s="5" t="n">
        <v>21</v>
      </c>
      <c r="B18" s="5" t="s">
        <v>2051</v>
      </c>
      <c r="C18" s="5" t="s">
        <v>2292</v>
      </c>
      <c r="D18" s="5" t="n">
        <v>2</v>
      </c>
      <c r="E18" s="5" t="n">
        <v>2</v>
      </c>
      <c r="F18" s="5" t="n">
        <f aca="false">D18-E18</f>
        <v>0</v>
      </c>
      <c r="G18" s="5" t="str">
        <f aca="false">IF(E18&gt;=5,"Check","")</f>
        <v/>
      </c>
    </row>
    <row r="19" customFormat="false" ht="15" hidden="false" customHeight="true" outlineLevel="0" collapsed="false">
      <c r="A19" s="5" t="n">
        <v>24</v>
      </c>
      <c r="B19" s="5" t="s">
        <v>2278</v>
      </c>
      <c r="C19" s="5" t="s">
        <v>2293</v>
      </c>
      <c r="D19" s="5" t="n">
        <v>4</v>
      </c>
      <c r="E19" s="5" t="n">
        <v>3</v>
      </c>
      <c r="F19" s="5" t="n">
        <f aca="false">D19-E19</f>
        <v>1</v>
      </c>
      <c r="G19" s="5" t="str">
        <f aca="false">IF(E19&gt;=5,"Check","")</f>
        <v/>
      </c>
    </row>
    <row r="20" customFormat="false" ht="15" hidden="false" customHeight="true" outlineLevel="0" collapsed="false">
      <c r="A20" s="5" t="n">
        <v>24</v>
      </c>
      <c r="B20" s="5" t="s">
        <v>2038</v>
      </c>
      <c r="C20" s="5" t="s">
        <v>2294</v>
      </c>
      <c r="D20" s="5" t="n">
        <v>0</v>
      </c>
      <c r="E20" s="5" t="n">
        <v>0</v>
      </c>
      <c r="F20" s="5" t="n">
        <f aca="false">D20-E20</f>
        <v>0</v>
      </c>
      <c r="G20" s="5" t="str">
        <f aca="false">IF(E20&gt;=5,"Check","")</f>
        <v/>
      </c>
    </row>
    <row r="21" customFormat="false" ht="15" hidden="false" customHeight="true" outlineLevel="0" collapsed="false">
      <c r="A21" s="5" t="n">
        <v>33</v>
      </c>
      <c r="B21" s="5" t="s">
        <v>2078</v>
      </c>
      <c r="C21" s="5" t="s">
        <v>2295</v>
      </c>
      <c r="D21" s="5" t="n">
        <v>1</v>
      </c>
      <c r="E21" s="5" t="n">
        <v>0</v>
      </c>
      <c r="F21" s="5" t="n">
        <f aca="false">D21-E21</f>
        <v>1</v>
      </c>
      <c r="G21" s="5" t="str">
        <f aca="false">IF(E21&gt;=5,"Check","")</f>
        <v/>
      </c>
    </row>
    <row r="22" customFormat="false" ht="15" hidden="false" customHeight="true" outlineLevel="0" collapsed="false">
      <c r="A22" s="5" t="n">
        <v>25</v>
      </c>
      <c r="B22" s="5" t="s">
        <v>2271</v>
      </c>
      <c r="C22" s="5" t="s">
        <v>2296</v>
      </c>
      <c r="D22" s="5" t="n">
        <v>6</v>
      </c>
      <c r="E22" s="5" t="n">
        <v>2</v>
      </c>
      <c r="F22" s="5" t="n">
        <f aca="false">D22-E22</f>
        <v>4</v>
      </c>
      <c r="G22" s="5" t="str">
        <f aca="false">IF(E22&gt;=5,"Check","")</f>
        <v/>
      </c>
    </row>
    <row r="23" customFormat="false" ht="15" hidden="false" customHeight="true" outlineLevel="0" collapsed="false">
      <c r="A23" s="5" t="n">
        <v>26</v>
      </c>
      <c r="B23" s="5" t="s">
        <v>2274</v>
      </c>
      <c r="C23" s="5" t="s">
        <v>2297</v>
      </c>
      <c r="D23" s="5" t="n">
        <v>1</v>
      </c>
      <c r="E23" s="5" t="n">
        <v>0</v>
      </c>
      <c r="F23" s="5" t="n">
        <f aca="false">D23-E23</f>
        <v>1</v>
      </c>
      <c r="G23" s="5" t="str">
        <f aca="false">IF(E23&gt;=5,"Check","")</f>
        <v/>
      </c>
    </row>
    <row r="24" customFormat="false" ht="15" hidden="false" customHeight="true" outlineLevel="0" collapsed="false">
      <c r="A24" s="5" t="n">
        <v>28</v>
      </c>
      <c r="B24" s="5" t="s">
        <v>2102</v>
      </c>
      <c r="C24" s="5" t="s">
        <v>2298</v>
      </c>
      <c r="D24" s="5" t="n">
        <v>4</v>
      </c>
      <c r="E24" s="5" t="n">
        <v>1</v>
      </c>
      <c r="F24" s="5" t="n">
        <f aca="false">D24-E24</f>
        <v>3</v>
      </c>
      <c r="G24" s="5" t="str">
        <f aca="false">IF(E24&gt;=5,"Check","")</f>
        <v/>
      </c>
    </row>
    <row r="25" customFormat="false" ht="15" hidden="false" customHeight="true" outlineLevel="0" collapsed="false">
      <c r="A25" s="5" t="n">
        <v>33</v>
      </c>
      <c r="B25" s="5" t="s">
        <v>2276</v>
      </c>
      <c r="C25" s="5" t="s">
        <v>2299</v>
      </c>
      <c r="D25" s="5" t="n">
        <v>2</v>
      </c>
      <c r="E25" s="5" t="n">
        <v>0</v>
      </c>
      <c r="F25" s="5" t="n">
        <f aca="false">D25-E25</f>
        <v>2</v>
      </c>
      <c r="G25" s="5" t="str">
        <f aca="false">IF(E25&gt;=5,"Check","")</f>
        <v/>
      </c>
    </row>
    <row r="26" customFormat="false" ht="15" hidden="false" customHeight="true" outlineLevel="0" collapsed="false">
      <c r="A26" s="5" t="n">
        <v>34</v>
      </c>
      <c r="B26" s="5" t="s">
        <v>2280</v>
      </c>
      <c r="C26" s="5" t="s">
        <v>2300</v>
      </c>
      <c r="D26" s="5" t="n">
        <v>4</v>
      </c>
      <c r="E26" s="5" t="n">
        <v>2</v>
      </c>
      <c r="F26" s="5" t="n">
        <f aca="false">D26-E26</f>
        <v>2</v>
      </c>
      <c r="G26" s="5" t="str">
        <f aca="false">IF(E26&gt;=5,"Check","")</f>
        <v/>
      </c>
    </row>
    <row r="27" customFormat="false" ht="15" hidden="false" customHeight="true" outlineLevel="0" collapsed="false">
      <c r="A27" s="5" t="n">
        <v>31</v>
      </c>
      <c r="B27" s="5" t="s">
        <v>2278</v>
      </c>
      <c r="C27" s="5" t="s">
        <v>2301</v>
      </c>
      <c r="D27" s="5" t="n">
        <v>5</v>
      </c>
      <c r="E27" s="5" t="n">
        <v>1</v>
      </c>
      <c r="F27" s="5" t="n">
        <f aca="false">D27-E27</f>
        <v>4</v>
      </c>
      <c r="G27" s="5" t="str">
        <f aca="false">IF(E27&gt;=5,"Check","")</f>
        <v/>
      </c>
    </row>
    <row r="28" customFormat="false" ht="15" hidden="false" customHeight="true" outlineLevel="0" collapsed="false">
      <c r="A28" s="5" t="n">
        <v>35</v>
      </c>
      <c r="B28" s="5" t="s">
        <v>2051</v>
      </c>
      <c r="C28" s="5" t="s">
        <v>2302</v>
      </c>
      <c r="D28" s="5" t="n">
        <v>3</v>
      </c>
      <c r="E28" s="5" t="n">
        <v>0</v>
      </c>
      <c r="F28" s="5" t="n">
        <f aca="false">D28-E28</f>
        <v>3</v>
      </c>
      <c r="G28" s="5" t="str">
        <f aca="false">IF(E28&gt;=5,"Check","")</f>
        <v/>
      </c>
    </row>
    <row r="29" customFormat="false" ht="15" hidden="false" customHeight="true" outlineLevel="0" collapsed="false">
      <c r="A29" s="5" t="n">
        <v>32</v>
      </c>
      <c r="B29" s="5" t="s">
        <v>2274</v>
      </c>
      <c r="C29" s="5" t="s">
        <v>2303</v>
      </c>
      <c r="D29" s="5" t="n">
        <v>1</v>
      </c>
      <c r="E29" s="5" t="n">
        <v>1</v>
      </c>
      <c r="F29" s="5" t="n">
        <f aca="false">D29-E29</f>
        <v>0</v>
      </c>
      <c r="G29" s="5" t="str">
        <f aca="false">IF(E29&gt;=5,"Check","")</f>
        <v/>
      </c>
    </row>
    <row r="30" customFormat="false" ht="15" hidden="false" customHeight="true" outlineLevel="0" collapsed="false">
      <c r="A30" s="5" t="n">
        <v>38</v>
      </c>
      <c r="B30" s="5" t="s">
        <v>2038</v>
      </c>
      <c r="C30" s="5" t="s">
        <v>2304</v>
      </c>
      <c r="D30" s="5" t="n">
        <v>0</v>
      </c>
      <c r="E30" s="5" t="n">
        <v>0</v>
      </c>
      <c r="F30" s="5" t="n">
        <f aca="false">D30-E30</f>
        <v>0</v>
      </c>
      <c r="G30" s="5" t="str">
        <f aca="false">IF(E30&gt;=5,"Check","")</f>
        <v/>
      </c>
    </row>
    <row r="31" customFormat="false" ht="15" hidden="false" customHeight="true" outlineLevel="0" collapsed="false">
      <c r="A31" s="5" t="n">
        <v>34</v>
      </c>
      <c r="B31" s="5" t="s">
        <v>2051</v>
      </c>
      <c r="C31" s="5" t="s">
        <v>2305</v>
      </c>
      <c r="D31" s="5" t="n">
        <v>5</v>
      </c>
      <c r="E31" s="5" t="n">
        <v>0</v>
      </c>
      <c r="F31" s="5" t="n">
        <f aca="false">D31-E31</f>
        <v>5</v>
      </c>
      <c r="G31" s="5" t="str">
        <f aca="false">IF(E31&gt;=5,"Check","")</f>
        <v/>
      </c>
    </row>
    <row r="32" customFormat="false" ht="15" hidden="false" customHeight="true" outlineLevel="0" collapsed="false">
      <c r="A32" s="5" t="n">
        <v>39</v>
      </c>
      <c r="B32" s="5" t="s">
        <v>2078</v>
      </c>
      <c r="C32" s="5" t="s">
        <v>2306</v>
      </c>
      <c r="D32" s="5" t="n">
        <v>4</v>
      </c>
      <c r="E32" s="5" t="n">
        <v>3</v>
      </c>
      <c r="F32" s="5" t="n">
        <f aca="false">D32-E32</f>
        <v>1</v>
      </c>
      <c r="G32" s="5" t="str">
        <f aca="false">IF(E32&gt;=5,"Check","")</f>
        <v/>
      </c>
    </row>
    <row r="33" customFormat="false" ht="15" hidden="false" customHeight="true" outlineLevel="0" collapsed="false">
      <c r="A33" s="5" t="n">
        <v>36</v>
      </c>
      <c r="B33" s="5" t="s">
        <v>2271</v>
      </c>
      <c r="C33" s="5" t="s">
        <v>2307</v>
      </c>
      <c r="D33" s="5" t="n">
        <v>3</v>
      </c>
      <c r="E33" s="5" t="n">
        <v>0</v>
      </c>
      <c r="F33" s="5" t="n">
        <f aca="false">D33-E33</f>
        <v>3</v>
      </c>
      <c r="G33" s="5" t="str">
        <f aca="false">IF(E33&gt;=5,"Check","")</f>
        <v/>
      </c>
    </row>
    <row r="34" customFormat="false" ht="15" hidden="false" customHeight="true" outlineLevel="0" collapsed="false">
      <c r="A34" s="5" t="n">
        <v>39</v>
      </c>
      <c r="B34" s="5" t="s">
        <v>2102</v>
      </c>
      <c r="C34" s="5" t="s">
        <v>2308</v>
      </c>
      <c r="D34" s="5" t="n">
        <v>2</v>
      </c>
      <c r="E34" s="5" t="n">
        <v>1</v>
      </c>
      <c r="F34" s="5" t="n">
        <f aca="false">D34-E34</f>
        <v>1</v>
      </c>
      <c r="G34" s="5" t="str">
        <f aca="false">IF(E34&gt;=5,"Check","")</f>
        <v/>
      </c>
    </row>
    <row r="35" customFormat="false" ht="15" hidden="false" customHeight="true" outlineLevel="0" collapsed="false">
      <c r="A35" s="5" t="n">
        <v>38</v>
      </c>
      <c r="B35" s="5" t="s">
        <v>2024</v>
      </c>
      <c r="C35" s="5" t="s">
        <v>2309</v>
      </c>
      <c r="D35" s="5" t="n">
        <v>2</v>
      </c>
      <c r="E35" s="5" t="n">
        <v>0</v>
      </c>
      <c r="F35" s="5" t="n">
        <f aca="false">D35-E35</f>
        <v>2</v>
      </c>
      <c r="G35" s="5" t="str">
        <f aca="false">IF(E35&gt;=5,"Check","")</f>
        <v/>
      </c>
    </row>
    <row r="36" customFormat="false" ht="15" hidden="false" customHeight="true" outlineLevel="0" collapsed="false">
      <c r="A36" s="5" t="n">
        <v>45</v>
      </c>
      <c r="B36" s="5" t="s">
        <v>2278</v>
      </c>
      <c r="C36" s="5" t="s">
        <v>2310</v>
      </c>
      <c r="D36" s="5" t="n">
        <v>2</v>
      </c>
      <c r="E36" s="5" t="n">
        <v>1</v>
      </c>
      <c r="F36" s="5" t="n">
        <f aca="false">D36-E36</f>
        <v>1</v>
      </c>
      <c r="G36" s="5" t="str">
        <f aca="false">IF(E36&gt;=5,"Check","")</f>
        <v/>
      </c>
    </row>
    <row r="37" customFormat="false" ht="15" hidden="false" customHeight="true" outlineLevel="0" collapsed="false">
      <c r="A37" s="5" t="n">
        <v>44</v>
      </c>
      <c r="B37" s="5" t="s">
        <v>2280</v>
      </c>
      <c r="C37" s="5" t="s">
        <v>2311</v>
      </c>
      <c r="D37" s="5" t="n">
        <v>0</v>
      </c>
      <c r="E37" s="5" t="n">
        <v>0</v>
      </c>
      <c r="F37" s="5" t="n">
        <f aca="false">D37-E37</f>
        <v>0</v>
      </c>
      <c r="G37" s="5" t="str">
        <f aca="false">IF(E37&gt;=5,"Check","")</f>
        <v/>
      </c>
    </row>
    <row r="38" customFormat="false" ht="15" hidden="false" customHeight="true" outlineLevel="0" collapsed="false">
      <c r="A38" s="5" t="n">
        <v>50</v>
      </c>
      <c r="B38" s="5" t="s">
        <v>2038</v>
      </c>
      <c r="C38" s="5" t="s">
        <v>2312</v>
      </c>
      <c r="D38" s="5" t="n">
        <v>2</v>
      </c>
      <c r="E38" s="5" t="n">
        <v>0</v>
      </c>
      <c r="F38" s="5" t="n">
        <f aca="false">D38-E38</f>
        <v>2</v>
      </c>
      <c r="G38" s="5" t="str">
        <f aca="false">IF(E38&gt;=5,"Check","")</f>
        <v/>
      </c>
    </row>
    <row r="39" customFormat="false" ht="15" hidden="false" customHeight="true" outlineLevel="0" collapsed="false">
      <c r="A39" s="5" t="n">
        <v>43</v>
      </c>
      <c r="B39" s="5" t="s">
        <v>2274</v>
      </c>
      <c r="C39" s="5" t="s">
        <v>2313</v>
      </c>
      <c r="D39" s="5" t="n">
        <v>1</v>
      </c>
      <c r="E39" s="5" t="n">
        <v>0</v>
      </c>
      <c r="F39" s="5" t="n">
        <f aca="false">D39-E39</f>
        <v>1</v>
      </c>
      <c r="G39" s="5" t="str">
        <f aca="false">IF(E39&gt;=5,"Check","")</f>
        <v/>
      </c>
    </row>
    <row r="40" customFormat="false" ht="15" hidden="false" customHeight="true" outlineLevel="0" collapsed="false">
      <c r="A40" s="5" t="n">
        <v>45</v>
      </c>
      <c r="B40" s="5" t="s">
        <v>2051</v>
      </c>
      <c r="C40" s="5" t="s">
        <v>2314</v>
      </c>
      <c r="D40" s="5" t="n">
        <v>1</v>
      </c>
      <c r="E40" s="5" t="n">
        <v>1</v>
      </c>
      <c r="F40" s="5" t="n">
        <f aca="false">D40-E40</f>
        <v>0</v>
      </c>
      <c r="G40" s="5" t="str">
        <f aca="false">IF(E40&gt;=5,"Check","")</f>
        <v/>
      </c>
    </row>
    <row r="41" customFormat="false" ht="15" hidden="false" customHeight="true" outlineLevel="0" collapsed="false">
      <c r="A41" s="5" t="n">
        <v>47</v>
      </c>
      <c r="B41" s="5" t="s">
        <v>2278</v>
      </c>
      <c r="C41" s="5" t="s">
        <v>2315</v>
      </c>
      <c r="D41" s="5" t="n">
        <v>2</v>
      </c>
      <c r="E41" s="5" t="n">
        <v>0</v>
      </c>
      <c r="F41" s="5" t="n">
        <f aca="false">D41-E41</f>
        <v>2</v>
      </c>
      <c r="G41" s="5" t="str">
        <f aca="false">IF(E41&gt;=5,"Check","")</f>
        <v/>
      </c>
    </row>
    <row r="42" customFormat="false" ht="15" hidden="false" customHeight="true" outlineLevel="0" collapsed="false">
      <c r="A42" s="5" t="n">
        <v>49</v>
      </c>
      <c r="B42" s="5" t="s">
        <v>2276</v>
      </c>
      <c r="C42" s="5" t="s">
        <v>2316</v>
      </c>
      <c r="D42" s="5" t="n">
        <v>1</v>
      </c>
      <c r="E42" s="5" t="n">
        <v>0</v>
      </c>
      <c r="F42" s="5" t="n">
        <f aca="false">D42-E42</f>
        <v>1</v>
      </c>
      <c r="G42" s="5" t="str">
        <f aca="false">IF(E42&gt;=5,"Check","")</f>
        <v/>
      </c>
    </row>
    <row r="43" customFormat="false" ht="15" hidden="false" customHeight="true" outlineLevel="0" collapsed="false">
      <c r="A43" s="5" t="n">
        <v>50</v>
      </c>
      <c r="B43" s="5" t="s">
        <v>2271</v>
      </c>
      <c r="C43" s="5" t="s">
        <v>2317</v>
      </c>
      <c r="D43" s="5" t="n">
        <v>4</v>
      </c>
      <c r="E43" s="5" t="n">
        <v>0</v>
      </c>
      <c r="F43" s="5" t="n">
        <f aca="false">D43-E43</f>
        <v>4</v>
      </c>
      <c r="G43" s="5" t="str">
        <f aca="false">IF(E43&gt;=5,"Check","")</f>
        <v/>
      </c>
    </row>
    <row r="44" customFormat="false" ht="15" hidden="false" customHeight="true" outlineLevel="0" collapsed="false">
      <c r="A44" s="5" t="n">
        <v>50</v>
      </c>
      <c r="B44" s="5" t="s">
        <v>2024</v>
      </c>
      <c r="C44" s="5" t="s">
        <v>2318</v>
      </c>
      <c r="D44" s="5" t="n">
        <v>3</v>
      </c>
      <c r="E44" s="5" t="n">
        <v>0</v>
      </c>
      <c r="F44" s="5" t="n">
        <f aca="false">D44-E44</f>
        <v>3</v>
      </c>
      <c r="G44" s="5" t="str">
        <f aca="false">IF(E44&gt;=5,"Check","")</f>
        <v/>
      </c>
    </row>
    <row r="45" customFormat="false" ht="15" hidden="false" customHeight="true" outlineLevel="0" collapsed="false">
      <c r="A45" s="5" t="n">
        <v>55</v>
      </c>
      <c r="B45" s="5" t="s">
        <v>2274</v>
      </c>
      <c r="C45" s="5" t="s">
        <v>2319</v>
      </c>
      <c r="D45" s="5" t="n">
        <v>3</v>
      </c>
      <c r="E45" s="5" t="n">
        <v>0</v>
      </c>
      <c r="F45" s="5" t="n">
        <f aca="false">D45-E45</f>
        <v>3</v>
      </c>
      <c r="G45" s="5" t="str">
        <f aca="false">IF(E45&gt;=5,"Check","")</f>
        <v/>
      </c>
    </row>
    <row r="46" customFormat="false" ht="15" hidden="false" customHeight="true" outlineLevel="0" collapsed="false">
      <c r="A46" s="5" t="n">
        <v>60</v>
      </c>
      <c r="B46" s="5" t="s">
        <v>2038</v>
      </c>
      <c r="C46" s="5" t="s">
        <v>2320</v>
      </c>
      <c r="D46" s="5" t="n">
        <v>3</v>
      </c>
      <c r="E46" s="5" t="n">
        <v>3</v>
      </c>
      <c r="F46" s="5" t="n">
        <f aca="false">D46-E46</f>
        <v>0</v>
      </c>
      <c r="G46" s="5" t="str">
        <f aca="false">IF(E46&gt;=5,"Check","")</f>
        <v/>
      </c>
    </row>
    <row r="47" customFormat="false" ht="15" hidden="false" customHeight="true" outlineLevel="0" collapsed="false">
      <c r="A47" s="5" t="n">
        <v>61</v>
      </c>
      <c r="B47" s="5" t="s">
        <v>2078</v>
      </c>
      <c r="C47" s="5" t="s">
        <v>2321</v>
      </c>
      <c r="D47" s="5" t="n">
        <v>0</v>
      </c>
      <c r="E47" s="5" t="n">
        <v>0</v>
      </c>
      <c r="F47" s="5" t="n">
        <f aca="false">D47-E47</f>
        <v>0</v>
      </c>
      <c r="G47" s="5" t="str">
        <f aca="false">IF(E47&gt;=5,"Check","")</f>
        <v/>
      </c>
    </row>
    <row r="48" customFormat="false" ht="15" hidden="false" customHeight="true" outlineLevel="0" collapsed="false">
      <c r="A48" s="5" t="n">
        <v>55</v>
      </c>
      <c r="B48" s="5" t="s">
        <v>2278</v>
      </c>
      <c r="C48" s="5" t="s">
        <v>2322</v>
      </c>
      <c r="D48" s="5" t="n">
        <v>0</v>
      </c>
      <c r="E48" s="5" t="n">
        <v>0</v>
      </c>
      <c r="F48" s="5" t="n">
        <f aca="false">D48-E48</f>
        <v>0</v>
      </c>
      <c r="G48" s="5" t="str">
        <f aca="false">IF(E48&gt;=5,"Check","")</f>
        <v/>
      </c>
    </row>
    <row r="49" customFormat="false" ht="15" hidden="false" customHeight="true" outlineLevel="0" collapsed="false">
      <c r="A49" s="5" t="n">
        <v>63</v>
      </c>
      <c r="B49" s="5" t="s">
        <v>2276</v>
      </c>
      <c r="C49" s="5" t="s">
        <v>2323</v>
      </c>
      <c r="D49" s="5" t="n">
        <v>2</v>
      </c>
      <c r="E49" s="5" t="n">
        <v>0</v>
      </c>
      <c r="F49" s="5" t="n">
        <f aca="false">D49-E49</f>
        <v>2</v>
      </c>
      <c r="G49" s="5" t="str">
        <f aca="false">IF(E49&gt;=5,"Check","")</f>
        <v/>
      </c>
    </row>
    <row r="50" customFormat="false" ht="15" hidden="false" customHeight="true" outlineLevel="0" collapsed="false">
      <c r="A50" s="5" t="n">
        <v>63</v>
      </c>
      <c r="B50" s="5" t="s">
        <v>2102</v>
      </c>
      <c r="C50" s="5" t="s">
        <v>2324</v>
      </c>
      <c r="D50" s="5" t="n">
        <v>2</v>
      </c>
      <c r="E50" s="5" t="n">
        <v>1</v>
      </c>
      <c r="F50" s="5" t="n">
        <f aca="false">D50-E50</f>
        <v>1</v>
      </c>
      <c r="G50" s="5" t="str">
        <f aca="false">IF(E50&gt;=5,"Check","")</f>
        <v/>
      </c>
    </row>
    <row r="51" customFormat="false" ht="15" hidden="false" customHeight="true" outlineLevel="0" collapsed="false">
      <c r="A51" s="5" t="n">
        <v>67</v>
      </c>
      <c r="B51" s="5" t="s">
        <v>2280</v>
      </c>
      <c r="C51" s="5" t="s">
        <v>2325</v>
      </c>
      <c r="D51" s="5" t="n">
        <v>1</v>
      </c>
      <c r="E51" s="5" t="n">
        <v>1</v>
      </c>
      <c r="F51" s="5" t="n">
        <f aca="false">D51-E51</f>
        <v>0</v>
      </c>
      <c r="G51" s="5" t="str">
        <f aca="false">IF(E51&gt;=5,"Check","")</f>
        <v/>
      </c>
    </row>
    <row r="52" customFormat="false" ht="15" hidden="false" customHeight="true" outlineLevel="0" collapsed="false">
      <c r="A52" s="5" t="n">
        <v>60</v>
      </c>
      <c r="B52" s="5" t="s">
        <v>2078</v>
      </c>
      <c r="C52" s="5" t="s">
        <v>2326</v>
      </c>
      <c r="D52" s="5" t="n">
        <v>0</v>
      </c>
      <c r="E52" s="5" t="n">
        <v>0</v>
      </c>
      <c r="F52" s="5" t="n">
        <f aca="false">D52-E52</f>
        <v>0</v>
      </c>
      <c r="G52" s="5" t="str">
        <f aca="false">IF(E52&gt;=5,"Check","")</f>
        <v/>
      </c>
    </row>
    <row r="53" customFormat="false" ht="15" hidden="false" customHeight="true" outlineLevel="0" collapsed="false">
      <c r="A53" s="5" t="n">
        <v>63</v>
      </c>
      <c r="B53" s="5" t="s">
        <v>2276</v>
      </c>
      <c r="C53" s="5" t="s">
        <v>2327</v>
      </c>
      <c r="D53" s="5" t="n">
        <v>2</v>
      </c>
      <c r="E53" s="5" t="n">
        <v>2</v>
      </c>
      <c r="F53" s="5" t="n">
        <f aca="false">D53-E53</f>
        <v>0</v>
      </c>
      <c r="G53" s="5" t="str">
        <f aca="false">IF(E53&gt;=5,"Check","")</f>
        <v/>
      </c>
    </row>
    <row r="54" customFormat="false" ht="15" hidden="false" customHeight="true" outlineLevel="0" collapsed="false">
      <c r="A54" s="5" t="n">
        <v>61</v>
      </c>
      <c r="B54" s="5" t="s">
        <v>2274</v>
      </c>
      <c r="C54" s="5" t="s">
        <v>2328</v>
      </c>
      <c r="D54" s="5" t="n">
        <v>3</v>
      </c>
      <c r="E54" s="5" t="n">
        <v>3</v>
      </c>
      <c r="F54" s="5" t="n">
        <f aca="false">D54-E54</f>
        <v>0</v>
      </c>
      <c r="G54" s="5" t="str">
        <f aca="false">IF(E54&gt;=5,"Check","")</f>
        <v/>
      </c>
    </row>
    <row r="55" customFormat="false" ht="15" hidden="false" customHeight="true" outlineLevel="0" collapsed="false">
      <c r="A55" s="5" t="n">
        <v>63</v>
      </c>
      <c r="B55" s="5" t="s">
        <v>2271</v>
      </c>
      <c r="C55" s="5" t="s">
        <v>2329</v>
      </c>
      <c r="D55" s="5" t="n">
        <v>3</v>
      </c>
      <c r="E55" s="5" t="n">
        <v>0</v>
      </c>
      <c r="F55" s="5" t="n">
        <f aca="false">D55-E55</f>
        <v>3</v>
      </c>
      <c r="G55" s="5" t="str">
        <f aca="false">IF(E55&gt;=5,"Check","")</f>
        <v/>
      </c>
    </row>
    <row r="56" customFormat="false" ht="15" hidden="false" customHeight="true" outlineLevel="0" collapsed="false">
      <c r="A56" s="5" t="n">
        <v>63</v>
      </c>
      <c r="B56" s="5" t="s">
        <v>2278</v>
      </c>
      <c r="C56" s="5" t="s">
        <v>2330</v>
      </c>
      <c r="D56" s="5" t="n">
        <v>5</v>
      </c>
      <c r="E56" s="5" t="n">
        <v>0</v>
      </c>
      <c r="F56" s="5" t="n">
        <f aca="false">D56-E56</f>
        <v>5</v>
      </c>
      <c r="G56" s="5" t="str">
        <f aca="false">IF(E56&gt;=5,"Check","")</f>
        <v/>
      </c>
    </row>
    <row r="57" customFormat="false" ht="15" hidden="false" customHeight="true" outlineLevel="0" collapsed="false">
      <c r="A57" s="5" t="n">
        <v>67</v>
      </c>
      <c r="B57" s="5" t="s">
        <v>2280</v>
      </c>
      <c r="C57" s="5" t="s">
        <v>2331</v>
      </c>
      <c r="D57" s="5" t="n">
        <v>3</v>
      </c>
      <c r="E57" s="5" t="n">
        <v>2</v>
      </c>
      <c r="F57" s="5" t="n">
        <f aca="false">D57-E57</f>
        <v>1</v>
      </c>
      <c r="G57" s="5" t="str">
        <f aca="false">IF(E57&gt;=5,"Check","")</f>
        <v/>
      </c>
    </row>
    <row r="58" customFormat="false" ht="15" hidden="false" customHeight="true" outlineLevel="0" collapsed="false">
      <c r="A58" s="5" t="n">
        <v>65</v>
      </c>
      <c r="B58" s="5" t="s">
        <v>2038</v>
      </c>
      <c r="C58" s="5" t="s">
        <v>2332</v>
      </c>
      <c r="D58" s="5" t="n">
        <v>0</v>
      </c>
      <c r="E58" s="5" t="n">
        <v>0</v>
      </c>
      <c r="F58" s="5" t="n">
        <f aca="false">D58-E58</f>
        <v>0</v>
      </c>
      <c r="G58" s="5" t="str">
        <f aca="false">IF(E58&gt;=5,"Check","")</f>
        <v/>
      </c>
    </row>
    <row r="59" customFormat="false" ht="15" hidden="false" customHeight="true" outlineLevel="0" collapsed="false">
      <c r="A59" s="5" t="n">
        <v>66</v>
      </c>
      <c r="B59" s="5" t="s">
        <v>2051</v>
      </c>
      <c r="C59" s="5" t="s">
        <v>2333</v>
      </c>
      <c r="D59" s="5" t="n">
        <v>0</v>
      </c>
      <c r="E59" s="5" t="n">
        <v>0</v>
      </c>
      <c r="F59" s="5" t="n">
        <f aca="false">D59-E59</f>
        <v>0</v>
      </c>
      <c r="G59" s="5" t="str">
        <f aca="false">IF(E59&gt;=5,"Check","")</f>
        <v/>
      </c>
    </row>
    <row r="60" customFormat="false" ht="15" hidden="false" customHeight="true" outlineLevel="0" collapsed="false">
      <c r="A60" s="5" t="n">
        <v>72</v>
      </c>
      <c r="B60" s="5" t="s">
        <v>2102</v>
      </c>
      <c r="C60" s="5" t="s">
        <v>2334</v>
      </c>
      <c r="D60" s="5" t="n">
        <v>1</v>
      </c>
      <c r="E60" s="5" t="n">
        <v>0</v>
      </c>
      <c r="F60" s="5" t="n">
        <f aca="false">D60-E60</f>
        <v>1</v>
      </c>
      <c r="G60" s="5" t="str">
        <f aca="false">IF(E60&gt;=5,"Check","")</f>
        <v/>
      </c>
    </row>
    <row r="61" customFormat="false" ht="15" hidden="false" customHeight="true" outlineLevel="0" collapsed="false">
      <c r="A61" s="5" t="n">
        <v>68</v>
      </c>
      <c r="B61" s="5" t="s">
        <v>2274</v>
      </c>
      <c r="C61" s="5" t="s">
        <v>2335</v>
      </c>
      <c r="D61" s="5" t="n">
        <v>5</v>
      </c>
      <c r="E61" s="5" t="n">
        <v>3</v>
      </c>
      <c r="F61" s="5" t="n">
        <f aca="false">D61-E61</f>
        <v>2</v>
      </c>
      <c r="G61" s="5" t="str">
        <f aca="false">IF(E61&gt;=5,"Check","")</f>
        <v/>
      </c>
    </row>
    <row r="62" customFormat="false" ht="15" hidden="false" customHeight="true" outlineLevel="0" collapsed="false">
      <c r="A62" s="5" t="n">
        <v>78</v>
      </c>
      <c r="B62" s="5" t="s">
        <v>2078</v>
      </c>
      <c r="C62" s="5" t="s">
        <v>2336</v>
      </c>
      <c r="D62" s="5" t="n">
        <v>1</v>
      </c>
      <c r="E62" s="5" t="n">
        <v>0</v>
      </c>
      <c r="F62" s="5" t="n">
        <f aca="false">D62-E62</f>
        <v>1</v>
      </c>
      <c r="G62" s="5" t="str">
        <f aca="false">IF(E62&gt;=5,"Check","")</f>
        <v/>
      </c>
    </row>
    <row r="63" customFormat="false" ht="15" hidden="false" customHeight="true" outlineLevel="0" collapsed="false">
      <c r="A63" s="5" t="n">
        <v>75</v>
      </c>
      <c r="B63" s="5" t="s">
        <v>2276</v>
      </c>
      <c r="C63" s="5" t="s">
        <v>2337</v>
      </c>
      <c r="D63" s="5" t="n">
        <v>0</v>
      </c>
      <c r="E63" s="5" t="n">
        <v>0</v>
      </c>
      <c r="F63" s="5" t="n">
        <f aca="false">D63-E63</f>
        <v>0</v>
      </c>
      <c r="G63" s="5" t="str">
        <f aca="false">IF(E63&gt;=5,"Check","")</f>
        <v/>
      </c>
    </row>
    <row r="64" customFormat="false" ht="15" hidden="false" customHeight="true" outlineLevel="0" collapsed="false">
      <c r="A64" s="5" t="n">
        <v>71</v>
      </c>
      <c r="B64" s="5" t="s">
        <v>2278</v>
      </c>
      <c r="C64" s="5" t="s">
        <v>2338</v>
      </c>
      <c r="D64" s="5" t="n">
        <v>1</v>
      </c>
      <c r="E64" s="5" t="n">
        <v>1</v>
      </c>
      <c r="F64" s="5" t="n">
        <f aca="false">D64-E64</f>
        <v>0</v>
      </c>
      <c r="G64" s="5" t="str">
        <f aca="false">IF(E64&gt;=5,"Check","")</f>
        <v/>
      </c>
    </row>
    <row r="65" customFormat="false" ht="15" hidden="false" customHeight="true" outlineLevel="0" collapsed="false">
      <c r="A65" s="5" t="n">
        <v>72</v>
      </c>
      <c r="B65" s="5" t="s">
        <v>2024</v>
      </c>
      <c r="C65" s="5" t="s">
        <v>2339</v>
      </c>
      <c r="D65" s="5" t="n">
        <v>2</v>
      </c>
      <c r="E65" s="5" t="n">
        <v>1</v>
      </c>
      <c r="F65" s="5" t="n">
        <f aca="false">D65-E65</f>
        <v>1</v>
      </c>
      <c r="G65" s="5" t="str">
        <f aca="false">IF(E65&gt;=5,"Check","")</f>
        <v/>
      </c>
    </row>
    <row r="66" customFormat="false" ht="15" hidden="false" customHeight="true" outlineLevel="0" collapsed="false">
      <c r="A66" s="5" t="n">
        <v>73</v>
      </c>
      <c r="B66" s="5" t="s">
        <v>2271</v>
      </c>
      <c r="C66" s="5" t="s">
        <v>2340</v>
      </c>
      <c r="D66" s="5" t="n">
        <v>6</v>
      </c>
      <c r="E66" s="5" t="n">
        <v>2</v>
      </c>
      <c r="F66" s="5" t="n">
        <f aca="false">D66-E66</f>
        <v>4</v>
      </c>
      <c r="G66" s="5" t="str">
        <f aca="false">IF(E66&gt;=5,"Check","")</f>
        <v/>
      </c>
    </row>
    <row r="67" customFormat="false" ht="15" hidden="false" customHeight="true" outlineLevel="0" collapsed="false">
      <c r="A67" s="5" t="n">
        <v>73</v>
      </c>
      <c r="B67" s="5" t="s">
        <v>2102</v>
      </c>
      <c r="C67" s="5" t="s">
        <v>2341</v>
      </c>
      <c r="D67" s="5" t="n">
        <v>1</v>
      </c>
      <c r="E67" s="5" t="n">
        <v>0</v>
      </c>
      <c r="F67" s="5" t="n">
        <f aca="false">D67-E67</f>
        <v>1</v>
      </c>
      <c r="G67" s="5" t="str">
        <f aca="false">IF(E67&gt;=5,"Check","")</f>
        <v/>
      </c>
    </row>
    <row r="68" customFormat="false" ht="15" hidden="false" customHeight="true" outlineLevel="0" collapsed="false">
      <c r="A68" s="5" t="n">
        <v>76</v>
      </c>
      <c r="B68" s="5" t="s">
        <v>2280</v>
      </c>
      <c r="C68" s="5" t="s">
        <v>2342</v>
      </c>
      <c r="D68" s="5" t="n">
        <v>2</v>
      </c>
      <c r="E68" s="5" t="n">
        <v>0</v>
      </c>
      <c r="F68" s="5" t="n">
        <f aca="false">D68-E68</f>
        <v>2</v>
      </c>
      <c r="G68" s="5" t="str">
        <f aca="false">IF(E68&gt;=5,"Check","")</f>
        <v/>
      </c>
    </row>
    <row r="69" customFormat="false" ht="15" hidden="false" customHeight="true" outlineLevel="0" collapsed="false">
      <c r="A69" s="5" t="n">
        <v>84</v>
      </c>
      <c r="B69" s="5" t="s">
        <v>2276</v>
      </c>
      <c r="C69" s="5" t="s">
        <v>2343</v>
      </c>
      <c r="D69" s="5" t="n">
        <v>3</v>
      </c>
      <c r="E69" s="5" t="n">
        <v>1</v>
      </c>
      <c r="F69" s="5" t="n">
        <f aca="false">D69-E69</f>
        <v>2</v>
      </c>
      <c r="G69" s="5" t="str">
        <f aca="false">IF(E69&gt;=5,"Check","")</f>
        <v/>
      </c>
    </row>
    <row r="70" customFormat="false" ht="15" hidden="false" customHeight="true" outlineLevel="0" collapsed="false">
      <c r="A70" s="5" t="n">
        <v>79</v>
      </c>
      <c r="B70" s="5" t="s">
        <v>2274</v>
      </c>
      <c r="C70" s="5" t="s">
        <v>2344</v>
      </c>
      <c r="D70" s="5" t="n">
        <v>3</v>
      </c>
      <c r="E70" s="5" t="n">
        <v>0</v>
      </c>
      <c r="F70" s="5" t="n">
        <f aca="false">D70-E70</f>
        <v>3</v>
      </c>
      <c r="G70" s="5" t="str">
        <f aca="false">IF(E70&gt;=5,"Check","")</f>
        <v/>
      </c>
    </row>
    <row r="71" customFormat="false" ht="15" hidden="false" customHeight="true" outlineLevel="0" collapsed="false">
      <c r="A71" s="5" t="n">
        <v>85</v>
      </c>
      <c r="B71" s="5" t="s">
        <v>2051</v>
      </c>
      <c r="C71" s="5" t="s">
        <v>2345</v>
      </c>
      <c r="D71" s="5" t="n">
        <v>3</v>
      </c>
      <c r="E71" s="5" t="n">
        <v>0</v>
      </c>
      <c r="F71" s="5" t="n">
        <f aca="false">D71-E71</f>
        <v>3</v>
      </c>
      <c r="G71" s="5" t="str">
        <f aca="false">IF(E71&gt;=5,"Check","")</f>
        <v/>
      </c>
    </row>
    <row r="72" customFormat="false" ht="15" hidden="false" customHeight="true" outlineLevel="0" collapsed="false">
      <c r="A72" s="5" t="n">
        <v>79</v>
      </c>
      <c r="B72" s="5" t="s">
        <v>2102</v>
      </c>
      <c r="C72" s="5" t="s">
        <v>2346</v>
      </c>
      <c r="D72" s="5" t="n">
        <v>4</v>
      </c>
      <c r="E72" s="5" t="n">
        <v>2</v>
      </c>
      <c r="F72" s="5" t="n">
        <f aca="false">D72-E72</f>
        <v>2</v>
      </c>
      <c r="G72" s="5" t="str">
        <f aca="false">IF(E72&gt;=5,"Check","")</f>
        <v/>
      </c>
    </row>
    <row r="73" customFormat="false" ht="15" hidden="false" customHeight="true" outlineLevel="0" collapsed="false">
      <c r="A73" s="5" t="n">
        <v>80</v>
      </c>
      <c r="B73" s="5" t="s">
        <v>2278</v>
      </c>
      <c r="C73" s="5" t="s">
        <v>2347</v>
      </c>
      <c r="D73" s="5" t="n">
        <v>1</v>
      </c>
      <c r="E73" s="5" t="n">
        <v>0</v>
      </c>
      <c r="F73" s="5" t="n">
        <f aca="false">D73-E73</f>
        <v>1</v>
      </c>
      <c r="G73" s="5" t="str">
        <f aca="false">IF(E73&gt;=5,"Check","")</f>
        <v/>
      </c>
    </row>
    <row r="74" customFormat="false" ht="15" hidden="false" customHeight="true" outlineLevel="0" collapsed="false">
      <c r="A74" s="5" t="n">
        <v>81</v>
      </c>
      <c r="B74" s="5" t="s">
        <v>2038</v>
      </c>
      <c r="C74" s="5" t="s">
        <v>2348</v>
      </c>
      <c r="D74" s="5" t="n">
        <v>0</v>
      </c>
      <c r="E74" s="5" t="n">
        <v>0</v>
      </c>
      <c r="F74" s="5" t="n">
        <f aca="false">D74-E74</f>
        <v>0</v>
      </c>
      <c r="G74" s="5" t="str">
        <f aca="false">IF(E74&gt;=5,"Check","")</f>
        <v/>
      </c>
    </row>
    <row r="75" customFormat="false" ht="15" hidden="false" customHeight="true" outlineLevel="0" collapsed="false">
      <c r="A75" s="5" t="n">
        <v>87</v>
      </c>
      <c r="B75" s="5" t="s">
        <v>2276</v>
      </c>
      <c r="C75" s="5" t="s">
        <v>2349</v>
      </c>
      <c r="D75" s="5" t="n">
        <v>3</v>
      </c>
      <c r="E75" s="5" t="n">
        <v>0</v>
      </c>
      <c r="F75" s="5" t="n">
        <f aca="false">D75-E75</f>
        <v>3</v>
      </c>
      <c r="G75" s="5" t="str">
        <f aca="false">IF(E75&gt;=5,"Check","")</f>
        <v/>
      </c>
    </row>
    <row r="76" customFormat="false" ht="15" hidden="false" customHeight="true" outlineLevel="0" collapsed="false">
      <c r="A76" s="5" t="n">
        <v>86</v>
      </c>
      <c r="B76" s="5" t="s">
        <v>2078</v>
      </c>
      <c r="C76" s="5" t="s">
        <v>2350</v>
      </c>
      <c r="D76" s="5" t="n">
        <v>1</v>
      </c>
      <c r="E76" s="5" t="n">
        <v>0</v>
      </c>
      <c r="F76" s="5" t="n">
        <f aca="false">D76-E76</f>
        <v>1</v>
      </c>
      <c r="G76" s="5" t="str">
        <f aca="false">IF(E76&gt;=5,"Check","")</f>
        <v/>
      </c>
    </row>
    <row r="77" customFormat="false" ht="15" hidden="false" customHeight="true" outlineLevel="0" collapsed="false">
      <c r="A77" s="5" t="n">
        <v>85</v>
      </c>
      <c r="B77" s="5" t="s">
        <v>2274</v>
      </c>
      <c r="C77" s="5" t="s">
        <v>2351</v>
      </c>
      <c r="D77" s="5" t="n">
        <v>1</v>
      </c>
      <c r="E77" s="5" t="n">
        <v>0</v>
      </c>
      <c r="F77" s="5" t="n">
        <f aca="false">D77-E77</f>
        <v>1</v>
      </c>
      <c r="G77" s="5" t="str">
        <f aca="false">IF(E77&gt;=5,"Check","")</f>
        <v/>
      </c>
    </row>
    <row r="78" customFormat="false" ht="15" hidden="false" customHeight="true" outlineLevel="0" collapsed="false">
      <c r="A78" s="5" t="n">
        <v>86</v>
      </c>
      <c r="B78" s="5" t="s">
        <v>2271</v>
      </c>
      <c r="C78" s="5" t="s">
        <v>2352</v>
      </c>
      <c r="D78" s="5" t="n">
        <v>2</v>
      </c>
      <c r="E78" s="5" t="n">
        <v>0</v>
      </c>
      <c r="F78" s="5" t="n">
        <f aca="false">D78-E78</f>
        <v>2</v>
      </c>
      <c r="G78" s="5" t="str">
        <f aca="false">IF(E78&gt;=5,"Check","")</f>
        <v/>
      </c>
    </row>
    <row r="79" customFormat="false" ht="15" hidden="false" customHeight="true" outlineLevel="0" collapsed="false">
      <c r="A79" s="5" t="n">
        <v>87</v>
      </c>
      <c r="B79" s="5" t="s">
        <v>2278</v>
      </c>
      <c r="C79" s="5" t="s">
        <v>2353</v>
      </c>
      <c r="D79" s="5" t="n">
        <v>1</v>
      </c>
      <c r="E79" s="5" t="n">
        <v>0</v>
      </c>
      <c r="F79" s="5" t="n">
        <f aca="false">D79-E79</f>
        <v>1</v>
      </c>
      <c r="G79" s="5" t="str">
        <f aca="false">IF(E79&gt;=5,"Check","")</f>
        <v/>
      </c>
    </row>
    <row r="80" customFormat="false" ht="15" hidden="false" customHeight="true" outlineLevel="0" collapsed="false">
      <c r="A80" s="5" t="n">
        <v>93</v>
      </c>
      <c r="B80" s="5" t="s">
        <v>2280</v>
      </c>
      <c r="C80" s="5" t="s">
        <v>2354</v>
      </c>
      <c r="D80" s="5" t="n">
        <v>0</v>
      </c>
      <c r="E80" s="5" t="n">
        <v>0</v>
      </c>
      <c r="F80" s="5" t="n">
        <f aca="false">D80-E80</f>
        <v>0</v>
      </c>
      <c r="G80" s="5" t="str">
        <f aca="false">IF(E80&gt;=5,"Check","")</f>
        <v/>
      </c>
    </row>
    <row r="81" customFormat="false" ht="15" hidden="false" customHeight="true" outlineLevel="0" collapsed="false">
      <c r="A81" s="5" t="n">
        <v>93</v>
      </c>
      <c r="B81" s="5" t="s">
        <v>2024</v>
      </c>
      <c r="C81" s="5" t="s">
        <v>2355</v>
      </c>
      <c r="D81" s="5" t="n">
        <v>0</v>
      </c>
      <c r="E81" s="5" t="n">
        <v>0</v>
      </c>
      <c r="F81" s="5" t="n">
        <f aca="false">D81-E81</f>
        <v>0</v>
      </c>
      <c r="G81" s="5" t="str">
        <f aca="false">IF(E81&gt;=5,"Check","")</f>
        <v/>
      </c>
    </row>
    <row r="82" customFormat="false" ht="15" hidden="false" customHeight="true" outlineLevel="0" collapsed="false">
      <c r="A82" s="5" t="n">
        <v>91</v>
      </c>
      <c r="B82" s="5" t="s">
        <v>2038</v>
      </c>
      <c r="C82" s="5" t="s">
        <v>2356</v>
      </c>
      <c r="D82" s="5" t="n">
        <v>0</v>
      </c>
      <c r="E82" s="5" t="n">
        <v>0</v>
      </c>
      <c r="F82" s="5" t="n">
        <f aca="false">D82-E82</f>
        <v>0</v>
      </c>
      <c r="G82" s="5" t="str">
        <f aca="false">IF(E82&gt;=5,"Check","")</f>
        <v/>
      </c>
    </row>
    <row r="83" customFormat="false" ht="15" hidden="false" customHeight="true" outlineLevel="0" collapsed="false">
      <c r="A83" s="5" t="n">
        <v>93</v>
      </c>
      <c r="B83" s="5" t="s">
        <v>2051</v>
      </c>
      <c r="C83" s="5" t="s">
        <v>2357</v>
      </c>
      <c r="D83" s="5" t="n">
        <v>0</v>
      </c>
      <c r="E83" s="5" t="n">
        <v>0</v>
      </c>
      <c r="F83" s="5" t="n">
        <f aca="false">D83-E83</f>
        <v>0</v>
      </c>
      <c r="G83" s="5" t="str">
        <f aca="false">IF(E83&gt;=5,"Check","")</f>
        <v/>
      </c>
    </row>
    <row r="84" customFormat="false" ht="15" hidden="false" customHeight="true" outlineLevel="0" collapsed="false">
      <c r="A84" s="5" t="n">
        <v>94</v>
      </c>
      <c r="B84" s="5" t="s">
        <v>2274</v>
      </c>
      <c r="C84" s="5" t="s">
        <v>2358</v>
      </c>
      <c r="D84" s="5" t="n">
        <v>0</v>
      </c>
      <c r="E84" s="5" t="n">
        <v>0</v>
      </c>
      <c r="F84" s="5" t="n">
        <f aca="false">D84-E84</f>
        <v>0</v>
      </c>
      <c r="G84" s="5" t="str">
        <f aca="false">IF(E84&gt;=5,"Check","")</f>
        <v/>
      </c>
    </row>
    <row r="85" customFormat="false" ht="15" hidden="false" customHeight="true" outlineLevel="0" collapsed="false">
      <c r="A85" s="5" t="n">
        <v>95</v>
      </c>
      <c r="B85" s="5" t="s">
        <v>2278</v>
      </c>
      <c r="C85" s="5" t="s">
        <v>2359</v>
      </c>
      <c r="D85" s="5" t="n">
        <v>2</v>
      </c>
      <c r="E85" s="5" t="n">
        <v>1</v>
      </c>
      <c r="F85" s="5" t="n">
        <f aca="false">D85-E85</f>
        <v>1</v>
      </c>
      <c r="G85" s="5" t="str">
        <f aca="false">IF(E85&gt;=5,"Check","")</f>
        <v/>
      </c>
    </row>
    <row r="86" customFormat="false" ht="15" hidden="false" customHeight="true" outlineLevel="0" collapsed="false">
      <c r="A86" s="5" t="n">
        <v>98</v>
      </c>
      <c r="B86" s="5" t="s">
        <v>2276</v>
      </c>
      <c r="C86" s="5" t="s">
        <v>2360</v>
      </c>
      <c r="D86" s="5" t="n">
        <v>0</v>
      </c>
      <c r="E86" s="5" t="n">
        <v>0</v>
      </c>
      <c r="F86" s="5" t="n">
        <f aca="false">D86-E86</f>
        <v>0</v>
      </c>
      <c r="G86" s="5" t="str">
        <f aca="false">IF(E86&gt;=5,"Check","")</f>
        <v/>
      </c>
    </row>
    <row r="87" customFormat="false" ht="15" hidden="false" customHeight="true" outlineLevel="0" collapsed="false">
      <c r="A87" s="5" t="n">
        <v>97</v>
      </c>
      <c r="B87" s="5" t="s">
        <v>2280</v>
      </c>
      <c r="C87" s="5" t="s">
        <v>2361</v>
      </c>
      <c r="D87" s="5" t="n">
        <v>0</v>
      </c>
      <c r="E87" s="5" t="n">
        <v>0</v>
      </c>
      <c r="F87" s="5" t="n">
        <f aca="false">D87-E87</f>
        <v>0</v>
      </c>
      <c r="G87" s="5" t="str">
        <f aca="false">IF(E87&gt;=5,"Check","")</f>
        <v/>
      </c>
    </row>
    <row r="88" customFormat="false" ht="15" hidden="false" customHeight="true" outlineLevel="0" collapsed="false">
      <c r="A88" s="5" t="n">
        <v>98</v>
      </c>
      <c r="B88" s="5" t="s">
        <v>2271</v>
      </c>
      <c r="C88" s="5" t="s">
        <v>2362</v>
      </c>
      <c r="D88" s="5" t="n">
        <v>1</v>
      </c>
      <c r="E88" s="5" t="n">
        <v>0</v>
      </c>
      <c r="F88" s="5" t="n">
        <f aca="false">D88-E88</f>
        <v>1</v>
      </c>
      <c r="G88" s="5" t="str">
        <f aca="false">IF(E88&gt;=5,"Check","")</f>
        <v/>
      </c>
    </row>
    <row r="90" customFormat="false" ht="15" hidden="false" customHeight="true" outlineLevel="0" collapsed="false">
      <c r="B90" s="7" t="s">
        <v>2363</v>
      </c>
      <c r="D90" s="5" t="n">
        <f aca="false">COUNTIF(D2:D88,"&gt;=5")</f>
        <v>11</v>
      </c>
      <c r="E90" s="5" t="n">
        <f aca="false">COUNTIF(E2:E88,"&gt;=5")</f>
        <v>1</v>
      </c>
    </row>
  </sheetData>
  <conditionalFormatting sqref="G2:G88">
    <cfRule type="expression" priority="2" aboveAverage="0" equalAverage="0" bottom="0" percent="0" rank="0" text="" dxfId="6">
      <formula>G2="Check"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10" t="s">
        <v>2364</v>
      </c>
      <c r="B1" s="10" t="s">
        <v>1041</v>
      </c>
      <c r="C1" s="10" t="s">
        <v>1042</v>
      </c>
      <c r="D1" s="10" t="s">
        <v>1043</v>
      </c>
      <c r="E1" s="10" t="s">
        <v>1044</v>
      </c>
    </row>
    <row r="2" customFormat="false" ht="15" hidden="false" customHeight="true" outlineLevel="0" collapsed="false">
      <c r="A2" s="11" t="s">
        <v>898</v>
      </c>
      <c r="B2" s="11" t="n">
        <f aca="false">COUNTIF(Recipes!$E$2:$E$241,A2)</f>
        <v>15</v>
      </c>
      <c r="C2" s="11" t="s">
        <v>2365</v>
      </c>
      <c r="D2" s="12" t="s">
        <v>6</v>
      </c>
      <c r="E2" s="11"/>
    </row>
    <row r="3" customFormat="false" ht="15" hidden="false" customHeight="true" outlineLevel="0" collapsed="false">
      <c r="A3" s="11" t="s">
        <v>886</v>
      </c>
      <c r="B3" s="11" t="n">
        <f aca="false">COUNTIF(Recipes!$E$2:$E$241,A3)</f>
        <v>10</v>
      </c>
      <c r="C3" s="11" t="s">
        <v>2366</v>
      </c>
      <c r="D3" s="12" t="s">
        <v>6</v>
      </c>
      <c r="E3" s="11"/>
    </row>
    <row r="4" customFormat="false" ht="15" hidden="false" customHeight="true" outlineLevel="0" collapsed="false">
      <c r="A4" s="11" t="s">
        <v>873</v>
      </c>
      <c r="B4" s="11" t="n">
        <f aca="false">COUNTIF(Recipes!$E$2:$E$241,A4)</f>
        <v>14</v>
      </c>
      <c r="C4" s="11" t="s">
        <v>2367</v>
      </c>
      <c r="D4" s="12" t="s">
        <v>6</v>
      </c>
      <c r="E4" s="11"/>
    </row>
    <row r="5" customFormat="false" ht="15" hidden="false" customHeight="true" outlineLevel="0" collapsed="false">
      <c r="A5" s="11" t="s">
        <v>870</v>
      </c>
      <c r="B5" s="11" t="n">
        <f aca="false">COUNTIF(Recipes!$E$2:$E$241,A5)</f>
        <v>18</v>
      </c>
      <c r="C5" s="11" t="s">
        <v>2368</v>
      </c>
      <c r="D5" s="12" t="s">
        <v>6</v>
      </c>
      <c r="E5" s="11"/>
    </row>
    <row r="6" customFormat="false" ht="15" hidden="false" customHeight="true" outlineLevel="0" collapsed="false">
      <c r="A6" s="11" t="s">
        <v>622</v>
      </c>
      <c r="B6" s="11" t="n">
        <f aca="false">COUNTIF(Recipes!$E$2:$E$241,A6)</f>
        <v>9</v>
      </c>
      <c r="C6" s="11" t="s">
        <v>2369</v>
      </c>
      <c r="D6" s="12" t="s">
        <v>6</v>
      </c>
      <c r="E6" s="11"/>
    </row>
    <row r="7" customFormat="false" ht="15" hidden="false" customHeight="true" outlineLevel="0" collapsed="false">
      <c r="A7" s="11" t="s">
        <v>960</v>
      </c>
      <c r="B7" s="11" t="n">
        <f aca="false">COUNTIF(Recipes!$E$2:$E$241,A7)</f>
        <v>10</v>
      </c>
      <c r="C7" s="11" t="s">
        <v>2370</v>
      </c>
      <c r="D7" s="12" t="s">
        <v>6</v>
      </c>
      <c r="E7" s="11"/>
    </row>
    <row r="8" customFormat="false" ht="15" hidden="false" customHeight="true" outlineLevel="0" collapsed="false">
      <c r="A8" s="11" t="s">
        <v>924</v>
      </c>
      <c r="B8" s="11" t="n">
        <f aca="false">COUNTIF(Recipes!$E$2:$E$241,A8)</f>
        <v>14</v>
      </c>
      <c r="C8" s="11" t="s">
        <v>2371</v>
      </c>
      <c r="D8" s="12" t="s">
        <v>6</v>
      </c>
      <c r="E8" s="11"/>
    </row>
    <row r="9" customFormat="false" ht="15" hidden="false" customHeight="true" outlineLevel="0" collapsed="false">
      <c r="A9" s="11" t="s">
        <v>921</v>
      </c>
      <c r="B9" s="11" t="n">
        <f aca="false">COUNTIF(Recipes!$E$2:$E$241,A9)</f>
        <v>12</v>
      </c>
      <c r="C9" s="11" t="s">
        <v>2372</v>
      </c>
      <c r="D9" s="12" t="s">
        <v>6</v>
      </c>
      <c r="E9" s="11"/>
    </row>
    <row r="10" customFormat="false" ht="15" hidden="false" customHeight="true" outlineLevel="0" collapsed="false">
      <c r="A10" s="11" t="s">
        <v>883</v>
      </c>
      <c r="B10" s="11" t="n">
        <f aca="false">COUNTIF(Recipes!$E$2:$E$241,A10)</f>
        <v>9</v>
      </c>
      <c r="C10" s="11" t="s">
        <v>2373</v>
      </c>
      <c r="D10" s="12" t="s">
        <v>6</v>
      </c>
      <c r="E10" s="11"/>
    </row>
    <row r="11" customFormat="false" ht="15" hidden="false" customHeight="true" outlineLevel="0" collapsed="false">
      <c r="A11" s="11" t="s">
        <v>894</v>
      </c>
      <c r="B11" s="11" t="n">
        <f aca="false">COUNTIF(Recipes!$E$2:$E$241,A11)</f>
        <v>13</v>
      </c>
      <c r="C11" s="11" t="s">
        <v>2374</v>
      </c>
      <c r="D11" s="12" t="s">
        <v>6</v>
      </c>
      <c r="E11" s="11"/>
    </row>
    <row r="12" customFormat="false" ht="15" hidden="false" customHeight="true" outlineLevel="0" collapsed="false">
      <c r="A12" s="11" t="s">
        <v>935</v>
      </c>
      <c r="B12" s="11" t="n">
        <f aca="false">COUNTIF(Recipes!$E$2:$E$241,A12)</f>
        <v>17</v>
      </c>
      <c r="C12" s="11" t="s">
        <v>2375</v>
      </c>
      <c r="D12" s="12" t="s">
        <v>6</v>
      </c>
      <c r="E12" s="11"/>
    </row>
    <row r="13" customFormat="false" ht="15" hidden="false" customHeight="true" outlineLevel="0" collapsed="false">
      <c r="A13" s="11" t="s">
        <v>44</v>
      </c>
      <c r="B13" s="11" t="n">
        <f aca="false">COUNTIF(Recipes!$E$2:$E$241,A13)</f>
        <v>9</v>
      </c>
      <c r="C13" s="11" t="s">
        <v>2376</v>
      </c>
      <c r="D13" s="12" t="s">
        <v>6</v>
      </c>
      <c r="E13" s="11"/>
    </row>
    <row r="14" customFormat="false" ht="15" hidden="false" customHeight="true" outlineLevel="0" collapsed="false">
      <c r="A14" s="11" t="s">
        <v>913</v>
      </c>
      <c r="B14" s="11" t="n">
        <f aca="false">COUNTIF(Recipes!$E$2:$E$241,A14)</f>
        <v>13</v>
      </c>
      <c r="C14" s="11" t="s">
        <v>2377</v>
      </c>
      <c r="D14" s="12" t="s">
        <v>6</v>
      </c>
      <c r="E14" s="11"/>
    </row>
    <row r="15" customFormat="false" ht="15" hidden="false" customHeight="true" outlineLevel="0" collapsed="false">
      <c r="A15" s="11" t="s">
        <v>910</v>
      </c>
      <c r="B15" s="11" t="n">
        <f aca="false">COUNTIF(Recipes!$E$2:$E$241,A15)</f>
        <v>9</v>
      </c>
      <c r="C15" s="11" t="s">
        <v>2378</v>
      </c>
      <c r="D15" s="12" t="s">
        <v>6</v>
      </c>
      <c r="E15" s="11"/>
    </row>
    <row r="16" customFormat="false" ht="15" hidden="false" customHeight="true" outlineLevel="0" collapsed="false">
      <c r="A16" s="11" t="s">
        <v>963</v>
      </c>
      <c r="B16" s="11" t="n">
        <f aca="false">COUNTIF(Recipes!$E$2:$E$241,A16)</f>
        <v>10</v>
      </c>
      <c r="C16" s="11" t="s">
        <v>2379</v>
      </c>
      <c r="D16" s="12" t="s">
        <v>6</v>
      </c>
      <c r="E16" s="11"/>
    </row>
  </sheetData>
  <autoFilter ref="A1:E16"/>
  <dataValidations count="1">
    <dataValidation allowBlank="true" errorStyle="stop" operator="between" showDropDown="false" showErrorMessage="false" showInputMessage="false" sqref="D2:D1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10" t="s">
        <v>2380</v>
      </c>
      <c r="B1" s="10" t="s">
        <v>1041</v>
      </c>
      <c r="C1" s="10" t="s">
        <v>1042</v>
      </c>
      <c r="D1" s="10" t="s">
        <v>1043</v>
      </c>
      <c r="E1" s="10" t="s">
        <v>1044</v>
      </c>
    </row>
    <row r="2" customFormat="false" ht="15" hidden="false" customHeight="true" outlineLevel="0" collapsed="false">
      <c r="A2" s="11" t="s">
        <v>970</v>
      </c>
      <c r="B2" s="11" t="n">
        <f aca="false">COUNTIF(Recipes!$F$2:$F$241,A2)</f>
        <v>9</v>
      </c>
      <c r="C2" s="11" t="s">
        <v>2381</v>
      </c>
      <c r="D2" s="12" t="s">
        <v>6</v>
      </c>
      <c r="E2" s="11"/>
    </row>
    <row r="3" customFormat="false" ht="15" hidden="false" customHeight="true" outlineLevel="0" collapsed="false">
      <c r="A3" s="11" t="s">
        <v>917</v>
      </c>
      <c r="B3" s="11" t="n">
        <f aca="false">COUNTIF(Recipes!$F$2:$F$241,A3)</f>
        <v>9</v>
      </c>
      <c r="C3" s="11" t="s">
        <v>2382</v>
      </c>
      <c r="D3" s="12" t="s">
        <v>6</v>
      </c>
      <c r="E3" s="11"/>
    </row>
    <row r="4" customFormat="false" ht="15" hidden="false" customHeight="true" outlineLevel="0" collapsed="false">
      <c r="A4" s="11" t="s">
        <v>953</v>
      </c>
      <c r="B4" s="11" t="n">
        <f aca="false">COUNTIF(Recipes!$F$2:$F$241,A4)</f>
        <v>7</v>
      </c>
      <c r="C4" s="11" t="s">
        <v>2383</v>
      </c>
      <c r="D4" s="12" t="s">
        <v>6</v>
      </c>
      <c r="E4" s="11"/>
    </row>
    <row r="5" customFormat="false" ht="15" hidden="false" customHeight="true" outlineLevel="0" collapsed="false">
      <c r="A5" s="11" t="s">
        <v>881</v>
      </c>
      <c r="B5" s="11" t="n">
        <f aca="false">COUNTIF(Recipes!$F$2:$F$241,A5)</f>
        <v>10</v>
      </c>
      <c r="C5" s="11" t="s">
        <v>2384</v>
      </c>
      <c r="D5" s="12" t="s">
        <v>6</v>
      </c>
      <c r="E5" s="11"/>
    </row>
    <row r="6" customFormat="false" ht="15" hidden="false" customHeight="true" outlineLevel="0" collapsed="false">
      <c r="A6" s="11" t="s">
        <v>899</v>
      </c>
      <c r="B6" s="11" t="n">
        <f aca="false">COUNTIF(Recipes!$F$2:$F$241,A6)</f>
        <v>8</v>
      </c>
      <c r="C6" s="11" t="s">
        <v>2385</v>
      </c>
      <c r="D6" s="12" t="s">
        <v>6</v>
      </c>
      <c r="E6" s="11"/>
    </row>
    <row r="7" customFormat="false" ht="15" hidden="false" customHeight="true" outlineLevel="0" collapsed="false">
      <c r="A7" s="11" t="s">
        <v>895</v>
      </c>
      <c r="B7" s="11" t="n">
        <f aca="false">COUNTIF(Recipes!$F$2:$F$241,A7)</f>
        <v>7</v>
      </c>
      <c r="C7" s="11" t="s">
        <v>2386</v>
      </c>
      <c r="D7" s="12" t="s">
        <v>6</v>
      </c>
      <c r="E7" s="11"/>
    </row>
    <row r="8" customFormat="false" ht="15" hidden="false" customHeight="true" outlineLevel="0" collapsed="false">
      <c r="A8" s="11" t="s">
        <v>871</v>
      </c>
      <c r="B8" s="11" t="n">
        <f aca="false">COUNTIF(Recipes!$F$2:$F$241,A8)</f>
        <v>7</v>
      </c>
      <c r="C8" s="11" t="s">
        <v>2387</v>
      </c>
      <c r="D8" s="12" t="s">
        <v>6</v>
      </c>
      <c r="E8" s="11"/>
    </row>
    <row r="9" customFormat="false" ht="15" hidden="false" customHeight="true" outlineLevel="0" collapsed="false">
      <c r="A9" s="11" t="s">
        <v>905</v>
      </c>
      <c r="B9" s="11" t="n">
        <f aca="false">COUNTIF(Recipes!$F$2:$F$241,A9)</f>
        <v>5</v>
      </c>
      <c r="C9" s="11" t="s">
        <v>2388</v>
      </c>
      <c r="D9" s="12" t="s">
        <v>6</v>
      </c>
      <c r="E9" s="11"/>
    </row>
    <row r="10" customFormat="false" ht="15" hidden="false" customHeight="true" outlineLevel="0" collapsed="false">
      <c r="A10" s="11" t="s">
        <v>940</v>
      </c>
      <c r="B10" s="11" t="n">
        <f aca="false">COUNTIF(Recipes!$F$2:$F$241,A10)</f>
        <v>10</v>
      </c>
      <c r="C10" s="11" t="s">
        <v>2389</v>
      </c>
      <c r="D10" s="12" t="s">
        <v>6</v>
      </c>
      <c r="E10" s="11"/>
    </row>
    <row r="11" customFormat="false" ht="15" hidden="false" customHeight="true" outlineLevel="0" collapsed="false">
      <c r="A11" s="11" t="s">
        <v>914</v>
      </c>
      <c r="B11" s="11" t="n">
        <f aca="false">COUNTIF(Recipes!$F$2:$F$241,A11)</f>
        <v>8</v>
      </c>
      <c r="C11" s="11" t="s">
        <v>2390</v>
      </c>
      <c r="D11" s="12" t="s">
        <v>6</v>
      </c>
      <c r="E11" s="11"/>
    </row>
    <row r="12" customFormat="false" ht="15" hidden="false" customHeight="true" outlineLevel="0" collapsed="false">
      <c r="A12" s="11" t="s">
        <v>922</v>
      </c>
      <c r="B12" s="11" t="n">
        <f aca="false">COUNTIF(Recipes!$F$2:$F$241,A12)</f>
        <v>11</v>
      </c>
      <c r="C12" s="11" t="s">
        <v>2391</v>
      </c>
      <c r="D12" s="12" t="s">
        <v>6</v>
      </c>
      <c r="E12" s="11"/>
    </row>
    <row r="13" customFormat="false" ht="15" hidden="false" customHeight="true" outlineLevel="0" collapsed="false">
      <c r="A13" s="11" t="s">
        <v>884</v>
      </c>
      <c r="B13" s="11" t="n">
        <f aca="false">COUNTIF(Recipes!$F$2:$F$241,A13)</f>
        <v>5</v>
      </c>
      <c r="C13" s="11" t="s">
        <v>2392</v>
      </c>
      <c r="D13" s="12" t="s">
        <v>6</v>
      </c>
      <c r="E13" s="11"/>
    </row>
    <row r="14" customFormat="false" ht="15" hidden="false" customHeight="true" outlineLevel="0" collapsed="false">
      <c r="A14" s="11" t="s">
        <v>948</v>
      </c>
      <c r="B14" s="11" t="n">
        <f aca="false">COUNTIF(Recipes!$F$2:$F$241,A14)</f>
        <v>6</v>
      </c>
      <c r="C14" s="11" t="s">
        <v>2393</v>
      </c>
      <c r="D14" s="12" t="s">
        <v>6</v>
      </c>
      <c r="E14" s="11"/>
    </row>
    <row r="15" customFormat="false" ht="15" hidden="false" customHeight="true" outlineLevel="0" collapsed="false">
      <c r="A15" s="11" t="s">
        <v>887</v>
      </c>
      <c r="B15" s="11" t="n">
        <f aca="false">COUNTIF(Recipes!$F$2:$F$241,A15)</f>
        <v>6</v>
      </c>
      <c r="C15" s="11" t="s">
        <v>2394</v>
      </c>
      <c r="D15" s="12" t="s">
        <v>6</v>
      </c>
      <c r="E15" s="11"/>
    </row>
    <row r="16" customFormat="false" ht="15" hidden="false" customHeight="true" outlineLevel="0" collapsed="false">
      <c r="A16" s="11" t="s">
        <v>889</v>
      </c>
      <c r="B16" s="11" t="n">
        <f aca="false">COUNTIF(Recipes!$F$2:$F$241,A16)</f>
        <v>7</v>
      </c>
      <c r="C16" s="11" t="s">
        <v>2395</v>
      </c>
      <c r="D16" s="12" t="s">
        <v>6</v>
      </c>
      <c r="E16" s="11"/>
    </row>
    <row r="17" customFormat="false" ht="15" hidden="false" customHeight="true" outlineLevel="0" collapsed="false">
      <c r="A17" s="11" t="s">
        <v>876</v>
      </c>
      <c r="B17" s="11" t="n">
        <f aca="false">COUNTIF(Recipes!$F$2:$F$241,A17)</f>
        <v>6</v>
      </c>
      <c r="C17" s="11" t="s">
        <v>2396</v>
      </c>
      <c r="D17" s="12" t="s">
        <v>6</v>
      </c>
      <c r="E17" s="11"/>
    </row>
    <row r="18" customFormat="false" ht="15" hidden="false" customHeight="true" outlineLevel="0" collapsed="false">
      <c r="A18" s="11" t="s">
        <v>974</v>
      </c>
      <c r="B18" s="11" t="n">
        <f aca="false">COUNTIF(Recipes!$F$2:$F$241,A18)</f>
        <v>5</v>
      </c>
      <c r="C18" s="11" t="s">
        <v>2397</v>
      </c>
      <c r="D18" s="12" t="s">
        <v>6</v>
      </c>
      <c r="E18" s="11"/>
    </row>
    <row r="19" customFormat="false" ht="15" hidden="false" customHeight="true" outlineLevel="0" collapsed="false">
      <c r="A19" s="11" t="s">
        <v>878</v>
      </c>
      <c r="B19" s="11" t="n">
        <f aca="false">COUNTIF(Recipes!$F$2:$F$241,A19)</f>
        <v>9</v>
      </c>
      <c r="C19" s="11" t="s">
        <v>2398</v>
      </c>
      <c r="D19" s="12" t="s">
        <v>6</v>
      </c>
      <c r="E19" s="11"/>
    </row>
    <row r="20" customFormat="false" ht="15" hidden="false" customHeight="true" outlineLevel="0" collapsed="false">
      <c r="A20" s="11" t="s">
        <v>908</v>
      </c>
      <c r="B20" s="11" t="n">
        <f aca="false">COUNTIF(Recipes!$F$2:$F$241,A20)</f>
        <v>6</v>
      </c>
      <c r="C20" s="11" t="s">
        <v>2399</v>
      </c>
      <c r="D20" s="12" t="s">
        <v>6</v>
      </c>
      <c r="E20" s="11"/>
    </row>
    <row r="21" customFormat="false" ht="15" hidden="false" customHeight="true" outlineLevel="0" collapsed="false">
      <c r="A21" s="11" t="s">
        <v>936</v>
      </c>
      <c r="B21" s="11" t="n">
        <f aca="false">COUNTIF(Recipes!$F$2:$F$241,A21)</f>
        <v>11</v>
      </c>
      <c r="C21" s="11" t="s">
        <v>2400</v>
      </c>
      <c r="D21" s="12" t="s">
        <v>6</v>
      </c>
      <c r="E21" s="11"/>
    </row>
    <row r="22" customFormat="false" ht="15" hidden="false" customHeight="true" outlineLevel="0" collapsed="false">
      <c r="A22" s="11" t="s">
        <v>915</v>
      </c>
      <c r="B22" s="11" t="n">
        <f aca="false">COUNTIF(Recipes!$F$2:$F$241,A22)</f>
        <v>8</v>
      </c>
      <c r="C22" s="11" t="s">
        <v>2401</v>
      </c>
      <c r="D22" s="12" t="s">
        <v>6</v>
      </c>
      <c r="E22" s="11"/>
    </row>
    <row r="23" customFormat="false" ht="15" hidden="false" customHeight="true" outlineLevel="0" collapsed="false">
      <c r="A23" s="11" t="s">
        <v>962</v>
      </c>
      <c r="B23" s="11" t="n">
        <f aca="false">COUNTIF(Recipes!$F$2:$F$241,A23)</f>
        <v>6</v>
      </c>
      <c r="C23" s="11" t="s">
        <v>2402</v>
      </c>
      <c r="D23" s="12" t="s">
        <v>6</v>
      </c>
      <c r="E23" s="11"/>
    </row>
  </sheetData>
  <autoFilter ref="A1:E23"/>
  <dataValidations count="1">
    <dataValidation allowBlank="true" errorStyle="stop" operator="between" showDropDown="false" showErrorMessage="false" showInputMessage="false" sqref="D2:D2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10" t="s">
        <v>2403</v>
      </c>
      <c r="B1" s="10" t="s">
        <v>2404</v>
      </c>
      <c r="C1" s="10" t="s">
        <v>1042</v>
      </c>
      <c r="D1" s="10" t="s">
        <v>1043</v>
      </c>
      <c r="E1" s="10" t="s">
        <v>1044</v>
      </c>
    </row>
    <row r="2" customFormat="false" ht="15" hidden="false" customHeight="true" outlineLevel="0" collapsed="false">
      <c r="A2" s="11" t="s">
        <v>2405</v>
      </c>
      <c r="B2" s="11" t="s">
        <v>2406</v>
      </c>
      <c r="C2" s="11" t="s">
        <v>2407</v>
      </c>
      <c r="D2" s="12" t="s">
        <v>6</v>
      </c>
      <c r="E2" s="11"/>
    </row>
    <row r="3" customFormat="false" ht="15" hidden="false" customHeight="true" outlineLevel="0" collapsed="false">
      <c r="A3" s="11" t="s">
        <v>995</v>
      </c>
      <c r="B3" s="11" t="s">
        <v>2406</v>
      </c>
      <c r="C3" s="11" t="s">
        <v>2408</v>
      </c>
      <c r="D3" s="12" t="s">
        <v>6</v>
      </c>
      <c r="E3" s="11"/>
    </row>
    <row r="4" customFormat="false" ht="15" hidden="false" customHeight="true" outlineLevel="0" collapsed="false">
      <c r="A4" s="11" t="s">
        <v>971</v>
      </c>
      <c r="B4" s="11" t="s">
        <v>2406</v>
      </c>
      <c r="C4" s="11" t="s">
        <v>2409</v>
      </c>
      <c r="D4" s="12" t="s">
        <v>6</v>
      </c>
      <c r="E4" s="11"/>
    </row>
    <row r="5" customFormat="false" ht="15" hidden="false" customHeight="true" outlineLevel="0" collapsed="false">
      <c r="A5" s="11" t="s">
        <v>2147</v>
      </c>
      <c r="B5" s="11" t="s">
        <v>2406</v>
      </c>
      <c r="C5" s="11" t="s">
        <v>2410</v>
      </c>
      <c r="D5" s="12" t="s">
        <v>6</v>
      </c>
      <c r="E5" s="11"/>
    </row>
    <row r="6" customFormat="false" ht="15" hidden="false" customHeight="true" outlineLevel="0" collapsed="false">
      <c r="A6" s="11" t="s">
        <v>1000</v>
      </c>
      <c r="B6" s="11" t="s">
        <v>2406</v>
      </c>
      <c r="C6" s="11" t="s">
        <v>2411</v>
      </c>
      <c r="D6" s="12" t="s">
        <v>6</v>
      </c>
      <c r="E6" s="11"/>
    </row>
    <row r="7" customFormat="false" ht="15" hidden="false" customHeight="true" outlineLevel="0" collapsed="false">
      <c r="A7" s="11" t="s">
        <v>885</v>
      </c>
      <c r="B7" s="11" t="s">
        <v>2406</v>
      </c>
      <c r="C7" s="11" t="s">
        <v>2412</v>
      </c>
      <c r="D7" s="12" t="s">
        <v>6</v>
      </c>
      <c r="E7" s="11"/>
    </row>
    <row r="8" customFormat="false" ht="15" hidden="false" customHeight="true" outlineLevel="0" collapsed="false">
      <c r="A8" s="11" t="s">
        <v>997</v>
      </c>
      <c r="B8" s="11" t="s">
        <v>2406</v>
      </c>
      <c r="C8" s="11" t="s">
        <v>2413</v>
      </c>
      <c r="D8" s="12" t="s">
        <v>6</v>
      </c>
      <c r="E8" s="11"/>
    </row>
    <row r="9" customFormat="false" ht="15" hidden="false" customHeight="true" outlineLevel="0" collapsed="false">
      <c r="A9" s="11" t="s">
        <v>2138</v>
      </c>
      <c r="B9" s="11" t="s">
        <v>2406</v>
      </c>
      <c r="C9" s="11" t="s">
        <v>2414</v>
      </c>
      <c r="D9" s="12" t="s">
        <v>6</v>
      </c>
      <c r="E9" s="11"/>
    </row>
    <row r="10" customFormat="false" ht="15" hidden="false" customHeight="true" outlineLevel="0" collapsed="false">
      <c r="A10" s="11" t="s">
        <v>1001</v>
      </c>
      <c r="B10" s="11" t="s">
        <v>2406</v>
      </c>
      <c r="C10" s="11" t="s">
        <v>2415</v>
      </c>
      <c r="D10" s="12" t="s">
        <v>6</v>
      </c>
      <c r="E10" s="11"/>
    </row>
    <row r="11" customFormat="false" ht="15" hidden="false" customHeight="true" outlineLevel="0" collapsed="false">
      <c r="A11" s="11" t="s">
        <v>2416</v>
      </c>
      <c r="B11" s="11" t="s">
        <v>2417</v>
      </c>
      <c r="C11" s="11" t="s">
        <v>2418</v>
      </c>
      <c r="D11" s="12" t="s">
        <v>6</v>
      </c>
      <c r="E11" s="11"/>
    </row>
    <row r="12" customFormat="false" ht="15" hidden="false" customHeight="true" outlineLevel="0" collapsed="false">
      <c r="A12" s="11" t="s">
        <v>2419</v>
      </c>
      <c r="B12" s="11" t="s">
        <v>2417</v>
      </c>
      <c r="C12" s="11" t="s">
        <v>2420</v>
      </c>
      <c r="D12" s="12" t="s">
        <v>6</v>
      </c>
      <c r="E12" s="11"/>
    </row>
    <row r="13" customFormat="false" ht="15" hidden="false" customHeight="true" outlineLevel="0" collapsed="false">
      <c r="A13" s="11" t="s">
        <v>2229</v>
      </c>
      <c r="B13" s="11" t="s">
        <v>2417</v>
      </c>
      <c r="C13" s="11" t="s">
        <v>2421</v>
      </c>
      <c r="D13" s="12" t="s">
        <v>6</v>
      </c>
      <c r="E13" s="11"/>
    </row>
    <row r="14" customFormat="false" ht="15" hidden="false" customHeight="true" outlineLevel="0" collapsed="false">
      <c r="A14" s="11" t="s">
        <v>2236</v>
      </c>
      <c r="B14" s="11" t="s">
        <v>2417</v>
      </c>
      <c r="C14" s="11" t="s">
        <v>2422</v>
      </c>
      <c r="D14" s="12" t="s">
        <v>6</v>
      </c>
      <c r="E14" s="11"/>
    </row>
    <row r="15" customFormat="false" ht="15" hidden="false" customHeight="true" outlineLevel="0" collapsed="false">
      <c r="A15" s="11" t="s">
        <v>2241</v>
      </c>
      <c r="B15" s="11" t="s">
        <v>2417</v>
      </c>
      <c r="C15" s="11" t="s">
        <v>2423</v>
      </c>
      <c r="D15" s="12" t="s">
        <v>6</v>
      </c>
      <c r="E15" s="11"/>
    </row>
    <row r="16" customFormat="false" ht="15" hidden="false" customHeight="true" outlineLevel="0" collapsed="false">
      <c r="A16" s="11" t="s">
        <v>134</v>
      </c>
      <c r="B16" s="11" t="s">
        <v>2417</v>
      </c>
      <c r="C16" s="11" t="s">
        <v>2424</v>
      </c>
      <c r="D16" s="12" t="s">
        <v>6</v>
      </c>
      <c r="E16" s="11"/>
    </row>
    <row r="17" customFormat="false" ht="15" hidden="false" customHeight="true" outlineLevel="0" collapsed="false">
      <c r="A17" s="11" t="s">
        <v>2251</v>
      </c>
      <c r="B17" s="11" t="s">
        <v>2417</v>
      </c>
      <c r="C17" s="11" t="s">
        <v>2425</v>
      </c>
      <c r="D17" s="12" t="s">
        <v>6</v>
      </c>
      <c r="E17" s="11"/>
    </row>
    <row r="18" customFormat="false" ht="15" hidden="false" customHeight="true" outlineLevel="0" collapsed="false">
      <c r="A18" s="11" t="s">
        <v>2255</v>
      </c>
      <c r="B18" s="11" t="s">
        <v>2417</v>
      </c>
      <c r="C18" s="11" t="s">
        <v>2426</v>
      </c>
      <c r="D18" s="12" t="s">
        <v>6</v>
      </c>
      <c r="E18" s="11"/>
    </row>
    <row r="19" customFormat="false" ht="15" hidden="false" customHeight="true" outlineLevel="0" collapsed="false">
      <c r="A19" s="11" t="s">
        <v>2260</v>
      </c>
      <c r="B19" s="11" t="s">
        <v>2417</v>
      </c>
      <c r="C19" s="11" t="s">
        <v>2427</v>
      </c>
      <c r="D19" s="12" t="s">
        <v>6</v>
      </c>
      <c r="E19" s="11"/>
    </row>
    <row r="20" customFormat="false" ht="15" hidden="false" customHeight="true" outlineLevel="0" collapsed="false">
      <c r="A20" s="11" t="s">
        <v>2428</v>
      </c>
      <c r="B20" s="11" t="s">
        <v>2417</v>
      </c>
      <c r="C20" s="11" t="s">
        <v>2429</v>
      </c>
      <c r="D20" s="12" t="s">
        <v>6</v>
      </c>
      <c r="E20" s="11"/>
    </row>
    <row r="21" customFormat="false" ht="15" hidden="false" customHeight="true" outlineLevel="0" collapsed="false">
      <c r="A21" s="11" t="s">
        <v>2430</v>
      </c>
      <c r="B21" s="11" t="s">
        <v>2417</v>
      </c>
      <c r="C21" s="11" t="s">
        <v>2431</v>
      </c>
      <c r="D21" s="12" t="s">
        <v>6</v>
      </c>
      <c r="E21" s="11"/>
    </row>
    <row r="22" customFormat="false" ht="15" hidden="false" customHeight="true" outlineLevel="0" collapsed="false">
      <c r="A22" s="11" t="s">
        <v>2432</v>
      </c>
      <c r="B22" s="11" t="s">
        <v>2417</v>
      </c>
      <c r="C22" s="11" t="s">
        <v>2433</v>
      </c>
      <c r="D22" s="12" t="s">
        <v>6</v>
      </c>
      <c r="E22" s="11"/>
    </row>
    <row r="23" customFormat="false" ht="23.25" hidden="false" customHeight="true" outlineLevel="0" collapsed="false">
      <c r="A23" s="11" t="s">
        <v>2434</v>
      </c>
      <c r="B23" s="11" t="s">
        <v>2417</v>
      </c>
      <c r="C23" s="11" t="s">
        <v>2435</v>
      </c>
      <c r="D23" s="12" t="s">
        <v>6</v>
      </c>
      <c r="E23" s="11"/>
    </row>
    <row r="24" customFormat="false" ht="15" hidden="false" customHeight="true" outlineLevel="0" collapsed="false">
      <c r="A24" s="11" t="s">
        <v>2436</v>
      </c>
      <c r="B24" s="11" t="s">
        <v>2417</v>
      </c>
      <c r="C24" s="11" t="s">
        <v>2437</v>
      </c>
      <c r="D24" s="12" t="s">
        <v>6</v>
      </c>
      <c r="E24" s="11"/>
    </row>
    <row r="25" customFormat="false" ht="15" hidden="false" customHeight="true" outlineLevel="0" collapsed="false">
      <c r="A25" s="11" t="s">
        <v>978</v>
      </c>
      <c r="B25" s="11" t="s">
        <v>2123</v>
      </c>
      <c r="C25" s="11" t="s">
        <v>2438</v>
      </c>
      <c r="D25" s="12" t="s">
        <v>6</v>
      </c>
      <c r="E25" s="11"/>
    </row>
    <row r="26" customFormat="false" ht="15" hidden="false" customHeight="true" outlineLevel="0" collapsed="false">
      <c r="A26" s="11" t="s">
        <v>904</v>
      </c>
      <c r="B26" s="11" t="s">
        <v>2123</v>
      </c>
      <c r="C26" s="11" t="s">
        <v>2439</v>
      </c>
      <c r="D26" s="12" t="s">
        <v>6</v>
      </c>
      <c r="E26" s="11"/>
    </row>
    <row r="27" customFormat="false" ht="15" hidden="false" customHeight="true" outlineLevel="0" collapsed="false">
      <c r="A27" s="11" t="s">
        <v>958</v>
      </c>
      <c r="B27" s="11" t="s">
        <v>2123</v>
      </c>
      <c r="C27" s="11" t="s">
        <v>2440</v>
      </c>
      <c r="D27" s="12" t="s">
        <v>6</v>
      </c>
      <c r="E27" s="11"/>
    </row>
    <row r="28" customFormat="false" ht="15" hidden="false" customHeight="true" outlineLevel="0" collapsed="false">
      <c r="A28" s="11" t="s">
        <v>923</v>
      </c>
      <c r="B28" s="11" t="s">
        <v>2123</v>
      </c>
      <c r="C28" s="11" t="s">
        <v>2441</v>
      </c>
      <c r="D28" s="12" t="s">
        <v>6</v>
      </c>
      <c r="E28" s="11"/>
    </row>
    <row r="29" customFormat="false" ht="15" hidden="false" customHeight="true" outlineLevel="0" collapsed="false">
      <c r="A29" s="11" t="s">
        <v>879</v>
      </c>
      <c r="B29" s="11" t="s">
        <v>2123</v>
      </c>
      <c r="C29" s="11" t="s">
        <v>2442</v>
      </c>
      <c r="D29" s="12" t="s">
        <v>6</v>
      </c>
      <c r="E29" s="11"/>
    </row>
    <row r="30" customFormat="false" ht="15" hidden="false" customHeight="true" outlineLevel="0" collapsed="false">
      <c r="A30" s="11" t="s">
        <v>934</v>
      </c>
      <c r="B30" s="11" t="s">
        <v>2123</v>
      </c>
      <c r="C30" s="11" t="s">
        <v>2443</v>
      </c>
      <c r="D30" s="12" t="s">
        <v>6</v>
      </c>
      <c r="E30" s="11"/>
    </row>
    <row r="31" customFormat="false" ht="15" hidden="false" customHeight="true" outlineLevel="0" collapsed="false">
      <c r="A31" s="11" t="s">
        <v>987</v>
      </c>
      <c r="B31" s="11" t="s">
        <v>2123</v>
      </c>
      <c r="C31" s="11" t="s">
        <v>2444</v>
      </c>
      <c r="D31" s="12" t="s">
        <v>6</v>
      </c>
      <c r="E31" s="11"/>
    </row>
    <row r="32" customFormat="false" ht="15" hidden="false" customHeight="true" outlineLevel="0" collapsed="false">
      <c r="A32" s="11" t="s">
        <v>1002</v>
      </c>
      <c r="B32" s="11" t="s">
        <v>2445</v>
      </c>
      <c r="C32" s="11" t="s">
        <v>2446</v>
      </c>
      <c r="D32" s="12" t="s">
        <v>6</v>
      </c>
      <c r="E32" s="11"/>
    </row>
    <row r="33" customFormat="false" ht="15" hidden="false" customHeight="true" outlineLevel="0" collapsed="false">
      <c r="A33" s="11" t="s">
        <v>2140</v>
      </c>
      <c r="B33" s="11" t="s">
        <v>2445</v>
      </c>
      <c r="C33" s="11" t="s">
        <v>2447</v>
      </c>
      <c r="D33" s="12" t="s">
        <v>6</v>
      </c>
      <c r="E33" s="11"/>
    </row>
    <row r="34" customFormat="false" ht="15" hidden="false" customHeight="true" outlineLevel="0" collapsed="false">
      <c r="A34" s="11" t="s">
        <v>979</v>
      </c>
      <c r="B34" s="11" t="s">
        <v>2445</v>
      </c>
      <c r="C34" s="11" t="s">
        <v>2448</v>
      </c>
      <c r="D34" s="12" t="s">
        <v>6</v>
      </c>
      <c r="E34" s="11"/>
    </row>
    <row r="35" customFormat="false" ht="15" hidden="false" customHeight="true" outlineLevel="0" collapsed="false">
      <c r="A35" s="11" t="s">
        <v>984</v>
      </c>
      <c r="B35" s="11" t="s">
        <v>2445</v>
      </c>
      <c r="C35" s="11" t="s">
        <v>2449</v>
      </c>
      <c r="D35" s="12" t="s">
        <v>6</v>
      </c>
      <c r="E35" s="11"/>
    </row>
    <row r="36" customFormat="false" ht="15" hidden="false" customHeight="true" outlineLevel="0" collapsed="false">
      <c r="A36" s="11" t="s">
        <v>1016</v>
      </c>
      <c r="B36" s="11" t="s">
        <v>2127</v>
      </c>
      <c r="C36" s="11" t="s">
        <v>2450</v>
      </c>
      <c r="D36" s="12" t="s">
        <v>6</v>
      </c>
      <c r="E36" s="11"/>
    </row>
    <row r="37" customFormat="false" ht="15" hidden="false" customHeight="true" outlineLevel="0" collapsed="false">
      <c r="A37" s="11" t="s">
        <v>2139</v>
      </c>
      <c r="B37" s="11" t="s">
        <v>2127</v>
      </c>
      <c r="C37" s="11" t="s">
        <v>2451</v>
      </c>
      <c r="D37" s="12" t="s">
        <v>6</v>
      </c>
      <c r="E37" s="11"/>
    </row>
    <row r="38" customFormat="false" ht="15" hidden="false" customHeight="true" outlineLevel="0" collapsed="false">
      <c r="A38" s="11" t="s">
        <v>1018</v>
      </c>
      <c r="B38" s="11" t="s">
        <v>2127</v>
      </c>
      <c r="C38" s="11" t="s">
        <v>2452</v>
      </c>
      <c r="D38" s="12" t="s">
        <v>6</v>
      </c>
      <c r="E38" s="11"/>
    </row>
    <row r="39" customFormat="false" ht="15" hidden="false" customHeight="true" outlineLevel="0" collapsed="false">
      <c r="A39" s="11" t="s">
        <v>972</v>
      </c>
      <c r="B39" s="11" t="s">
        <v>2127</v>
      </c>
      <c r="C39" s="11" t="s">
        <v>2453</v>
      </c>
      <c r="D39" s="12" t="s">
        <v>6</v>
      </c>
      <c r="E39" s="11"/>
    </row>
    <row r="40" customFormat="false" ht="15" hidden="false" customHeight="true" outlineLevel="0" collapsed="false">
      <c r="A40" s="11" t="s">
        <v>1029</v>
      </c>
      <c r="B40" s="11" t="s">
        <v>2127</v>
      </c>
      <c r="C40" s="11" t="s">
        <v>2454</v>
      </c>
      <c r="D40" s="12" t="s">
        <v>6</v>
      </c>
      <c r="E40" s="11"/>
    </row>
    <row r="41" customFormat="false" ht="15" hidden="false" customHeight="true" outlineLevel="0" collapsed="false">
      <c r="A41" s="11" t="s">
        <v>931</v>
      </c>
      <c r="B41" s="11" t="s">
        <v>2127</v>
      </c>
      <c r="C41" s="11" t="s">
        <v>2455</v>
      </c>
      <c r="D41" s="12" t="s">
        <v>6</v>
      </c>
      <c r="E41" s="11"/>
    </row>
    <row r="42" customFormat="false" ht="15" hidden="false" customHeight="true" outlineLevel="0" collapsed="false">
      <c r="A42" s="11" t="s">
        <v>1024</v>
      </c>
      <c r="B42" s="11" t="s">
        <v>2127</v>
      </c>
      <c r="C42" s="11" t="s">
        <v>2456</v>
      </c>
      <c r="D42" s="12" t="s">
        <v>6</v>
      </c>
      <c r="E42" s="11"/>
    </row>
    <row r="43" customFormat="false" ht="15" hidden="false" customHeight="true" outlineLevel="0" collapsed="false">
      <c r="A43" s="11" t="s">
        <v>999</v>
      </c>
      <c r="B43" s="11" t="s">
        <v>2127</v>
      </c>
      <c r="C43" s="11" t="s">
        <v>2457</v>
      </c>
      <c r="D43" s="12" t="s">
        <v>6</v>
      </c>
      <c r="E43" s="11"/>
    </row>
    <row r="44" customFormat="false" ht="15" hidden="false" customHeight="true" outlineLevel="0" collapsed="false">
      <c r="A44" s="11" t="s">
        <v>1022</v>
      </c>
      <c r="B44" s="11" t="s">
        <v>2127</v>
      </c>
      <c r="C44" s="11" t="s">
        <v>2458</v>
      </c>
      <c r="D44" s="12" t="s">
        <v>6</v>
      </c>
      <c r="E44" s="11"/>
    </row>
    <row r="45" customFormat="false" ht="15" hidden="false" customHeight="true" outlineLevel="0" collapsed="false">
      <c r="A45" s="11" t="s">
        <v>1038</v>
      </c>
      <c r="B45" s="11" t="s">
        <v>2127</v>
      </c>
      <c r="C45" s="11" t="s">
        <v>2459</v>
      </c>
      <c r="D45" s="12" t="s">
        <v>6</v>
      </c>
      <c r="E45" s="11"/>
    </row>
    <row r="46" customFormat="false" ht="15" hidden="false" customHeight="true" outlineLevel="0" collapsed="false">
      <c r="A46" s="11" t="s">
        <v>992</v>
      </c>
      <c r="B46" s="11" t="s">
        <v>2460</v>
      </c>
      <c r="C46" s="11" t="s">
        <v>2461</v>
      </c>
      <c r="D46" s="12" t="s">
        <v>6</v>
      </c>
      <c r="E46" s="11"/>
    </row>
    <row r="47" customFormat="false" ht="15" hidden="false" customHeight="true" outlineLevel="0" collapsed="false">
      <c r="A47" s="11" t="s">
        <v>961</v>
      </c>
      <c r="B47" s="11" t="s">
        <v>2460</v>
      </c>
      <c r="C47" s="11" t="s">
        <v>2462</v>
      </c>
      <c r="D47" s="12" t="s">
        <v>6</v>
      </c>
      <c r="E47" s="11"/>
    </row>
    <row r="48" customFormat="false" ht="15" hidden="false" customHeight="true" outlineLevel="0" collapsed="false">
      <c r="A48" s="11" t="s">
        <v>919</v>
      </c>
      <c r="B48" s="11" t="s">
        <v>2460</v>
      </c>
      <c r="C48" s="11" t="s">
        <v>2463</v>
      </c>
      <c r="D48" s="12" t="s">
        <v>6</v>
      </c>
      <c r="E48" s="11"/>
    </row>
    <row r="49" customFormat="false" ht="15" hidden="false" customHeight="true" outlineLevel="0" collapsed="false">
      <c r="A49" s="11" t="s">
        <v>956</v>
      </c>
      <c r="B49" s="11" t="s">
        <v>2460</v>
      </c>
      <c r="C49" s="11" t="s">
        <v>2464</v>
      </c>
      <c r="D49" s="12" t="s">
        <v>6</v>
      </c>
      <c r="E49" s="11"/>
    </row>
    <row r="50" customFormat="false" ht="15" hidden="false" customHeight="true" outlineLevel="0" collapsed="false">
      <c r="A50" s="11" t="s">
        <v>893</v>
      </c>
      <c r="B50" s="11" t="s">
        <v>2460</v>
      </c>
      <c r="C50" s="11" t="s">
        <v>2465</v>
      </c>
      <c r="D50" s="12" t="s">
        <v>6</v>
      </c>
      <c r="E50" s="11"/>
    </row>
    <row r="51" customFormat="false" ht="15" hidden="false" customHeight="true" outlineLevel="0" collapsed="false">
      <c r="A51" s="11" t="s">
        <v>968</v>
      </c>
      <c r="B51" s="11" t="s">
        <v>2460</v>
      </c>
      <c r="C51" s="11" t="s">
        <v>2466</v>
      </c>
      <c r="D51" s="12" t="s">
        <v>6</v>
      </c>
      <c r="E51" s="11"/>
    </row>
    <row r="52" customFormat="false" ht="15" hidden="false" customHeight="true" outlineLevel="0" collapsed="false">
      <c r="A52" s="11" t="s">
        <v>938</v>
      </c>
      <c r="B52" s="11" t="s">
        <v>2460</v>
      </c>
      <c r="C52" s="11" t="s">
        <v>2467</v>
      </c>
      <c r="D52" s="12" t="s">
        <v>6</v>
      </c>
      <c r="E52" s="11"/>
    </row>
    <row r="53" customFormat="false" ht="15" hidden="false" customHeight="true" outlineLevel="0" collapsed="false">
      <c r="A53" s="11" t="s">
        <v>965</v>
      </c>
      <c r="B53" s="11" t="s">
        <v>2460</v>
      </c>
      <c r="C53" s="11" t="s">
        <v>2468</v>
      </c>
      <c r="D53" s="12" t="s">
        <v>6</v>
      </c>
      <c r="E53" s="11"/>
    </row>
  </sheetData>
  <autoFilter ref="A1:E53"/>
  <dataValidations count="1">
    <dataValidation allowBlank="true" errorStyle="stop" operator="between" showDropDown="false" showErrorMessage="false" showInputMessage="false" sqref="D2:D5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10" t="s">
        <v>2469</v>
      </c>
      <c r="B1" s="10" t="s">
        <v>2470</v>
      </c>
      <c r="C1" s="10" t="s">
        <v>1042</v>
      </c>
      <c r="D1" s="10" t="s">
        <v>1043</v>
      </c>
      <c r="E1" s="10" t="s">
        <v>1044</v>
      </c>
    </row>
    <row r="2" customFormat="false" ht="15" hidden="false" customHeight="true" outlineLevel="0" collapsed="false">
      <c r="A2" s="11" t="s">
        <v>181</v>
      </c>
      <c r="B2" s="11" t="n">
        <f aca="false">COUNTIF(Recipes!$D$2:$D$241,A2)</f>
        <v>10</v>
      </c>
      <c r="C2" s="11" t="s">
        <v>2471</v>
      </c>
      <c r="D2" s="12" t="s">
        <v>6</v>
      </c>
      <c r="E2" s="11" t="s">
        <v>2472</v>
      </c>
    </row>
    <row r="3" customFormat="false" ht="15" hidden="false" customHeight="true" outlineLevel="0" collapsed="false">
      <c r="A3" s="11" t="s">
        <v>125</v>
      </c>
      <c r="B3" s="11" t="n">
        <f aca="false">COUNTIF(Recipes!$D$2:$D$241,A3)</f>
        <v>8</v>
      </c>
      <c r="C3" s="11" t="s">
        <v>2473</v>
      </c>
      <c r="D3" s="12" t="s">
        <v>6</v>
      </c>
      <c r="E3" s="11" t="s">
        <v>2472</v>
      </c>
    </row>
    <row r="4" customFormat="false" ht="15" hidden="false" customHeight="true" outlineLevel="0" collapsed="false">
      <c r="A4" s="11" t="s">
        <v>77</v>
      </c>
      <c r="B4" s="11" t="n">
        <f aca="false">COUNTIF(Recipes!$D$2:$D$241,A4)</f>
        <v>9</v>
      </c>
      <c r="C4" s="11" t="s">
        <v>2474</v>
      </c>
      <c r="D4" s="12" t="s">
        <v>6</v>
      </c>
      <c r="E4" s="11" t="s">
        <v>2472</v>
      </c>
    </row>
    <row r="5" customFormat="false" ht="15" hidden="false" customHeight="true" outlineLevel="0" collapsed="false">
      <c r="A5" s="11" t="s">
        <v>137</v>
      </c>
      <c r="B5" s="11" t="n">
        <f aca="false">COUNTIF(Recipes!$D$2:$D$241,A5)</f>
        <v>7</v>
      </c>
      <c r="C5" s="11" t="s">
        <v>2475</v>
      </c>
      <c r="D5" s="12" t="s">
        <v>6</v>
      </c>
      <c r="E5" s="11" t="s">
        <v>2472</v>
      </c>
    </row>
    <row r="6" customFormat="false" ht="15" hidden="false" customHeight="true" outlineLevel="0" collapsed="false">
      <c r="A6" s="11" t="s">
        <v>38</v>
      </c>
      <c r="B6" s="11" t="n">
        <f aca="false">COUNTIF(Recipes!$D$2:$D$241,A6)</f>
        <v>13</v>
      </c>
      <c r="C6" s="11" t="s">
        <v>2476</v>
      </c>
      <c r="D6" s="12" t="s">
        <v>6</v>
      </c>
      <c r="E6" s="11" t="s">
        <v>2472</v>
      </c>
    </row>
    <row r="7" customFormat="false" ht="15" hidden="false" customHeight="true" outlineLevel="0" collapsed="false">
      <c r="A7" s="11" t="s">
        <v>135</v>
      </c>
      <c r="B7" s="11" t="n">
        <f aca="false">COUNTIF(Recipes!$D$2:$D$241,A7)</f>
        <v>8</v>
      </c>
      <c r="C7" s="11" t="s">
        <v>2477</v>
      </c>
      <c r="D7" s="12" t="s">
        <v>6</v>
      </c>
      <c r="E7" s="11" t="s">
        <v>2472</v>
      </c>
    </row>
    <row r="8" customFormat="false" ht="15" hidden="false" customHeight="true" outlineLevel="0" collapsed="false">
      <c r="A8" s="11" t="s">
        <v>84</v>
      </c>
      <c r="B8" s="11" t="n">
        <f aca="false">COUNTIF(Recipes!$D$2:$D$241,A8)</f>
        <v>11</v>
      </c>
      <c r="C8" s="11" t="s">
        <v>2478</v>
      </c>
      <c r="D8" s="12" t="s">
        <v>6</v>
      </c>
      <c r="E8" s="11" t="s">
        <v>2472</v>
      </c>
    </row>
    <row r="9" customFormat="false" ht="15" hidden="false" customHeight="true" outlineLevel="0" collapsed="false">
      <c r="A9" s="11" t="s">
        <v>148</v>
      </c>
      <c r="B9" s="11" t="n">
        <f aca="false">COUNTIF(Recipes!$D$2:$D$241,A9)</f>
        <v>10</v>
      </c>
      <c r="C9" s="11" t="s">
        <v>2479</v>
      </c>
      <c r="D9" s="12" t="s">
        <v>6</v>
      </c>
      <c r="E9" s="11" t="s">
        <v>2472</v>
      </c>
    </row>
    <row r="10" customFormat="false" ht="15" hidden="false" customHeight="true" outlineLevel="0" collapsed="false">
      <c r="A10" s="11" t="s">
        <v>239</v>
      </c>
      <c r="B10" s="11" t="n">
        <f aca="false">COUNTIF(Recipes!$D$2:$D$241,A10)</f>
        <v>11</v>
      </c>
      <c r="C10" s="11" t="s">
        <v>2480</v>
      </c>
      <c r="D10" s="12" t="s">
        <v>6</v>
      </c>
      <c r="E10" s="11" t="s">
        <v>2472</v>
      </c>
    </row>
    <row r="11" customFormat="false" ht="15" hidden="false" customHeight="true" outlineLevel="0" collapsed="false">
      <c r="A11" s="11" t="s">
        <v>64</v>
      </c>
      <c r="B11" s="11" t="n">
        <f aca="false">COUNTIF(Recipes!$D$2:$D$241,A11)</f>
        <v>9</v>
      </c>
      <c r="C11" s="11" t="s">
        <v>2481</v>
      </c>
      <c r="D11" s="12" t="s">
        <v>6</v>
      </c>
      <c r="E11" s="11" t="s">
        <v>2472</v>
      </c>
    </row>
    <row r="12" customFormat="false" ht="15" hidden="false" customHeight="true" outlineLevel="0" collapsed="false">
      <c r="A12" s="11" t="s">
        <v>519</v>
      </c>
      <c r="B12" s="11" t="n">
        <f aca="false">COUNTIF(Recipes!$D$2:$D$241,A12)</f>
        <v>6</v>
      </c>
      <c r="C12" s="11" t="s">
        <v>2482</v>
      </c>
      <c r="D12" s="12" t="s">
        <v>6</v>
      </c>
      <c r="E12" s="11" t="s">
        <v>2472</v>
      </c>
    </row>
    <row r="13" customFormat="false" ht="15" hidden="false" customHeight="true" outlineLevel="0" collapsed="false">
      <c r="A13" s="11" t="s">
        <v>25</v>
      </c>
      <c r="B13" s="11" t="n">
        <f aca="false">COUNTIF(Recipes!$D$2:$D$241,A13)</f>
        <v>12</v>
      </c>
      <c r="C13" s="11" t="s">
        <v>2483</v>
      </c>
      <c r="D13" s="12" t="s">
        <v>6</v>
      </c>
      <c r="E13" s="11" t="s">
        <v>2472</v>
      </c>
    </row>
    <row r="14" customFormat="false" ht="15" hidden="false" customHeight="true" outlineLevel="0" collapsed="false">
      <c r="A14" s="11" t="s">
        <v>154</v>
      </c>
      <c r="B14" s="11" t="n">
        <f aca="false">COUNTIF(Recipes!$D$2:$D$241,A14)</f>
        <v>11</v>
      </c>
      <c r="C14" s="11" t="s">
        <v>2484</v>
      </c>
      <c r="D14" s="12" t="s">
        <v>6</v>
      </c>
      <c r="E14" s="11" t="s">
        <v>2472</v>
      </c>
    </row>
    <row r="15" customFormat="false" ht="15" hidden="false" customHeight="true" outlineLevel="0" collapsed="false">
      <c r="A15" s="11" t="s">
        <v>260</v>
      </c>
      <c r="B15" s="11" t="n">
        <f aca="false">COUNTIF(Recipes!$D$2:$D$241,A15)</f>
        <v>11</v>
      </c>
      <c r="C15" s="11" t="s">
        <v>2485</v>
      </c>
      <c r="D15" s="12" t="s">
        <v>6</v>
      </c>
      <c r="E15" s="11" t="s">
        <v>2472</v>
      </c>
    </row>
    <row r="16" customFormat="false" ht="15" hidden="false" customHeight="true" outlineLevel="0" collapsed="false">
      <c r="A16" s="11" t="s">
        <v>96</v>
      </c>
      <c r="B16" s="11" t="n">
        <f aca="false">COUNTIF(Recipes!$D$2:$D$241,A16)</f>
        <v>12</v>
      </c>
      <c r="C16" s="11" t="s">
        <v>2486</v>
      </c>
      <c r="D16" s="12" t="s">
        <v>6</v>
      </c>
      <c r="E16" s="11" t="s">
        <v>2472</v>
      </c>
    </row>
    <row r="17" customFormat="false" ht="15" hidden="false" customHeight="true" outlineLevel="0" collapsed="false">
      <c r="A17" s="11" t="s">
        <v>171</v>
      </c>
      <c r="B17" s="11" t="n">
        <f aca="false">COUNTIF(Recipes!$D$2:$D$241,A17)</f>
        <v>8</v>
      </c>
      <c r="C17" s="11" t="s">
        <v>2487</v>
      </c>
      <c r="D17" s="12" t="s">
        <v>6</v>
      </c>
      <c r="E17" s="11" t="s">
        <v>2472</v>
      </c>
    </row>
    <row r="18" customFormat="false" ht="15" hidden="false" customHeight="true" outlineLevel="0" collapsed="false">
      <c r="A18" s="11" t="s">
        <v>286</v>
      </c>
      <c r="B18" s="11" t="n">
        <f aca="false">COUNTIF(Recipes!$D$2:$D$241,A18)</f>
        <v>8</v>
      </c>
      <c r="C18" s="11" t="s">
        <v>2488</v>
      </c>
      <c r="D18" s="12" t="s">
        <v>6</v>
      </c>
      <c r="E18" s="11" t="s">
        <v>2472</v>
      </c>
    </row>
    <row r="19" customFormat="false" ht="15" hidden="false" customHeight="true" outlineLevel="0" collapsed="false">
      <c r="A19" s="11" t="s">
        <v>51</v>
      </c>
      <c r="B19" s="11" t="n">
        <f aca="false">COUNTIF(Recipes!$D$2:$D$241,A19)</f>
        <v>11</v>
      </c>
      <c r="C19" s="11" t="s">
        <v>2489</v>
      </c>
      <c r="D19" s="12" t="s">
        <v>6</v>
      </c>
      <c r="E19" s="11" t="s">
        <v>2472</v>
      </c>
    </row>
    <row r="20" customFormat="false" ht="15" hidden="false" customHeight="true" outlineLevel="0" collapsed="false">
      <c r="A20" s="11" t="s">
        <v>163</v>
      </c>
      <c r="B20" s="11" t="n">
        <f aca="false">COUNTIF(Recipes!$D$2:$D$241,A20)</f>
        <v>10</v>
      </c>
      <c r="C20" s="11" t="s">
        <v>2490</v>
      </c>
      <c r="D20" s="12" t="s">
        <v>6</v>
      </c>
      <c r="E20" s="11" t="s">
        <v>2472</v>
      </c>
    </row>
    <row r="21" customFormat="false" ht="15" hidden="false" customHeight="true" outlineLevel="0" collapsed="false">
      <c r="A21" s="11" t="s">
        <v>106</v>
      </c>
      <c r="B21" s="11" t="n">
        <f aca="false">COUNTIF(Recipes!$D$2:$D$241,A21)</f>
        <v>12</v>
      </c>
      <c r="C21" s="11" t="s">
        <v>2491</v>
      </c>
      <c r="D21" s="12" t="s">
        <v>6</v>
      </c>
      <c r="E21" s="11" t="s">
        <v>2472</v>
      </c>
    </row>
    <row r="22" customFormat="false" ht="15" hidden="false" customHeight="true" outlineLevel="0" collapsed="false">
      <c r="A22" s="11" t="s">
        <v>348</v>
      </c>
      <c r="B22" s="11" t="n">
        <f aca="false">COUNTIF(Recipes!$D$2:$D$241,A22)</f>
        <v>7</v>
      </c>
      <c r="C22" s="11" t="s">
        <v>2492</v>
      </c>
      <c r="D22" s="12" t="s">
        <v>6</v>
      </c>
      <c r="E22" s="11" t="s">
        <v>2472</v>
      </c>
    </row>
    <row r="23" customFormat="false" ht="15" hidden="false" customHeight="true" outlineLevel="0" collapsed="false">
      <c r="A23" s="11" t="s">
        <v>210</v>
      </c>
      <c r="B23" s="11" t="n">
        <f aca="false">COUNTIF(Recipes!$D$2:$D$241,A23)</f>
        <v>9</v>
      </c>
      <c r="C23" s="11" t="s">
        <v>2493</v>
      </c>
      <c r="D23" s="12" t="s">
        <v>6</v>
      </c>
      <c r="E23" s="11" t="s">
        <v>2472</v>
      </c>
    </row>
    <row r="24" customFormat="false" ht="15" hidden="false" customHeight="true" outlineLevel="0" collapsed="false">
      <c r="A24" s="11" t="s">
        <v>279</v>
      </c>
      <c r="B24" s="11" t="n">
        <f aca="false">COUNTIF(Recipes!$D$2:$D$241,A24)</f>
        <v>9</v>
      </c>
      <c r="C24" s="11" t="s">
        <v>2494</v>
      </c>
      <c r="D24" s="12" t="s">
        <v>6</v>
      </c>
      <c r="E24" s="11" t="s">
        <v>2472</v>
      </c>
    </row>
    <row r="25" customFormat="false" ht="15" hidden="false" customHeight="true" outlineLevel="0" collapsed="false">
      <c r="A25" s="11" t="s">
        <v>191</v>
      </c>
      <c r="B25" s="11" t="n">
        <f aca="false">COUNTIF(Recipes!$D$2:$D$241,A25)</f>
        <v>8</v>
      </c>
      <c r="C25" s="11" t="s">
        <v>2495</v>
      </c>
      <c r="D25" s="12" t="s">
        <v>6</v>
      </c>
      <c r="E25" s="11" t="s">
        <v>2472</v>
      </c>
    </row>
    <row r="26" customFormat="false" ht="15" hidden="false" customHeight="true" outlineLevel="0" collapsed="false">
      <c r="A26" s="11" t="s">
        <v>110</v>
      </c>
      <c r="B26" s="11" t="n">
        <f aca="false">COUNTIF(Recipes!$D$2:$D$241,A26)</f>
        <v>10</v>
      </c>
      <c r="C26" s="11" t="s">
        <v>2496</v>
      </c>
      <c r="D26" s="12" t="s">
        <v>6</v>
      </c>
      <c r="E26" s="11" t="s">
        <v>2472</v>
      </c>
    </row>
  </sheetData>
  <autoFilter ref="A1:E26"/>
  <dataValidations count="1">
    <dataValidation allowBlank="true" errorStyle="stop" operator="between" showDropDown="false" showErrorMessage="false" showInputMessage="false" sqref="D2:D2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  <col collapsed="false" customWidth="true" hidden="false" outlineLevel="0" max="3" min="3" style="1" width="36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10" t="s">
        <v>2497</v>
      </c>
      <c r="B1" s="10" t="s">
        <v>2498</v>
      </c>
      <c r="C1" s="10" t="s">
        <v>1042</v>
      </c>
      <c r="D1" s="10" t="s">
        <v>1043</v>
      </c>
      <c r="E1" s="10" t="s">
        <v>1044</v>
      </c>
    </row>
    <row r="2" customFormat="false" ht="15" hidden="false" customHeight="true" outlineLevel="0" collapsed="false">
      <c r="A2" s="11" t="s">
        <v>2499</v>
      </c>
      <c r="B2" s="11" t="s">
        <v>2500</v>
      </c>
      <c r="C2" s="11" t="s">
        <v>2501</v>
      </c>
      <c r="D2" s="12" t="s">
        <v>6</v>
      </c>
      <c r="E2" s="11"/>
    </row>
    <row r="3" customFormat="false" ht="15" hidden="false" customHeight="true" outlineLevel="0" collapsed="false">
      <c r="A3" s="11" t="s">
        <v>2502</v>
      </c>
      <c r="B3" s="11" t="s">
        <v>2500</v>
      </c>
      <c r="C3" s="11" t="s">
        <v>2503</v>
      </c>
      <c r="D3" s="12" t="s">
        <v>6</v>
      </c>
      <c r="E3" s="11"/>
    </row>
    <row r="4" customFormat="false" ht="15" hidden="false" customHeight="true" outlineLevel="0" collapsed="false">
      <c r="A4" s="11" t="s">
        <v>2504</v>
      </c>
      <c r="B4" s="11" t="s">
        <v>2500</v>
      </c>
      <c r="C4" s="11" t="s">
        <v>2505</v>
      </c>
      <c r="D4" s="12" t="s">
        <v>6</v>
      </c>
      <c r="E4" s="11"/>
    </row>
    <row r="5" customFormat="false" ht="15" hidden="false" customHeight="true" outlineLevel="0" collapsed="false">
      <c r="A5" s="11" t="s">
        <v>2506</v>
      </c>
      <c r="B5" s="11" t="s">
        <v>2500</v>
      </c>
      <c r="C5" s="11" t="s">
        <v>2507</v>
      </c>
      <c r="D5" s="12" t="s">
        <v>6</v>
      </c>
      <c r="E5" s="11"/>
    </row>
    <row r="6" customFormat="false" ht="15" hidden="false" customHeight="true" outlineLevel="0" collapsed="false">
      <c r="A6" s="11" t="s">
        <v>2508</v>
      </c>
      <c r="B6" s="11" t="s">
        <v>2500</v>
      </c>
      <c r="C6" s="11" t="s">
        <v>2509</v>
      </c>
      <c r="D6" s="12" t="s">
        <v>6</v>
      </c>
      <c r="E6" s="11"/>
    </row>
    <row r="7" customFormat="false" ht="15" hidden="false" customHeight="true" outlineLevel="0" collapsed="false">
      <c r="A7" s="11" t="s">
        <v>2510</v>
      </c>
      <c r="B7" s="11" t="s">
        <v>2500</v>
      </c>
      <c r="C7" s="11" t="s">
        <v>2511</v>
      </c>
      <c r="D7" s="12" t="s">
        <v>6</v>
      </c>
      <c r="E7" s="11"/>
    </row>
    <row r="8" customFormat="false" ht="15" hidden="false" customHeight="true" outlineLevel="0" collapsed="false">
      <c r="A8" s="11" t="s">
        <v>2512</v>
      </c>
      <c r="B8" s="11" t="s">
        <v>2500</v>
      </c>
      <c r="C8" s="11" t="s">
        <v>2513</v>
      </c>
      <c r="D8" s="12" t="s">
        <v>6</v>
      </c>
      <c r="E8" s="11"/>
    </row>
    <row r="9" customFormat="false" ht="15" hidden="false" customHeight="true" outlineLevel="0" collapsed="false">
      <c r="A9" s="11" t="s">
        <v>2514</v>
      </c>
      <c r="B9" s="11" t="s">
        <v>2500</v>
      </c>
      <c r="C9" s="11" t="s">
        <v>2515</v>
      </c>
      <c r="D9" s="12" t="s">
        <v>6</v>
      </c>
      <c r="E9" s="11"/>
    </row>
    <row r="10" customFormat="false" ht="15" hidden="false" customHeight="true" outlineLevel="0" collapsed="false">
      <c r="A10" s="11" t="s">
        <v>2516</v>
      </c>
      <c r="B10" s="11" t="s">
        <v>1059</v>
      </c>
      <c r="C10" s="11" t="s">
        <v>2517</v>
      </c>
      <c r="D10" s="12" t="s">
        <v>6</v>
      </c>
      <c r="E10" s="11"/>
    </row>
    <row r="11" customFormat="false" ht="15" hidden="false" customHeight="true" outlineLevel="0" collapsed="false">
      <c r="A11" s="11" t="s">
        <v>2518</v>
      </c>
      <c r="B11" s="11" t="s">
        <v>1059</v>
      </c>
      <c r="C11" s="11" t="s">
        <v>2519</v>
      </c>
      <c r="D11" s="12" t="s">
        <v>6</v>
      </c>
      <c r="E11" s="11"/>
    </row>
    <row r="12" customFormat="false" ht="15" hidden="false" customHeight="true" outlineLevel="0" collapsed="false">
      <c r="A12" s="11" t="s">
        <v>2520</v>
      </c>
      <c r="B12" s="11" t="s">
        <v>1059</v>
      </c>
      <c r="C12" s="11" t="s">
        <v>2521</v>
      </c>
      <c r="D12" s="12" t="s">
        <v>6</v>
      </c>
      <c r="E12" s="11"/>
    </row>
    <row r="13" customFormat="false" ht="15" hidden="false" customHeight="true" outlineLevel="0" collapsed="false">
      <c r="A13" s="11" t="s">
        <v>2522</v>
      </c>
      <c r="B13" s="11" t="s">
        <v>1059</v>
      </c>
      <c r="C13" s="11" t="s">
        <v>2523</v>
      </c>
      <c r="D13" s="12" t="s">
        <v>6</v>
      </c>
      <c r="E13" s="11"/>
    </row>
    <row r="14" customFormat="false" ht="15" hidden="false" customHeight="true" outlineLevel="0" collapsed="false">
      <c r="A14" s="11" t="s">
        <v>2524</v>
      </c>
      <c r="B14" s="11" t="s">
        <v>1059</v>
      </c>
      <c r="C14" s="11" t="s">
        <v>2525</v>
      </c>
      <c r="D14" s="12" t="s">
        <v>6</v>
      </c>
      <c r="E14" s="11"/>
    </row>
    <row r="15" customFormat="false" ht="15" hidden="false" customHeight="true" outlineLevel="0" collapsed="false">
      <c r="A15" s="11" t="s">
        <v>2526</v>
      </c>
      <c r="B15" s="11" t="s">
        <v>1059</v>
      </c>
      <c r="C15" s="11" t="s">
        <v>2527</v>
      </c>
      <c r="D15" s="12" t="s">
        <v>6</v>
      </c>
      <c r="E15" s="11"/>
    </row>
    <row r="16" customFormat="false" ht="15" hidden="false" customHeight="true" outlineLevel="0" collapsed="false">
      <c r="A16" s="11" t="s">
        <v>2528</v>
      </c>
      <c r="B16" s="11" t="s">
        <v>1059</v>
      </c>
      <c r="C16" s="11" t="s">
        <v>2529</v>
      </c>
      <c r="D16" s="12" t="s">
        <v>6</v>
      </c>
      <c r="E16" s="11"/>
    </row>
    <row r="17" customFormat="false" ht="15" hidden="false" customHeight="true" outlineLevel="0" collapsed="false">
      <c r="A17" s="11" t="s">
        <v>2530</v>
      </c>
      <c r="B17" s="11" t="s">
        <v>1059</v>
      </c>
      <c r="C17" s="11" t="s">
        <v>2531</v>
      </c>
      <c r="D17" s="12" t="s">
        <v>6</v>
      </c>
      <c r="E17" s="11"/>
    </row>
    <row r="18" customFormat="false" ht="15" hidden="false" customHeight="true" outlineLevel="0" collapsed="false">
      <c r="A18" s="11" t="s">
        <v>2532</v>
      </c>
      <c r="B18" s="11" t="s">
        <v>1068</v>
      </c>
      <c r="C18" s="11" t="s">
        <v>2533</v>
      </c>
      <c r="D18" s="12" t="s">
        <v>6</v>
      </c>
      <c r="E18" s="11"/>
    </row>
    <row r="19" customFormat="false" ht="15" hidden="false" customHeight="true" outlineLevel="0" collapsed="false">
      <c r="A19" s="11" t="s">
        <v>2534</v>
      </c>
      <c r="B19" s="11" t="s">
        <v>1046</v>
      </c>
      <c r="C19" s="11" t="s">
        <v>2535</v>
      </c>
      <c r="D19" s="12" t="s">
        <v>6</v>
      </c>
      <c r="E19" s="11"/>
    </row>
    <row r="20" customFormat="false" ht="15" hidden="false" customHeight="true" outlineLevel="0" collapsed="false">
      <c r="A20" s="11" t="s">
        <v>2536</v>
      </c>
      <c r="B20" s="11" t="s">
        <v>1046</v>
      </c>
      <c r="C20" s="11" t="s">
        <v>2537</v>
      </c>
      <c r="D20" s="12" t="s">
        <v>6</v>
      </c>
      <c r="E20" s="11"/>
    </row>
    <row r="21" customFormat="false" ht="15" hidden="false" customHeight="true" outlineLevel="0" collapsed="false">
      <c r="A21" s="11" t="s">
        <v>2538</v>
      </c>
      <c r="B21" s="11" t="s">
        <v>2539</v>
      </c>
      <c r="C21" s="11" t="s">
        <v>2540</v>
      </c>
      <c r="D21" s="12" t="s">
        <v>6</v>
      </c>
      <c r="E21" s="11"/>
    </row>
    <row r="22" customFormat="false" ht="15" hidden="false" customHeight="true" outlineLevel="0" collapsed="false">
      <c r="A22" s="11" t="s">
        <v>2541</v>
      </c>
      <c r="B22" s="11" t="s">
        <v>2539</v>
      </c>
      <c r="C22" s="11" t="s">
        <v>2542</v>
      </c>
      <c r="D22" s="12" t="s">
        <v>6</v>
      </c>
      <c r="E22" s="11"/>
    </row>
    <row r="23" customFormat="false" ht="15" hidden="false" customHeight="true" outlineLevel="0" collapsed="false">
      <c r="A23" s="11" t="s">
        <v>2543</v>
      </c>
      <c r="B23" s="11" t="s">
        <v>2539</v>
      </c>
      <c r="C23" s="11" t="s">
        <v>2544</v>
      </c>
      <c r="D23" s="12" t="s">
        <v>6</v>
      </c>
      <c r="E23" s="11"/>
    </row>
    <row r="24" customFormat="false" ht="15" hidden="false" customHeight="true" outlineLevel="0" collapsed="false">
      <c r="A24" s="11" t="s">
        <v>2545</v>
      </c>
      <c r="B24" s="11" t="s">
        <v>2539</v>
      </c>
      <c r="C24" s="11" t="s">
        <v>2546</v>
      </c>
      <c r="D24" s="12" t="s">
        <v>6</v>
      </c>
      <c r="E24" s="11"/>
    </row>
    <row r="25" customFormat="false" ht="15" hidden="false" customHeight="true" outlineLevel="0" collapsed="false">
      <c r="A25" s="11" t="s">
        <v>2547</v>
      </c>
      <c r="B25" s="11" t="s">
        <v>2539</v>
      </c>
      <c r="C25" s="11" t="s">
        <v>2548</v>
      </c>
      <c r="D25" s="12" t="s">
        <v>6</v>
      </c>
      <c r="E25" s="11"/>
    </row>
    <row r="26" customFormat="false" ht="15" hidden="false" customHeight="true" outlineLevel="0" collapsed="false">
      <c r="A26" s="11" t="s">
        <v>2549</v>
      </c>
      <c r="B26" s="11" t="s">
        <v>2539</v>
      </c>
      <c r="C26" s="11" t="s">
        <v>2550</v>
      </c>
      <c r="D26" s="12" t="s">
        <v>6</v>
      </c>
      <c r="E26" s="11"/>
    </row>
    <row r="27" customFormat="false" ht="15" hidden="false" customHeight="true" outlineLevel="0" collapsed="false">
      <c r="A27" s="11" t="s">
        <v>2551</v>
      </c>
      <c r="B27" s="11" t="s">
        <v>2512</v>
      </c>
      <c r="C27" s="11" t="s">
        <v>2552</v>
      </c>
      <c r="D27" s="12" t="s">
        <v>6</v>
      </c>
      <c r="E27" s="11"/>
    </row>
    <row r="28" customFormat="false" ht="15" hidden="false" customHeight="true" outlineLevel="0" collapsed="false">
      <c r="A28" s="11" t="s">
        <v>2553</v>
      </c>
      <c r="B28" s="11" t="s">
        <v>2512</v>
      </c>
      <c r="C28" s="11" t="s">
        <v>2554</v>
      </c>
      <c r="D28" s="12" t="s">
        <v>6</v>
      </c>
      <c r="E28" s="11"/>
    </row>
    <row r="29" customFormat="false" ht="15" hidden="false" customHeight="true" outlineLevel="0" collapsed="false">
      <c r="A29" s="11" t="s">
        <v>2555</v>
      </c>
      <c r="B29" s="11" t="s">
        <v>2512</v>
      </c>
      <c r="C29" s="11" t="s">
        <v>2556</v>
      </c>
      <c r="D29" s="12" t="s">
        <v>6</v>
      </c>
      <c r="E29" s="11"/>
    </row>
    <row r="30" customFormat="false" ht="15" hidden="false" customHeight="true" outlineLevel="0" collapsed="false">
      <c r="A30" s="11" t="s">
        <v>2557</v>
      </c>
      <c r="B30" s="11" t="s">
        <v>2512</v>
      </c>
      <c r="C30" s="11" t="s">
        <v>2558</v>
      </c>
      <c r="D30" s="12" t="s">
        <v>6</v>
      </c>
      <c r="E30" s="11"/>
    </row>
    <row r="31" customFormat="false" ht="15" hidden="false" customHeight="true" outlineLevel="0" collapsed="false">
      <c r="A31" s="11" t="s">
        <v>2559</v>
      </c>
      <c r="B31" s="11" t="s">
        <v>2512</v>
      </c>
      <c r="C31" s="11" t="s">
        <v>2560</v>
      </c>
      <c r="D31" s="12" t="s">
        <v>6</v>
      </c>
      <c r="E31" s="11"/>
    </row>
    <row r="32" customFormat="false" ht="15" hidden="false" customHeight="true" outlineLevel="0" collapsed="false">
      <c r="A32" s="11" t="s">
        <v>2561</v>
      </c>
      <c r="B32" s="11" t="s">
        <v>2512</v>
      </c>
      <c r="C32" s="11" t="s">
        <v>2562</v>
      </c>
      <c r="D32" s="12" t="s">
        <v>6</v>
      </c>
      <c r="E32" s="11"/>
    </row>
    <row r="33" customFormat="false" ht="15" hidden="false" customHeight="true" outlineLevel="0" collapsed="false">
      <c r="A33" s="11" t="s">
        <v>2563</v>
      </c>
      <c r="B33" s="11" t="s">
        <v>2512</v>
      </c>
      <c r="C33" s="11" t="s">
        <v>2564</v>
      </c>
      <c r="D33" s="12" t="s">
        <v>6</v>
      </c>
      <c r="E33" s="11"/>
    </row>
  </sheetData>
  <autoFilter ref="A1:E33"/>
  <dataValidations count="1">
    <dataValidation allowBlank="true" errorStyle="stop" operator="between" showDropDown="false" showErrorMessage="false" showInputMessage="false" sqref="D2:D3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2026-10-10T21:10:48Z</dcterms:created>
  <dc:creator>openpyxl</dc:creator>
  <dc:description/>
  <dc:language>en-US</dc:language>
  <cp:lastModifiedBy/>
  <dcterms:modified xsi:type="dcterms:W3CDTF">2026-10-10T23:47:19Z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